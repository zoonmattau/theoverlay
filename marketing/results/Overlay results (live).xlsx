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Calls" sheetId="2" state="visible" r:id="rId2"/>
    <sheet name="Bets" sheetId="3" state="visible" r:id="rId3"/>
    <sheet name="Lays" sheetId="4" state="visible" r:id="rId4"/>
    <sheet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 mmm yyyy"/>
    <numFmt numFmtId="165" formatCode="$0.00"/>
    <numFmt numFmtId="166" formatCode="0.0%"/>
    <numFmt numFmtId="167" formatCode="0.0#"/>
    <numFmt numFmtId="168" formatCode="+0.00;-0.00;0.00"/>
    <numFmt numFmtId="169" formatCode="+0.0&quot;u&quot;;-0.0&quot;u&quot;;0.0&quot;u&quot;"/>
    <numFmt numFmtId="170" formatCode="+0.0%;-0.0%;0.0%"/>
    <numFmt numFmtId="171" formatCode="ddd d mmm"/>
  </numFmts>
  <fonts count="19">
    <font>
      <name val="Calibri"/>
      <family val="2"/>
      <color theme="1"/>
      <sz val="11"/>
      <scheme val="minor"/>
    </font>
    <font>
      <name val="Archivo"/>
      <b val="1"/>
      <color rgb="00F5F7F2"/>
      <sz val="16"/>
    </font>
    <font>
      <name val="IBM Plex Mono"/>
      <color rgb="00C6F24E"/>
      <sz val="9"/>
    </font>
    <font>
      <name val="Archivo"/>
      <b val="1"/>
      <color rgb="00C6F24E"/>
      <sz val="10"/>
    </font>
    <font>
      <name val="IBM Plex Mono"/>
      <color rgb="0014161A"/>
    </font>
    <font>
      <name val="Archivo"/>
      <color rgb="0014161A"/>
    </font>
    <font>
      <name val="Archivo"/>
      <b val="1"/>
      <color rgb="0014161A"/>
    </font>
    <font>
      <name val="IBM Plex Mono"/>
      <b val="1"/>
      <color rgb="0014161A"/>
    </font>
    <font>
      <name val="Archivo"/>
      <color rgb="006B716A"/>
      <sz val="9"/>
    </font>
    <font>
      <name val="Archivo"/>
      <b val="1"/>
      <color rgb="00C6F24E"/>
      <sz val="9"/>
    </font>
    <font>
      <name val="Archivo"/>
      <b val="1"/>
      <color rgb="00C6F24E"/>
      <sz val="24"/>
    </font>
    <font>
      <name val="IBM Plex Mono"/>
      <color rgb="00A9AEA4"/>
      <sz val="8"/>
    </font>
    <font>
      <name val="Archivo"/>
      <b val="1"/>
      <color rgb="006B716A"/>
      <sz val="9"/>
    </font>
    <font>
      <name val="Archivo"/>
      <b val="1"/>
      <color rgb="0014161A"/>
      <sz val="24"/>
    </font>
    <font>
      <name val="IBM Plex Mono"/>
      <color rgb="006B716A"/>
      <sz val="8"/>
    </font>
    <font>
      <name val="Archivo"/>
      <b val="1"/>
      <color rgb="006F9A12"/>
      <sz val="11"/>
    </font>
    <font>
      <name val="Archivo"/>
      <b val="1"/>
      <color rgb="001F6FD6"/>
    </font>
    <font>
      <name val="Archivo"/>
      <b val="1"/>
      <color rgb="00D93636"/>
    </font>
    <font>
      <name val="IBM Plex Mono"/>
      <color rgb="0014161A"/>
      <sz val="9"/>
    </font>
  </fonts>
  <fills count="8">
    <fill>
      <patternFill/>
    </fill>
    <fill>
      <patternFill patternType="gray125"/>
    </fill>
    <fill>
      <patternFill patternType="solid">
        <fgColor rgb="0014161A"/>
        <bgColor rgb="0014161A"/>
      </patternFill>
    </fill>
    <fill>
      <patternFill patternType="solid">
        <fgColor rgb="00F7F8F5"/>
        <bgColor rgb="00F7F8F5"/>
      </patternFill>
    </fill>
    <fill>
      <patternFill patternType="solid">
        <fgColor rgb="00C6F24E"/>
        <bgColor rgb="00C6F24E"/>
      </patternFill>
    </fill>
    <fill>
      <patternFill patternType="solid">
        <fgColor rgb="00DCEBFF"/>
        <bgColor rgb="00DCEBFF"/>
      </patternFill>
    </fill>
    <fill>
      <patternFill patternType="solid">
        <fgColor rgb="00EEF5FF"/>
        <bgColor rgb="00EEF5FF"/>
      </patternFill>
    </fill>
    <fill>
      <patternFill patternType="solid">
        <fgColor rgb="00FFE1E1"/>
        <bgColor rgb="00FFE1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top"/>
    </xf>
    <xf numFmtId="0" fontId="9" fillId="2" borderId="0" pivotButton="0" quotePrefix="0" xfId="0"/>
    <xf numFmtId="0" fontId="12" fillId="3" borderId="0" pivotButton="0" quotePrefix="0" xfId="0"/>
    <xf numFmtId="0" fontId="0" fillId="3" borderId="0" pivotButton="0" quotePrefix="0" xfId="0"/>
    <xf numFmtId="169" fontId="10" fillId="2" borderId="0" applyAlignment="1" pivotButton="0" quotePrefix="0" xfId="0">
      <alignment horizontal="left" vertical="center"/>
    </xf>
    <xf numFmtId="169" fontId="13" fillId="3" borderId="0" applyAlignment="1" pivotButton="0" quotePrefix="0" xfId="0">
      <alignment horizontal="left" vertical="center"/>
    </xf>
    <xf numFmtId="0" fontId="11" fillId="2" borderId="0" pivotButton="0" quotePrefix="0" xfId="0"/>
    <xf numFmtId="0" fontId="14" fillId="3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8" fontId="7" fillId="3" borderId="0" applyAlignment="1" pivotButton="0" quotePrefix="0" xfId="0">
      <alignment horizontal="center" vertical="center"/>
    </xf>
    <xf numFmtId="2" fontId="4" fillId="3" borderId="0" applyAlignment="1" pivotButton="0" quotePrefix="0" xfId="0">
      <alignment horizontal="center" vertical="center"/>
    </xf>
    <xf numFmtId="170" fontId="4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0" fontId="17" fillId="7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171" fontId="18" fillId="0" borderId="0" applyAlignment="1" pivotButton="0" quotePrefix="0" xfId="0">
      <alignment horizontal="center"/>
    </xf>
    <xf numFmtId="168" fontId="18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8">
    <dxf>
      <font>
        <b val="1"/>
        <color rgb="00D93636"/>
      </font>
    </dxf>
    <dxf>
      <font>
        <b val="1"/>
        <color rgb="006F9A12"/>
      </font>
    </dxf>
    <dxf>
      <fill>
        <patternFill patternType="solid">
          <fgColor rgb="00F7F8F5"/>
          <bgColor rgb="00F7F8F5"/>
        </patternFill>
      </fill>
    </dxf>
    <dxf>
      <font>
        <b val="1"/>
        <color rgb="0014161A"/>
      </font>
      <fill>
        <patternFill patternType="solid">
          <fgColor rgb="00C6F24E"/>
          <bgColor rgb="00C6F24E"/>
        </patternFill>
      </fill>
    </dxf>
    <dxf>
      <font>
        <b val="1"/>
        <color rgb="001F6FD6"/>
      </font>
      <fill>
        <patternFill patternType="solid">
          <fgColor rgb="00DCEBFF"/>
          <bgColor rgb="00DCEBFF"/>
        </patternFill>
      </fill>
    </dxf>
    <dxf>
      <font>
        <b val="1"/>
        <color rgb="001F6FD6"/>
      </font>
      <fill>
        <patternFill patternType="solid">
          <fgColor rgb="00EEF5FF"/>
          <bgColor rgb="00EEF5FF"/>
        </patternFill>
      </fill>
    </dxf>
    <dxf>
      <font>
        <b val="1"/>
        <color rgb="00D93636"/>
      </font>
      <fill>
        <patternFill patternType="solid">
          <fgColor rgb="00FFE1E1"/>
          <bgColor rgb="00FFE1E1"/>
        </patternFill>
      </fill>
    </dxf>
    <dxf>
      <font>
        <b val="1"/>
        <color rgb="001F6FD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Running profit (units)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'Overview'!P30</f>
            </strRef>
          </tx>
          <spPr>
            <a:ln w="32000">
              <a:solidFill>
                <a:srgbClr val="6F9A1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'Overview'!$L$31:$L$430</f>
            </numRef>
          </cat>
          <val>
            <numRef>
              <f>'Overview'!$P$31:$P$430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 mmm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152400</colOff>
      <row>0</row>
      <rowOff>400050</rowOff>
    </from>
    <ext cx="2000250" cy="504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400050</rowOff>
    </from>
    <ext cx="200025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400050</rowOff>
    </from>
    <ext cx="200025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400050</rowOff>
    </from>
    <ext cx="200025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C6F24E"/>
    <outlinePr summaryBelow="1" summaryRight="1"/>
    <pageSetUpPr/>
  </sheetPr>
  <dimension ref="A1:P4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2" max="12"/>
    <col width="11" customWidth="1" min="13" max="13"/>
    <col width="11" customWidth="1" min="14" max="14"/>
    <col width="11" customWidth="1" min="15" max="15"/>
    <col width="13" customWidth="1" min="16" max="16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2" t="inlineStr">
        <is>
          <t>Results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3">
        <f>"Since "&amp;TEXT(MIN(Data!A2:A20000),"d mmm yyyy")&amp;". Updates hourly."</f>
        <v/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 ht="20" customHeight="1">
      <c r="B6" s="4" t="inlineStr">
        <is>
          <t>ALL CALLS</t>
        </is>
      </c>
      <c r="C6" s="1" t="n"/>
      <c r="D6" s="1" t="n"/>
      <c r="E6" s="5" t="inlineStr">
        <is>
          <t>BETS</t>
        </is>
      </c>
      <c r="F6" s="6" t="n"/>
      <c r="G6" s="6" t="n"/>
      <c r="H6" s="5" t="inlineStr">
        <is>
          <t>LAYS</t>
        </is>
      </c>
      <c r="I6" s="6" t="n"/>
      <c r="J6" s="6" t="n"/>
    </row>
    <row r="7" ht="20" customHeight="1">
      <c r="B7" s="7">
        <f>SUM(Data!$N$2:$N$20000)</f>
        <v/>
      </c>
      <c r="E7" s="8">
        <f>SUMIFS(Data!$N$2:$N$20000,Data!$F$2:$F$20000,"Bet")</f>
        <v/>
      </c>
      <c r="H7" s="8">
        <f>SUMIFS(Data!$N$2:$N$20000,Data!$F$2:$F$20000,"Lay")</f>
        <v/>
      </c>
    </row>
    <row r="8" ht="20" customHeight="1"/>
    <row r="9" ht="20" customHeight="1">
      <c r="B9" s="9">
        <f>IFERROR(COUNTIFS(Data!$M$2:$M$20000,"Win")+COUNTIFS(Data!$M$2:$M$20000,"Loss")&amp;" settled, "&amp;TEXT(COUNTIFS(Data!$M$2:$M$20000,"Win")/(COUNTIFS(Data!$M$2:$M$20000,"Win")+COUNTIFS(Data!$M$2:$M$20000,"Loss")),"0%")&amp;" strike, "&amp;TEXT(B7/SUM(Data!$K$2:$K$20000),"+0.0%;-0.0%")&amp;" POT","")</f>
        <v/>
      </c>
      <c r="C9" s="1" t="n"/>
      <c r="D9" s="1" t="n"/>
      <c r="E9" s="10">
        <f>IFERROR(COUNTIFS(Data!$M$2:$M$20000,"Win",Data!$F$2:$F$20000,"Bet")+COUNTIFS(Data!$M$2:$M$20000,"Loss",Data!$F$2:$F$20000,"Bet")&amp;" settled, "&amp;TEXT(COUNTIFS(Data!$M$2:$M$20000,"Win",Data!$F$2:$F$20000,"Bet")/(COUNTIFS(Data!$M$2:$M$20000,"Win",Data!$F$2:$F$20000,"Bet")+COUNTIFS(Data!$M$2:$M$20000,"Loss",Data!$F$2:$F$20000,"Bet")),"0%")&amp;" strike, "&amp;TEXT(E7/SUMIFS(Data!$K$2:$K$20000,Data!$F$2:$F$20000,"Bet"),"+0.0%;-0.0%")&amp;" POT","")</f>
        <v/>
      </c>
      <c r="F9" s="6" t="n"/>
      <c r="G9" s="6" t="n"/>
      <c r="H9" s="10">
        <f>IFERROR(COUNTIFS(Data!$M$2:$M$20000,"Win",Data!$F$2:$F$20000,"Lay")+COUNTIFS(Data!$M$2:$M$20000,"Loss",Data!$F$2:$F$20000,"Lay")&amp;" settled, "&amp;TEXT(COUNTIFS(Data!$M$2:$M$20000,"Win",Data!$F$2:$F$20000,"Lay")/(COUNTIFS(Data!$M$2:$M$20000,"Win",Data!$F$2:$F$20000,"Lay")+COUNTIFS(Data!$M$2:$M$20000,"Loss",Data!$F$2:$F$20000,"Lay")),"0%")&amp;" strike, "&amp;TEXT(H7/SUMIFS(Data!$K$2:$K$20000,Data!$F$2:$F$20000,"Lay"),"+0.0%;-0.0%")&amp;" POT","")</f>
        <v/>
      </c>
      <c r="I9" s="6" t="n"/>
      <c r="J9" s="6" t="n"/>
    </row>
    <row r="11">
      <c r="A11" s="11" t="inlineStr">
        <is>
          <t>Level stakes: one unit a call, a tenth on a Way. Bets settle at the best of fixed odds, SP and BSP; lays at the shortest lay price or BSP.</t>
        </is>
      </c>
    </row>
    <row r="12">
      <c r="A12" s="11" t="inlineStr">
        <is>
          <t>A lay wins one unit when the horse loses. POT is units won over units staked: one a call, a tenth on a Way. Calls on scratched horses and abandoned races are void and left out.</t>
        </is>
      </c>
    </row>
    <row r="13">
      <c r="A13" s="11" t="inlineStr">
        <is>
          <t>Bets at $10 or more from 11 to 15 Sep are excluded: our ratings over-priced long shots until the 15 Sep fix.</t>
        </is>
      </c>
    </row>
    <row r="14" ht="22" customHeight="1">
      <c r="A14" s="12" t="inlineStr">
        <is>
          <t>BY CALL</t>
        </is>
      </c>
    </row>
    <row r="15" ht="24" customHeight="1">
      <c r="A15" s="13" t="inlineStr"/>
      <c r="B15" s="13" t="inlineStr">
        <is>
          <t>Calls</t>
        </is>
      </c>
      <c r="C15" s="13" t="inlineStr">
        <is>
          <t>Won</t>
        </is>
      </c>
      <c r="D15" s="13" t="inlineStr">
        <is>
          <t>Lost</t>
        </is>
      </c>
      <c r="E15" s="13" t="inlineStr">
        <is>
          <t>Strike</t>
        </is>
      </c>
      <c r="F15" s="13" t="inlineStr">
        <is>
          <t>Profit (u)</t>
        </is>
      </c>
      <c r="G15" s="13" t="inlineStr">
        <is>
          <t>Staked (u)</t>
        </is>
      </c>
      <c r="H15" s="13" t="inlineStr">
        <is>
          <t>POT</t>
        </is>
      </c>
    </row>
    <row r="16" ht="20" customHeight="1">
      <c r="A16" s="14" t="inlineStr">
        <is>
          <t>All calls</t>
        </is>
      </c>
      <c r="B16" s="15">
        <f>COUNTIFS(Data!$M$2:$M$20000,"&lt;&gt;")</f>
        <v/>
      </c>
      <c r="C16" s="15">
        <f>COUNTIFS(Data!$M$2:$M$20000,"Win")</f>
        <v/>
      </c>
      <c r="D16" s="15">
        <f>COUNTIFS(Data!$M$2:$M$20000,"Loss")</f>
        <v/>
      </c>
      <c r="E16" s="16">
        <f>IF(C16+D16=0,"",C16/(C16+D16))</f>
        <v/>
      </c>
      <c r="F16" s="17">
        <f>SUM(Data!$N$2:$N$20000)</f>
        <v/>
      </c>
      <c r="G16" s="18">
        <f>SUM(Data!$K$2:$K$20000)</f>
        <v/>
      </c>
      <c r="H16" s="19">
        <f>IF(G16=0,"",F16/G16)</f>
        <v/>
      </c>
    </row>
    <row r="17" ht="20" customHeight="1">
      <c r="A17" s="20" t="inlineStr">
        <is>
          <t>Bets</t>
        </is>
      </c>
      <c r="B17" s="21">
        <f>COUNTIFS(Data!$M$2:$M$20000,"&lt;&gt;",Data!$F$2:$F$20000,"Bet")</f>
        <v/>
      </c>
      <c r="C17" s="21">
        <f>COUNTIFS(Data!$M$2:$M$20000,"Win",Data!$F$2:$F$20000,"Bet")</f>
        <v/>
      </c>
      <c r="D17" s="21">
        <f>COUNTIFS(Data!$M$2:$M$20000,"Loss",Data!$F$2:$F$20000,"Bet")</f>
        <v/>
      </c>
      <c r="E17" s="22">
        <f>IF(C17+D17=0,"",C17/(C17+D17))</f>
        <v/>
      </c>
      <c r="F17" s="23">
        <f>SUMIFS(Data!$N$2:$N$20000,Data!$F$2:$F$20000,"Bet")</f>
        <v/>
      </c>
      <c r="G17" s="24">
        <f>SUMIFS(Data!$K$2:$K$20000,Data!$F$2:$F$20000,"Bet")</f>
        <v/>
      </c>
      <c r="H17" s="25">
        <f>IF(G17=0,"",F17/G17)</f>
        <v/>
      </c>
    </row>
    <row r="18" ht="20" customHeight="1">
      <c r="A18" s="14" t="inlineStr">
        <is>
          <t>Lays</t>
        </is>
      </c>
      <c r="B18" s="15">
        <f>COUNTIFS(Data!$M$2:$M$20000,"&lt;&gt;",Data!$F$2:$F$20000,"Lay")</f>
        <v/>
      </c>
      <c r="C18" s="15">
        <f>COUNTIFS(Data!$M$2:$M$20000,"Win",Data!$F$2:$F$20000,"Lay")</f>
        <v/>
      </c>
      <c r="D18" s="15">
        <f>COUNTIFS(Data!$M$2:$M$20000,"Loss",Data!$F$2:$F$20000,"Lay")</f>
        <v/>
      </c>
      <c r="E18" s="16">
        <f>IF(C18+D18=0,"",C18/(C18+D18))</f>
        <v/>
      </c>
      <c r="F18" s="17">
        <f>SUMIFS(Data!$N$2:$N$20000,Data!$F$2:$F$20000,"Lay")</f>
        <v/>
      </c>
      <c r="G18" s="18">
        <f>SUMIFS(Data!$K$2:$K$20000,Data!$F$2:$F$20000,"Lay")</f>
        <v/>
      </c>
      <c r="H18" s="19">
        <f>IF(G18=0,"",F18/G18)</f>
        <v/>
      </c>
    </row>
    <row r="20" ht="22" customHeight="1">
      <c r="A20" s="12" t="inlineStr">
        <is>
          <t>BY TAG</t>
        </is>
      </c>
    </row>
    <row r="21" ht="24" customHeight="1">
      <c r="A21" s="26" t="inlineStr">
        <is>
          <t>Tag</t>
        </is>
      </c>
      <c r="B21" s="13" t="inlineStr">
        <is>
          <t>Calls</t>
        </is>
      </c>
      <c r="C21" s="13" t="inlineStr">
        <is>
          <t>Won</t>
        </is>
      </c>
      <c r="D21" s="13" t="inlineStr">
        <is>
          <t>Lost</t>
        </is>
      </c>
      <c r="E21" s="13" t="inlineStr">
        <is>
          <t>Strike</t>
        </is>
      </c>
      <c r="F21" s="13" t="inlineStr">
        <is>
          <t>Profit (u)</t>
        </is>
      </c>
      <c r="G21" s="13" t="inlineStr">
        <is>
          <t>Staked (u)</t>
        </is>
      </c>
      <c r="H21" s="13" t="inlineStr">
        <is>
          <t>POT</t>
        </is>
      </c>
    </row>
    <row r="22" ht="20" customHeight="1">
      <c r="A22" s="27" t="inlineStr">
        <is>
          <t>Prime</t>
        </is>
      </c>
      <c r="B22" s="15">
        <f>COUNTIFS(Data!$M$2:$M$20000,"&lt;&gt;",Data!$G$2:$G$20000,"Prime")</f>
        <v/>
      </c>
      <c r="C22" s="15">
        <f>COUNTIFS(Data!$M$2:$M$20000,"Win",Data!$G$2:$G$20000,"Prime")</f>
        <v/>
      </c>
      <c r="D22" s="15">
        <f>COUNTIFS(Data!$M$2:$M$20000,"Loss",Data!$G$2:$G$20000,"Prime")</f>
        <v/>
      </c>
      <c r="E22" s="16">
        <f>IF(C22+D22=0,"",C22/(C22+D22))</f>
        <v/>
      </c>
      <c r="F22" s="17">
        <f>SUMIFS(Data!$N$2:$N$20000,Data!$G$2:$G$20000,"Prime")</f>
        <v/>
      </c>
      <c r="G22" s="18">
        <f>SUMIFS(Data!$K$2:$K$20000,Data!$G$2:$G$20000,"Prime")</f>
        <v/>
      </c>
      <c r="H22" s="19">
        <f>IF(G22=0,"",F22/G22)</f>
        <v/>
      </c>
    </row>
    <row r="23" ht="20" customHeight="1">
      <c r="A23" s="28" t="inlineStr">
        <is>
          <t>Bet</t>
        </is>
      </c>
      <c r="B23" s="21">
        <f>COUNTIFS(Data!$M$2:$M$20000,"&lt;&gt;",Data!$G$2:$G$20000,"Bet")</f>
        <v/>
      </c>
      <c r="C23" s="21">
        <f>COUNTIFS(Data!$M$2:$M$20000,"Win",Data!$G$2:$G$20000,"Bet")</f>
        <v/>
      </c>
      <c r="D23" s="21">
        <f>COUNTIFS(Data!$M$2:$M$20000,"Loss",Data!$G$2:$G$20000,"Bet")</f>
        <v/>
      </c>
      <c r="E23" s="22">
        <f>IF(C23+D23=0,"",C23/(C23+D23))</f>
        <v/>
      </c>
      <c r="F23" s="23">
        <f>SUMIFS(Data!$N$2:$N$20000,Data!$G$2:$G$20000,"Bet")</f>
        <v/>
      </c>
      <c r="G23" s="24">
        <f>SUMIFS(Data!$K$2:$K$20000,Data!$G$2:$G$20000,"Bet")</f>
        <v/>
      </c>
      <c r="H23" s="25">
        <f>IF(G23=0,"",F23/G23)</f>
        <v/>
      </c>
    </row>
    <row r="24" ht="20" customHeight="1">
      <c r="A24" s="29" t="inlineStr">
        <is>
          <t>Way</t>
        </is>
      </c>
      <c r="B24" s="15">
        <f>COUNTIFS(Data!$M$2:$M$20000,"&lt;&gt;",Data!$G$2:$G$20000,"Way")</f>
        <v/>
      </c>
      <c r="C24" s="15">
        <f>COUNTIFS(Data!$M$2:$M$20000,"Win",Data!$G$2:$G$20000,"Way")</f>
        <v/>
      </c>
      <c r="D24" s="15">
        <f>COUNTIFS(Data!$M$2:$M$20000,"Loss",Data!$G$2:$G$20000,"Way")</f>
        <v/>
      </c>
      <c r="E24" s="16">
        <f>IF(C24+D24=0,"",C24/(C24+D24))</f>
        <v/>
      </c>
      <c r="F24" s="17">
        <f>SUMIFS(Data!$N$2:$N$20000,Data!$G$2:$G$20000,"Way")</f>
        <v/>
      </c>
      <c r="G24" s="18">
        <f>SUMIFS(Data!$K$2:$K$20000,Data!$G$2:$G$20000,"Way")</f>
        <v/>
      </c>
      <c r="H24" s="19">
        <f>IF(G24=0,"",F24/G24)</f>
        <v/>
      </c>
    </row>
    <row r="25" ht="20" customHeight="1">
      <c r="A25" s="30" t="inlineStr">
        <is>
          <t>Lay</t>
        </is>
      </c>
      <c r="B25" s="21">
        <f>COUNTIFS(Data!$M$2:$M$20000,"&lt;&gt;",Data!$G$2:$G$20000,"Lay")</f>
        <v/>
      </c>
      <c r="C25" s="21">
        <f>COUNTIFS(Data!$M$2:$M$20000,"Win",Data!$G$2:$G$20000,"Lay")</f>
        <v/>
      </c>
      <c r="D25" s="21">
        <f>COUNTIFS(Data!$M$2:$M$20000,"Loss",Data!$G$2:$G$20000,"Lay")</f>
        <v/>
      </c>
      <c r="E25" s="22">
        <f>IF(C25+D25=0,"",C25/(C25+D25))</f>
        <v/>
      </c>
      <c r="F25" s="23">
        <f>SUMIFS(Data!$N$2:$N$20000,Data!$G$2:$G$20000,"Lay")</f>
        <v/>
      </c>
      <c r="G25" s="24">
        <f>SUMIFS(Data!$K$2:$K$20000,Data!$G$2:$G$20000,"Lay")</f>
        <v/>
      </c>
      <c r="H25" s="25">
        <f>IF(G25=0,"",F25/G25)</f>
        <v/>
      </c>
    </row>
    <row r="27" ht="22" customHeight="1">
      <c r="A27" s="12" t="inlineStr">
        <is>
          <t>LAST 12 WEEKS</t>
        </is>
      </c>
    </row>
    <row r="28" ht="24" customHeight="1">
      <c r="A28" s="26" t="inlineStr">
        <is>
          <t>Week of</t>
        </is>
      </c>
      <c r="B28" s="13" t="inlineStr">
        <is>
          <t>Calls</t>
        </is>
      </c>
      <c r="C28" s="13" t="inlineStr">
        <is>
          <t>Won</t>
        </is>
      </c>
      <c r="D28" s="13" t="inlineStr">
        <is>
          <t>Lost</t>
        </is>
      </c>
      <c r="E28" s="13" t="inlineStr">
        <is>
          <t>Strike</t>
        </is>
      </c>
      <c r="F28" s="13" t="inlineStr">
        <is>
          <t>Profit (u)</t>
        </is>
      </c>
      <c r="G28" s="13" t="inlineStr">
        <is>
          <t>Staked (u)</t>
        </is>
      </c>
      <c r="H28" s="13" t="inlineStr">
        <is>
          <t>POT</t>
        </is>
      </c>
    </row>
    <row r="29" ht="20" customHeight="1">
      <c r="A29" s="31">
        <f>IFERROR(MAX(Data!$A$2:$A$20000)-WEEKDAY(MAX(Data!$A$2:$A$20000),3),"")</f>
        <v/>
      </c>
      <c r="B29" s="15">
        <f>IF($A29="","",COUNTIFS(Data!$M$2:$M$20000,"&lt;&gt;",Data!$A$2:$A$20000,"&gt;="&amp;$A29,Data!$A$2:$A$20000,"&lt;"&amp;($A29+7)))</f>
        <v/>
      </c>
      <c r="C29" s="15">
        <f>IF($A29="","",COUNTIFS(Data!$M$2:$M$20000,"Win",Data!$A$2:$A$20000,"&gt;="&amp;$A29,Data!$A$2:$A$20000,"&lt;"&amp;($A29+7)))</f>
        <v/>
      </c>
      <c r="D29" s="15">
        <f>IF($A29="","",COUNTIFS(Data!$M$2:$M$20000,"Loss",Data!$A$2:$A$20000,"&gt;="&amp;$A29,Data!$A$2:$A$20000,"&lt;"&amp;($A29+7)))</f>
        <v/>
      </c>
      <c r="E29" s="16">
        <f>IF($A29="","",IF(C29+D29=0,"",C29/(C29+D29)))</f>
        <v/>
      </c>
      <c r="F29" s="17">
        <f>IF($A29="","",SUMIFS(Data!$N$2:$N$20000,Data!$A$2:$A$20000,"&gt;="&amp;$A29,Data!$A$2:$A$20000,"&lt;"&amp;($A29+7)))</f>
        <v/>
      </c>
      <c r="G29" s="18">
        <f>IF($A29="","",SUMIFS(Data!$K$2:$K$20000,Data!$A$2:$A$20000,"&gt;="&amp;$A29,Data!$A$2:$A$20000,"&lt;"&amp;($A29+7)))</f>
        <v/>
      </c>
      <c r="H29" s="19">
        <f>IF($A29="","",IF(G29=0,"",F29/G29))</f>
        <v/>
      </c>
      <c r="L29" s="12" t="inlineStr">
        <is>
          <t>DAY BY DAY</t>
        </is>
      </c>
    </row>
    <row r="30" ht="20" customHeight="1">
      <c r="A30" s="32">
        <f>IF(A29="","",IF(A29-7&lt;MIN(Data!$A$2:$A$20000)-6,"",A29-7))</f>
        <v/>
      </c>
      <c r="B30" s="21">
        <f>IF($A30="","",COUNTIFS(Data!$M$2:$M$20000,"&lt;&gt;",Data!$A$2:$A$20000,"&gt;="&amp;$A30,Data!$A$2:$A$20000,"&lt;"&amp;($A30+7)))</f>
        <v/>
      </c>
      <c r="C30" s="21">
        <f>IF($A30="","",COUNTIFS(Data!$M$2:$M$20000,"Win",Data!$A$2:$A$20000,"&gt;="&amp;$A30,Data!$A$2:$A$20000,"&lt;"&amp;($A30+7)))</f>
        <v/>
      </c>
      <c r="D30" s="21">
        <f>IF($A30="","",COUNTIFS(Data!$M$2:$M$20000,"Loss",Data!$A$2:$A$20000,"&gt;="&amp;$A30,Data!$A$2:$A$20000,"&lt;"&amp;($A30+7)))</f>
        <v/>
      </c>
      <c r="E30" s="22">
        <f>IF($A30="","",IF(C30+D30=0,"",C30/(C30+D30)))</f>
        <v/>
      </c>
      <c r="F30" s="23">
        <f>IF($A30="","",SUMIFS(Data!$N$2:$N$20000,Data!$A$2:$A$20000,"&gt;="&amp;$A30,Data!$A$2:$A$20000,"&lt;"&amp;($A30+7)))</f>
        <v/>
      </c>
      <c r="G30" s="24">
        <f>IF($A30="","",SUMIFS(Data!$K$2:$K$20000,Data!$A$2:$A$20000,"&gt;="&amp;$A30,Data!$A$2:$A$20000,"&lt;"&amp;($A30+7)))</f>
        <v/>
      </c>
      <c r="H30" s="25">
        <f>IF($A30="","",IF(G30=0,"",F30/G30))</f>
        <v/>
      </c>
      <c r="L30" s="33" t="inlineStr">
        <is>
          <t>Date</t>
        </is>
      </c>
      <c r="M30" s="33" t="inlineStr">
        <is>
          <t>Bets (u)</t>
        </is>
      </c>
      <c r="N30" s="33" t="inlineStr">
        <is>
          <t>Lays (u)</t>
        </is>
      </c>
      <c r="O30" s="33" t="inlineStr">
        <is>
          <t>Day (u)</t>
        </is>
      </c>
      <c r="P30" s="33" t="inlineStr">
        <is>
          <t>Running (u)</t>
        </is>
      </c>
    </row>
    <row r="31" ht="20" customHeight="1">
      <c r="A31" s="31">
        <f>IF(A30="","",IF(A30-7&lt;MIN(Data!$A$2:$A$20000)-6,"",A30-7))</f>
        <v/>
      </c>
      <c r="B31" s="15">
        <f>IF($A31="","",COUNTIFS(Data!$M$2:$M$20000,"&lt;&gt;",Data!$A$2:$A$20000,"&gt;="&amp;$A31,Data!$A$2:$A$20000,"&lt;"&amp;($A31+7)))</f>
        <v/>
      </c>
      <c r="C31" s="15">
        <f>IF($A31="","",COUNTIFS(Data!$M$2:$M$20000,"Win",Data!$A$2:$A$20000,"&gt;="&amp;$A31,Data!$A$2:$A$20000,"&lt;"&amp;($A31+7)))</f>
        <v/>
      </c>
      <c r="D31" s="15">
        <f>IF($A31="","",COUNTIFS(Data!$M$2:$M$20000,"Loss",Data!$A$2:$A$20000,"&gt;="&amp;$A31,Data!$A$2:$A$20000,"&lt;"&amp;($A31+7)))</f>
        <v/>
      </c>
      <c r="E31" s="16">
        <f>IF($A31="","",IF(C31+D31=0,"",C31/(C31+D31)))</f>
        <v/>
      </c>
      <c r="F31" s="17">
        <f>IF($A31="","",SUMIFS(Data!$N$2:$N$20000,Data!$A$2:$A$20000,"&gt;="&amp;$A31,Data!$A$2:$A$20000,"&lt;"&amp;($A31+7)))</f>
        <v/>
      </c>
      <c r="G31" s="18">
        <f>IF($A31="","",SUMIFS(Data!$K$2:$K$20000,Data!$A$2:$A$20000,"&gt;="&amp;$A31,Data!$A$2:$A$20000,"&lt;"&amp;($A31+7)))</f>
        <v/>
      </c>
      <c r="H31" s="19">
        <f>IF($A31="","",IF(G31=0,"",F31/G31))</f>
        <v/>
      </c>
      <c r="L31" s="34">
        <f>IFERROR(SORT(UNIQUE(FILTER(Data!$A$2:$A$20000,Data!$A$2:$A$20000&lt;&gt;""))),"")</f>
        <v/>
      </c>
      <c r="M31" s="35">
        <f>IF($L31="","",SUMIFS(Data!$N$2:$N$20000,Data!$A$2:$A$20000,$L31,Data!$F$2:$F$20000,"Bet"))</f>
        <v/>
      </c>
      <c r="N31" s="35">
        <f>IF($L31="","",SUMIFS(Data!$N$2:$N$20000,Data!$A$2:$A$20000,$L31,Data!$F$2:$F$20000,"Lay"))</f>
        <v/>
      </c>
      <c r="O31" s="35">
        <f>IF($L31="","",M31+N31)</f>
        <v/>
      </c>
      <c r="P31" s="35">
        <f>IF($L31="","",SUMIFS(Data!$N$2:$N$20000,Data!$A$2:$A$20000,"&lt;="&amp;$L31))</f>
        <v/>
      </c>
    </row>
    <row r="32" ht="20" customHeight="1">
      <c r="A32" s="32">
        <f>IF(A31="","",IF(A31-7&lt;MIN(Data!$A$2:$A$20000)-6,"",A31-7))</f>
        <v/>
      </c>
      <c r="B32" s="21">
        <f>IF($A32="","",COUNTIFS(Data!$M$2:$M$20000,"&lt;&gt;",Data!$A$2:$A$20000,"&gt;="&amp;$A32,Data!$A$2:$A$20000,"&lt;"&amp;($A32+7)))</f>
        <v/>
      </c>
      <c r="C32" s="21">
        <f>IF($A32="","",COUNTIFS(Data!$M$2:$M$20000,"Win",Data!$A$2:$A$20000,"&gt;="&amp;$A32,Data!$A$2:$A$20000,"&lt;"&amp;($A32+7)))</f>
        <v/>
      </c>
      <c r="D32" s="21">
        <f>IF($A32="","",COUNTIFS(Data!$M$2:$M$20000,"Loss",Data!$A$2:$A$20000,"&gt;="&amp;$A32,Data!$A$2:$A$20000,"&lt;"&amp;($A32+7)))</f>
        <v/>
      </c>
      <c r="E32" s="22">
        <f>IF($A32="","",IF(C32+D32=0,"",C32/(C32+D32)))</f>
        <v/>
      </c>
      <c r="F32" s="23">
        <f>IF($A32="","",SUMIFS(Data!$N$2:$N$20000,Data!$A$2:$A$20000,"&gt;="&amp;$A32,Data!$A$2:$A$20000,"&lt;"&amp;($A32+7)))</f>
        <v/>
      </c>
      <c r="G32" s="24">
        <f>IF($A32="","",SUMIFS(Data!$K$2:$K$20000,Data!$A$2:$A$20000,"&gt;="&amp;$A32,Data!$A$2:$A$20000,"&lt;"&amp;($A32+7)))</f>
        <v/>
      </c>
      <c r="H32" s="25">
        <f>IF($A32="","",IF(G32=0,"",F32/G32))</f>
        <v/>
      </c>
      <c r="L32" s="34" t="n"/>
      <c r="M32" s="35">
        <f>IF($L32="","",SUMIFS(Data!$N$2:$N$20000,Data!$A$2:$A$20000,$L32,Data!$F$2:$F$20000,"Bet"))</f>
        <v/>
      </c>
      <c r="N32" s="35">
        <f>IF($L32="","",SUMIFS(Data!$N$2:$N$20000,Data!$A$2:$A$20000,$L32,Data!$F$2:$F$20000,"Lay"))</f>
        <v/>
      </c>
      <c r="O32" s="35">
        <f>IF($L32="","",M32+N32)</f>
        <v/>
      </c>
      <c r="P32" s="35">
        <f>IF($L32="","",SUMIFS(Data!$N$2:$N$20000,Data!$A$2:$A$20000,"&lt;="&amp;$L32))</f>
        <v/>
      </c>
    </row>
    <row r="33" ht="20" customHeight="1">
      <c r="A33" s="31">
        <f>IF(A32="","",IF(A32-7&lt;MIN(Data!$A$2:$A$20000)-6,"",A32-7))</f>
        <v/>
      </c>
      <c r="B33" s="15">
        <f>IF($A33="","",COUNTIFS(Data!$M$2:$M$20000,"&lt;&gt;",Data!$A$2:$A$20000,"&gt;="&amp;$A33,Data!$A$2:$A$20000,"&lt;"&amp;($A33+7)))</f>
        <v/>
      </c>
      <c r="C33" s="15">
        <f>IF($A33="","",COUNTIFS(Data!$M$2:$M$20000,"Win",Data!$A$2:$A$20000,"&gt;="&amp;$A33,Data!$A$2:$A$20000,"&lt;"&amp;($A33+7)))</f>
        <v/>
      </c>
      <c r="D33" s="15">
        <f>IF($A33="","",COUNTIFS(Data!$M$2:$M$20000,"Loss",Data!$A$2:$A$20000,"&gt;="&amp;$A33,Data!$A$2:$A$20000,"&lt;"&amp;($A33+7)))</f>
        <v/>
      </c>
      <c r="E33" s="16">
        <f>IF($A33="","",IF(C33+D33=0,"",C33/(C33+D33)))</f>
        <v/>
      </c>
      <c r="F33" s="17">
        <f>IF($A33="","",SUMIFS(Data!$N$2:$N$20000,Data!$A$2:$A$20000,"&gt;="&amp;$A33,Data!$A$2:$A$20000,"&lt;"&amp;($A33+7)))</f>
        <v/>
      </c>
      <c r="G33" s="18">
        <f>IF($A33="","",SUMIFS(Data!$K$2:$K$20000,Data!$A$2:$A$20000,"&gt;="&amp;$A33,Data!$A$2:$A$20000,"&lt;"&amp;($A33+7)))</f>
        <v/>
      </c>
      <c r="H33" s="19">
        <f>IF($A33="","",IF(G33=0,"",F33/G33))</f>
        <v/>
      </c>
      <c r="L33" s="34" t="n"/>
      <c r="M33" s="35">
        <f>IF($L33="","",SUMIFS(Data!$N$2:$N$20000,Data!$A$2:$A$20000,$L33,Data!$F$2:$F$20000,"Bet"))</f>
        <v/>
      </c>
      <c r="N33" s="35">
        <f>IF($L33="","",SUMIFS(Data!$N$2:$N$20000,Data!$A$2:$A$20000,$L33,Data!$F$2:$F$20000,"Lay"))</f>
        <v/>
      </c>
      <c r="O33" s="35">
        <f>IF($L33="","",M33+N33)</f>
        <v/>
      </c>
      <c r="P33" s="35">
        <f>IF($L33="","",SUMIFS(Data!$N$2:$N$20000,Data!$A$2:$A$20000,"&lt;="&amp;$L33))</f>
        <v/>
      </c>
    </row>
    <row r="34" ht="20" customHeight="1">
      <c r="A34" s="32">
        <f>IF(A33="","",IF(A33-7&lt;MIN(Data!$A$2:$A$20000)-6,"",A33-7))</f>
        <v/>
      </c>
      <c r="B34" s="21">
        <f>IF($A34="","",COUNTIFS(Data!$M$2:$M$20000,"&lt;&gt;",Data!$A$2:$A$20000,"&gt;="&amp;$A34,Data!$A$2:$A$20000,"&lt;"&amp;($A34+7)))</f>
        <v/>
      </c>
      <c r="C34" s="21">
        <f>IF($A34="","",COUNTIFS(Data!$M$2:$M$20000,"Win",Data!$A$2:$A$20000,"&gt;="&amp;$A34,Data!$A$2:$A$20000,"&lt;"&amp;($A34+7)))</f>
        <v/>
      </c>
      <c r="D34" s="21">
        <f>IF($A34="","",COUNTIFS(Data!$M$2:$M$20000,"Loss",Data!$A$2:$A$20000,"&gt;="&amp;$A34,Data!$A$2:$A$20000,"&lt;"&amp;($A34+7)))</f>
        <v/>
      </c>
      <c r="E34" s="22">
        <f>IF($A34="","",IF(C34+D34=0,"",C34/(C34+D34)))</f>
        <v/>
      </c>
      <c r="F34" s="23">
        <f>IF($A34="","",SUMIFS(Data!$N$2:$N$20000,Data!$A$2:$A$20000,"&gt;="&amp;$A34,Data!$A$2:$A$20000,"&lt;"&amp;($A34+7)))</f>
        <v/>
      </c>
      <c r="G34" s="24">
        <f>IF($A34="","",SUMIFS(Data!$K$2:$K$20000,Data!$A$2:$A$20000,"&gt;="&amp;$A34,Data!$A$2:$A$20000,"&lt;"&amp;($A34+7)))</f>
        <v/>
      </c>
      <c r="H34" s="25">
        <f>IF($A34="","",IF(G34=0,"",F34/G34))</f>
        <v/>
      </c>
      <c r="L34" s="34" t="n"/>
      <c r="M34" s="35">
        <f>IF($L34="","",SUMIFS(Data!$N$2:$N$20000,Data!$A$2:$A$20000,$L34,Data!$F$2:$F$20000,"Bet"))</f>
        <v/>
      </c>
      <c r="N34" s="35">
        <f>IF($L34="","",SUMIFS(Data!$N$2:$N$20000,Data!$A$2:$A$20000,$L34,Data!$F$2:$F$20000,"Lay"))</f>
        <v/>
      </c>
      <c r="O34" s="35">
        <f>IF($L34="","",M34+N34)</f>
        <v/>
      </c>
      <c r="P34" s="35">
        <f>IF($L34="","",SUMIFS(Data!$N$2:$N$20000,Data!$A$2:$A$20000,"&lt;="&amp;$L34))</f>
        <v/>
      </c>
    </row>
    <row r="35" ht="20" customHeight="1">
      <c r="A35" s="31">
        <f>IF(A34="","",IF(A34-7&lt;MIN(Data!$A$2:$A$20000)-6,"",A34-7))</f>
        <v/>
      </c>
      <c r="B35" s="15">
        <f>IF($A35="","",COUNTIFS(Data!$M$2:$M$20000,"&lt;&gt;",Data!$A$2:$A$20000,"&gt;="&amp;$A35,Data!$A$2:$A$20000,"&lt;"&amp;($A35+7)))</f>
        <v/>
      </c>
      <c r="C35" s="15">
        <f>IF($A35="","",COUNTIFS(Data!$M$2:$M$20000,"Win",Data!$A$2:$A$20000,"&gt;="&amp;$A35,Data!$A$2:$A$20000,"&lt;"&amp;($A35+7)))</f>
        <v/>
      </c>
      <c r="D35" s="15">
        <f>IF($A35="","",COUNTIFS(Data!$M$2:$M$20000,"Loss",Data!$A$2:$A$20000,"&gt;="&amp;$A35,Data!$A$2:$A$20000,"&lt;"&amp;($A35+7)))</f>
        <v/>
      </c>
      <c r="E35" s="16">
        <f>IF($A35="","",IF(C35+D35=0,"",C35/(C35+D35)))</f>
        <v/>
      </c>
      <c r="F35" s="17">
        <f>IF($A35="","",SUMIFS(Data!$N$2:$N$20000,Data!$A$2:$A$20000,"&gt;="&amp;$A35,Data!$A$2:$A$20000,"&lt;"&amp;($A35+7)))</f>
        <v/>
      </c>
      <c r="G35" s="18">
        <f>IF($A35="","",SUMIFS(Data!$K$2:$K$20000,Data!$A$2:$A$20000,"&gt;="&amp;$A35,Data!$A$2:$A$20000,"&lt;"&amp;($A35+7)))</f>
        <v/>
      </c>
      <c r="H35" s="19">
        <f>IF($A35="","",IF(G35=0,"",F35/G35))</f>
        <v/>
      </c>
      <c r="L35" s="34" t="n"/>
      <c r="M35" s="35">
        <f>IF($L35="","",SUMIFS(Data!$N$2:$N$20000,Data!$A$2:$A$20000,$L35,Data!$F$2:$F$20000,"Bet"))</f>
        <v/>
      </c>
      <c r="N35" s="35">
        <f>IF($L35="","",SUMIFS(Data!$N$2:$N$20000,Data!$A$2:$A$20000,$L35,Data!$F$2:$F$20000,"Lay"))</f>
        <v/>
      </c>
      <c r="O35" s="35">
        <f>IF($L35="","",M35+N35)</f>
        <v/>
      </c>
      <c r="P35" s="35">
        <f>IF($L35="","",SUMIFS(Data!$N$2:$N$20000,Data!$A$2:$A$20000,"&lt;="&amp;$L35))</f>
        <v/>
      </c>
    </row>
    <row r="36" ht="20" customHeight="1">
      <c r="A36" s="32">
        <f>IF(A35="","",IF(A35-7&lt;MIN(Data!$A$2:$A$20000)-6,"",A35-7))</f>
        <v/>
      </c>
      <c r="B36" s="21">
        <f>IF($A36="","",COUNTIFS(Data!$M$2:$M$20000,"&lt;&gt;",Data!$A$2:$A$20000,"&gt;="&amp;$A36,Data!$A$2:$A$20000,"&lt;"&amp;($A36+7)))</f>
        <v/>
      </c>
      <c r="C36" s="21">
        <f>IF($A36="","",COUNTIFS(Data!$M$2:$M$20000,"Win",Data!$A$2:$A$20000,"&gt;="&amp;$A36,Data!$A$2:$A$20000,"&lt;"&amp;($A36+7)))</f>
        <v/>
      </c>
      <c r="D36" s="21">
        <f>IF($A36="","",COUNTIFS(Data!$M$2:$M$20000,"Loss",Data!$A$2:$A$20000,"&gt;="&amp;$A36,Data!$A$2:$A$20000,"&lt;"&amp;($A36+7)))</f>
        <v/>
      </c>
      <c r="E36" s="22">
        <f>IF($A36="","",IF(C36+D36=0,"",C36/(C36+D36)))</f>
        <v/>
      </c>
      <c r="F36" s="23">
        <f>IF($A36="","",SUMIFS(Data!$N$2:$N$20000,Data!$A$2:$A$20000,"&gt;="&amp;$A36,Data!$A$2:$A$20000,"&lt;"&amp;($A36+7)))</f>
        <v/>
      </c>
      <c r="G36" s="24">
        <f>IF($A36="","",SUMIFS(Data!$K$2:$K$20000,Data!$A$2:$A$20000,"&gt;="&amp;$A36,Data!$A$2:$A$20000,"&lt;"&amp;($A36+7)))</f>
        <v/>
      </c>
      <c r="H36" s="25">
        <f>IF($A36="","",IF(G36=0,"",F36/G36))</f>
        <v/>
      </c>
      <c r="L36" s="34" t="n"/>
      <c r="M36" s="35">
        <f>IF($L36="","",SUMIFS(Data!$N$2:$N$20000,Data!$A$2:$A$20000,$L36,Data!$F$2:$F$20000,"Bet"))</f>
        <v/>
      </c>
      <c r="N36" s="35">
        <f>IF($L36="","",SUMIFS(Data!$N$2:$N$20000,Data!$A$2:$A$20000,$L36,Data!$F$2:$F$20000,"Lay"))</f>
        <v/>
      </c>
      <c r="O36" s="35">
        <f>IF($L36="","",M36+N36)</f>
        <v/>
      </c>
      <c r="P36" s="35">
        <f>IF($L36="","",SUMIFS(Data!$N$2:$N$20000,Data!$A$2:$A$20000,"&lt;="&amp;$L36))</f>
        <v/>
      </c>
    </row>
    <row r="37" ht="20" customHeight="1">
      <c r="A37" s="31">
        <f>IF(A36="","",IF(A36-7&lt;MIN(Data!$A$2:$A$20000)-6,"",A36-7))</f>
        <v/>
      </c>
      <c r="B37" s="15">
        <f>IF($A37="","",COUNTIFS(Data!$M$2:$M$20000,"&lt;&gt;",Data!$A$2:$A$20000,"&gt;="&amp;$A37,Data!$A$2:$A$20000,"&lt;"&amp;($A37+7)))</f>
        <v/>
      </c>
      <c r="C37" s="15">
        <f>IF($A37="","",COUNTIFS(Data!$M$2:$M$20000,"Win",Data!$A$2:$A$20000,"&gt;="&amp;$A37,Data!$A$2:$A$20000,"&lt;"&amp;($A37+7)))</f>
        <v/>
      </c>
      <c r="D37" s="15">
        <f>IF($A37="","",COUNTIFS(Data!$M$2:$M$20000,"Loss",Data!$A$2:$A$20000,"&gt;="&amp;$A37,Data!$A$2:$A$20000,"&lt;"&amp;($A37+7)))</f>
        <v/>
      </c>
      <c r="E37" s="16">
        <f>IF($A37="","",IF(C37+D37=0,"",C37/(C37+D37)))</f>
        <v/>
      </c>
      <c r="F37" s="17">
        <f>IF($A37="","",SUMIFS(Data!$N$2:$N$20000,Data!$A$2:$A$20000,"&gt;="&amp;$A37,Data!$A$2:$A$20000,"&lt;"&amp;($A37+7)))</f>
        <v/>
      </c>
      <c r="G37" s="18">
        <f>IF($A37="","",SUMIFS(Data!$K$2:$K$20000,Data!$A$2:$A$20000,"&gt;="&amp;$A37,Data!$A$2:$A$20000,"&lt;"&amp;($A37+7)))</f>
        <v/>
      </c>
      <c r="H37" s="19">
        <f>IF($A37="","",IF(G37=0,"",F37/G37))</f>
        <v/>
      </c>
      <c r="L37" s="34" t="n"/>
      <c r="M37" s="35">
        <f>IF($L37="","",SUMIFS(Data!$N$2:$N$20000,Data!$A$2:$A$20000,$L37,Data!$F$2:$F$20000,"Bet"))</f>
        <v/>
      </c>
      <c r="N37" s="35">
        <f>IF($L37="","",SUMIFS(Data!$N$2:$N$20000,Data!$A$2:$A$20000,$L37,Data!$F$2:$F$20000,"Lay"))</f>
        <v/>
      </c>
      <c r="O37" s="35">
        <f>IF($L37="","",M37+N37)</f>
        <v/>
      </c>
      <c r="P37" s="35">
        <f>IF($L37="","",SUMIFS(Data!$N$2:$N$20000,Data!$A$2:$A$20000,"&lt;="&amp;$L37))</f>
        <v/>
      </c>
    </row>
    <row r="38" ht="20" customHeight="1">
      <c r="A38" s="32">
        <f>IF(A37="","",IF(A37-7&lt;MIN(Data!$A$2:$A$20000)-6,"",A37-7))</f>
        <v/>
      </c>
      <c r="B38" s="21">
        <f>IF($A38="","",COUNTIFS(Data!$M$2:$M$20000,"&lt;&gt;",Data!$A$2:$A$20000,"&gt;="&amp;$A38,Data!$A$2:$A$20000,"&lt;"&amp;($A38+7)))</f>
        <v/>
      </c>
      <c r="C38" s="21">
        <f>IF($A38="","",COUNTIFS(Data!$M$2:$M$20000,"Win",Data!$A$2:$A$20000,"&gt;="&amp;$A38,Data!$A$2:$A$20000,"&lt;"&amp;($A38+7)))</f>
        <v/>
      </c>
      <c r="D38" s="21">
        <f>IF($A38="","",COUNTIFS(Data!$M$2:$M$20000,"Loss",Data!$A$2:$A$20000,"&gt;="&amp;$A38,Data!$A$2:$A$20000,"&lt;"&amp;($A38+7)))</f>
        <v/>
      </c>
      <c r="E38" s="22">
        <f>IF($A38="","",IF(C38+D38=0,"",C38/(C38+D38)))</f>
        <v/>
      </c>
      <c r="F38" s="23">
        <f>IF($A38="","",SUMIFS(Data!$N$2:$N$20000,Data!$A$2:$A$20000,"&gt;="&amp;$A38,Data!$A$2:$A$20000,"&lt;"&amp;($A38+7)))</f>
        <v/>
      </c>
      <c r="G38" s="24">
        <f>IF($A38="","",SUMIFS(Data!$K$2:$K$20000,Data!$A$2:$A$20000,"&gt;="&amp;$A38,Data!$A$2:$A$20000,"&lt;"&amp;($A38+7)))</f>
        <v/>
      </c>
      <c r="H38" s="25">
        <f>IF($A38="","",IF(G38=0,"",F38/G38))</f>
        <v/>
      </c>
      <c r="L38" s="34" t="n"/>
      <c r="M38" s="35">
        <f>IF($L38="","",SUMIFS(Data!$N$2:$N$20000,Data!$A$2:$A$20000,$L38,Data!$F$2:$F$20000,"Bet"))</f>
        <v/>
      </c>
      <c r="N38" s="35">
        <f>IF($L38="","",SUMIFS(Data!$N$2:$N$20000,Data!$A$2:$A$20000,$L38,Data!$F$2:$F$20000,"Lay"))</f>
        <v/>
      </c>
      <c r="O38" s="35">
        <f>IF($L38="","",M38+N38)</f>
        <v/>
      </c>
      <c r="P38" s="35">
        <f>IF($L38="","",SUMIFS(Data!$N$2:$N$20000,Data!$A$2:$A$20000,"&lt;="&amp;$L38))</f>
        <v/>
      </c>
    </row>
    <row r="39" ht="20" customHeight="1">
      <c r="A39" s="31">
        <f>IF(A38="","",IF(A38-7&lt;MIN(Data!$A$2:$A$20000)-6,"",A38-7))</f>
        <v/>
      </c>
      <c r="B39" s="15">
        <f>IF($A39="","",COUNTIFS(Data!$M$2:$M$20000,"&lt;&gt;",Data!$A$2:$A$20000,"&gt;="&amp;$A39,Data!$A$2:$A$20000,"&lt;"&amp;($A39+7)))</f>
        <v/>
      </c>
      <c r="C39" s="15">
        <f>IF($A39="","",COUNTIFS(Data!$M$2:$M$20000,"Win",Data!$A$2:$A$20000,"&gt;="&amp;$A39,Data!$A$2:$A$20000,"&lt;"&amp;($A39+7)))</f>
        <v/>
      </c>
      <c r="D39" s="15">
        <f>IF($A39="","",COUNTIFS(Data!$M$2:$M$20000,"Loss",Data!$A$2:$A$20000,"&gt;="&amp;$A39,Data!$A$2:$A$20000,"&lt;"&amp;($A39+7)))</f>
        <v/>
      </c>
      <c r="E39" s="16">
        <f>IF($A39="","",IF(C39+D39=0,"",C39/(C39+D39)))</f>
        <v/>
      </c>
      <c r="F39" s="17">
        <f>IF($A39="","",SUMIFS(Data!$N$2:$N$20000,Data!$A$2:$A$20000,"&gt;="&amp;$A39,Data!$A$2:$A$20000,"&lt;"&amp;($A39+7)))</f>
        <v/>
      </c>
      <c r="G39" s="18">
        <f>IF($A39="","",SUMIFS(Data!$K$2:$K$20000,Data!$A$2:$A$20000,"&gt;="&amp;$A39,Data!$A$2:$A$20000,"&lt;"&amp;($A39+7)))</f>
        <v/>
      </c>
      <c r="H39" s="19">
        <f>IF($A39="","",IF(G39=0,"",F39/G39))</f>
        <v/>
      </c>
      <c r="L39" s="34" t="n"/>
      <c r="M39" s="35">
        <f>IF($L39="","",SUMIFS(Data!$N$2:$N$20000,Data!$A$2:$A$20000,$L39,Data!$F$2:$F$20000,"Bet"))</f>
        <v/>
      </c>
      <c r="N39" s="35">
        <f>IF($L39="","",SUMIFS(Data!$N$2:$N$20000,Data!$A$2:$A$20000,$L39,Data!$F$2:$F$20000,"Lay"))</f>
        <v/>
      </c>
      <c r="O39" s="35">
        <f>IF($L39="","",M39+N39)</f>
        <v/>
      </c>
      <c r="P39" s="35">
        <f>IF($L39="","",SUMIFS(Data!$N$2:$N$20000,Data!$A$2:$A$20000,"&lt;="&amp;$L39))</f>
        <v/>
      </c>
    </row>
    <row r="40" ht="20" customHeight="1">
      <c r="A40" s="32">
        <f>IF(A39="","",IF(A39-7&lt;MIN(Data!$A$2:$A$20000)-6,"",A39-7))</f>
        <v/>
      </c>
      <c r="B40" s="21">
        <f>IF($A40="","",COUNTIFS(Data!$M$2:$M$20000,"&lt;&gt;",Data!$A$2:$A$20000,"&gt;="&amp;$A40,Data!$A$2:$A$20000,"&lt;"&amp;($A40+7)))</f>
        <v/>
      </c>
      <c r="C40" s="21">
        <f>IF($A40="","",COUNTIFS(Data!$M$2:$M$20000,"Win",Data!$A$2:$A$20000,"&gt;="&amp;$A40,Data!$A$2:$A$20000,"&lt;"&amp;($A40+7)))</f>
        <v/>
      </c>
      <c r="D40" s="21">
        <f>IF($A40="","",COUNTIFS(Data!$M$2:$M$20000,"Loss",Data!$A$2:$A$20000,"&gt;="&amp;$A40,Data!$A$2:$A$20000,"&lt;"&amp;($A40+7)))</f>
        <v/>
      </c>
      <c r="E40" s="22">
        <f>IF($A40="","",IF(C40+D40=0,"",C40/(C40+D40)))</f>
        <v/>
      </c>
      <c r="F40" s="23">
        <f>IF($A40="","",SUMIFS(Data!$N$2:$N$20000,Data!$A$2:$A$20000,"&gt;="&amp;$A40,Data!$A$2:$A$20000,"&lt;"&amp;($A40+7)))</f>
        <v/>
      </c>
      <c r="G40" s="24">
        <f>IF($A40="","",SUMIFS(Data!$K$2:$K$20000,Data!$A$2:$A$20000,"&gt;="&amp;$A40,Data!$A$2:$A$20000,"&lt;"&amp;($A40+7)))</f>
        <v/>
      </c>
      <c r="H40" s="25">
        <f>IF($A40="","",IF(G40=0,"",F40/G40))</f>
        <v/>
      </c>
      <c r="L40" s="34" t="n"/>
      <c r="M40" s="35">
        <f>IF($L40="","",SUMIFS(Data!$N$2:$N$20000,Data!$A$2:$A$20000,$L40,Data!$F$2:$F$20000,"Bet"))</f>
        <v/>
      </c>
      <c r="N40" s="35">
        <f>IF($L40="","",SUMIFS(Data!$N$2:$N$20000,Data!$A$2:$A$20000,$L40,Data!$F$2:$F$20000,"Lay"))</f>
        <v/>
      </c>
      <c r="O40" s="35">
        <f>IF($L40="","",M40+N40)</f>
        <v/>
      </c>
      <c r="P40" s="35">
        <f>IF($L40="","",SUMIFS(Data!$N$2:$N$20000,Data!$A$2:$A$20000,"&lt;="&amp;$L40))</f>
        <v/>
      </c>
    </row>
    <row r="41">
      <c r="L41" s="34" t="n"/>
      <c r="M41" s="35">
        <f>IF($L41="","",SUMIFS(Data!$N$2:$N$20000,Data!$A$2:$A$20000,$L41,Data!$F$2:$F$20000,"Bet"))</f>
        <v/>
      </c>
      <c r="N41" s="35">
        <f>IF($L41="","",SUMIFS(Data!$N$2:$N$20000,Data!$A$2:$A$20000,$L41,Data!$F$2:$F$20000,"Lay"))</f>
        <v/>
      </c>
      <c r="O41" s="35">
        <f>IF($L41="","",M41+N41)</f>
        <v/>
      </c>
      <c r="P41" s="35">
        <f>IF($L41="","",SUMIFS(Data!$N$2:$N$20000,Data!$A$2:$A$20000,"&lt;="&amp;$L41))</f>
        <v/>
      </c>
    </row>
    <row r="42">
      <c r="A42" s="11" t="inlineStr">
        <is>
          <t>theoverlay.com.au   18+   Gamble responsibly: 1800 858 858 or gamblinghelponline.org.au</t>
        </is>
      </c>
      <c r="L42" s="34" t="n"/>
      <c r="M42" s="35">
        <f>IF($L42="","",SUMIFS(Data!$N$2:$N$20000,Data!$A$2:$A$20000,$L42,Data!$F$2:$F$20000,"Bet"))</f>
        <v/>
      </c>
      <c r="N42" s="35">
        <f>IF($L42="","",SUMIFS(Data!$N$2:$N$20000,Data!$A$2:$A$20000,$L42,Data!$F$2:$F$20000,"Lay"))</f>
        <v/>
      </c>
      <c r="O42" s="35">
        <f>IF($L42="","",M42+N42)</f>
        <v/>
      </c>
      <c r="P42" s="35">
        <f>IF($L42="","",SUMIFS(Data!$N$2:$N$20000,Data!$A$2:$A$20000,"&lt;="&amp;$L42))</f>
        <v/>
      </c>
    </row>
    <row r="43">
      <c r="L43" s="34" t="n"/>
      <c r="M43" s="35">
        <f>IF($L43="","",SUMIFS(Data!$N$2:$N$20000,Data!$A$2:$A$20000,$L43,Data!$F$2:$F$20000,"Bet"))</f>
        <v/>
      </c>
      <c r="N43" s="35">
        <f>IF($L43="","",SUMIFS(Data!$N$2:$N$20000,Data!$A$2:$A$20000,$L43,Data!$F$2:$F$20000,"Lay"))</f>
        <v/>
      </c>
      <c r="O43" s="35">
        <f>IF($L43="","",M43+N43)</f>
        <v/>
      </c>
      <c r="P43" s="35">
        <f>IF($L43="","",SUMIFS(Data!$N$2:$N$20000,Data!$A$2:$A$20000,"&lt;="&amp;$L43))</f>
        <v/>
      </c>
    </row>
    <row r="44">
      <c r="L44" s="34" t="n"/>
      <c r="M44" s="35">
        <f>IF($L44="","",SUMIFS(Data!$N$2:$N$20000,Data!$A$2:$A$20000,$L44,Data!$F$2:$F$20000,"Bet"))</f>
        <v/>
      </c>
      <c r="N44" s="35">
        <f>IF($L44="","",SUMIFS(Data!$N$2:$N$20000,Data!$A$2:$A$20000,$L44,Data!$F$2:$F$20000,"Lay"))</f>
        <v/>
      </c>
      <c r="O44" s="35">
        <f>IF($L44="","",M44+N44)</f>
        <v/>
      </c>
      <c r="P44" s="35">
        <f>IF($L44="","",SUMIFS(Data!$N$2:$N$20000,Data!$A$2:$A$20000,"&lt;="&amp;$L44))</f>
        <v/>
      </c>
    </row>
    <row r="45">
      <c r="L45" s="34" t="n"/>
      <c r="M45" s="35">
        <f>IF($L45="","",SUMIFS(Data!$N$2:$N$20000,Data!$A$2:$A$20000,$L45,Data!$F$2:$F$20000,"Bet"))</f>
        <v/>
      </c>
      <c r="N45" s="35">
        <f>IF($L45="","",SUMIFS(Data!$N$2:$N$20000,Data!$A$2:$A$20000,$L45,Data!$F$2:$F$20000,"Lay"))</f>
        <v/>
      </c>
      <c r="O45" s="35">
        <f>IF($L45="","",M45+N45)</f>
        <v/>
      </c>
      <c r="P45" s="35">
        <f>IF($L45="","",SUMIFS(Data!$N$2:$N$20000,Data!$A$2:$A$20000,"&lt;="&amp;$L45))</f>
        <v/>
      </c>
    </row>
    <row r="46">
      <c r="L46" s="34" t="n"/>
      <c r="M46" s="35">
        <f>IF($L46="","",SUMIFS(Data!$N$2:$N$20000,Data!$A$2:$A$20000,$L46,Data!$F$2:$F$20000,"Bet"))</f>
        <v/>
      </c>
      <c r="N46" s="35">
        <f>IF($L46="","",SUMIFS(Data!$N$2:$N$20000,Data!$A$2:$A$20000,$L46,Data!$F$2:$F$20000,"Lay"))</f>
        <v/>
      </c>
      <c r="O46" s="35">
        <f>IF($L46="","",M46+N46)</f>
        <v/>
      </c>
      <c r="P46" s="35">
        <f>IF($L46="","",SUMIFS(Data!$N$2:$N$20000,Data!$A$2:$A$20000,"&lt;="&amp;$L46))</f>
        <v/>
      </c>
    </row>
    <row r="47">
      <c r="L47" s="34" t="n"/>
      <c r="M47" s="35">
        <f>IF($L47="","",SUMIFS(Data!$N$2:$N$20000,Data!$A$2:$A$20000,$L47,Data!$F$2:$F$20000,"Bet"))</f>
        <v/>
      </c>
      <c r="N47" s="35">
        <f>IF($L47="","",SUMIFS(Data!$N$2:$N$20000,Data!$A$2:$A$20000,$L47,Data!$F$2:$F$20000,"Lay"))</f>
        <v/>
      </c>
      <c r="O47" s="35">
        <f>IF($L47="","",M47+N47)</f>
        <v/>
      </c>
      <c r="P47" s="35">
        <f>IF($L47="","",SUMIFS(Data!$N$2:$N$20000,Data!$A$2:$A$20000,"&lt;="&amp;$L47))</f>
        <v/>
      </c>
    </row>
    <row r="48">
      <c r="L48" s="34" t="n"/>
      <c r="M48" s="35">
        <f>IF($L48="","",SUMIFS(Data!$N$2:$N$20000,Data!$A$2:$A$20000,$L48,Data!$F$2:$F$20000,"Bet"))</f>
        <v/>
      </c>
      <c r="N48" s="35">
        <f>IF($L48="","",SUMIFS(Data!$N$2:$N$20000,Data!$A$2:$A$20000,$L48,Data!$F$2:$F$20000,"Lay"))</f>
        <v/>
      </c>
      <c r="O48" s="35">
        <f>IF($L48="","",M48+N48)</f>
        <v/>
      </c>
      <c r="P48" s="35">
        <f>IF($L48="","",SUMIFS(Data!$N$2:$N$20000,Data!$A$2:$A$20000,"&lt;="&amp;$L48))</f>
        <v/>
      </c>
    </row>
    <row r="49">
      <c r="L49" s="34" t="n"/>
      <c r="M49" s="35">
        <f>IF($L49="","",SUMIFS(Data!$N$2:$N$20000,Data!$A$2:$A$20000,$L49,Data!$F$2:$F$20000,"Bet"))</f>
        <v/>
      </c>
      <c r="N49" s="35">
        <f>IF($L49="","",SUMIFS(Data!$N$2:$N$20000,Data!$A$2:$A$20000,$L49,Data!$F$2:$F$20000,"Lay"))</f>
        <v/>
      </c>
      <c r="O49" s="35">
        <f>IF($L49="","",M49+N49)</f>
        <v/>
      </c>
      <c r="P49" s="35">
        <f>IF($L49="","",SUMIFS(Data!$N$2:$N$20000,Data!$A$2:$A$20000,"&lt;="&amp;$L49))</f>
        <v/>
      </c>
    </row>
    <row r="50">
      <c r="L50" s="34" t="n"/>
      <c r="M50" s="35">
        <f>IF($L50="","",SUMIFS(Data!$N$2:$N$20000,Data!$A$2:$A$20000,$L50,Data!$F$2:$F$20000,"Bet"))</f>
        <v/>
      </c>
      <c r="N50" s="35">
        <f>IF($L50="","",SUMIFS(Data!$N$2:$N$20000,Data!$A$2:$A$20000,$L50,Data!$F$2:$F$20000,"Lay"))</f>
        <v/>
      </c>
      <c r="O50" s="35">
        <f>IF($L50="","",M50+N50)</f>
        <v/>
      </c>
      <c r="P50" s="35">
        <f>IF($L50="","",SUMIFS(Data!$N$2:$N$20000,Data!$A$2:$A$20000,"&lt;="&amp;$L50))</f>
        <v/>
      </c>
    </row>
    <row r="51">
      <c r="L51" s="34" t="n"/>
      <c r="M51" s="35">
        <f>IF($L51="","",SUMIFS(Data!$N$2:$N$20000,Data!$A$2:$A$20000,$L51,Data!$F$2:$F$20000,"Bet"))</f>
        <v/>
      </c>
      <c r="N51" s="35">
        <f>IF($L51="","",SUMIFS(Data!$N$2:$N$20000,Data!$A$2:$A$20000,$L51,Data!$F$2:$F$20000,"Lay"))</f>
        <v/>
      </c>
      <c r="O51" s="35">
        <f>IF($L51="","",M51+N51)</f>
        <v/>
      </c>
      <c r="P51" s="35">
        <f>IF($L51="","",SUMIFS(Data!$N$2:$N$20000,Data!$A$2:$A$20000,"&lt;="&amp;$L51))</f>
        <v/>
      </c>
    </row>
    <row r="52">
      <c r="L52" s="34" t="n"/>
      <c r="M52" s="35">
        <f>IF($L52="","",SUMIFS(Data!$N$2:$N$20000,Data!$A$2:$A$20000,$L52,Data!$F$2:$F$20000,"Bet"))</f>
        <v/>
      </c>
      <c r="N52" s="35">
        <f>IF($L52="","",SUMIFS(Data!$N$2:$N$20000,Data!$A$2:$A$20000,$L52,Data!$F$2:$F$20000,"Lay"))</f>
        <v/>
      </c>
      <c r="O52" s="35">
        <f>IF($L52="","",M52+N52)</f>
        <v/>
      </c>
      <c r="P52" s="35">
        <f>IF($L52="","",SUMIFS(Data!$N$2:$N$20000,Data!$A$2:$A$20000,"&lt;="&amp;$L52))</f>
        <v/>
      </c>
    </row>
    <row r="53">
      <c r="L53" s="34" t="n"/>
      <c r="M53" s="35">
        <f>IF($L53="","",SUMIFS(Data!$N$2:$N$20000,Data!$A$2:$A$20000,$L53,Data!$F$2:$F$20000,"Bet"))</f>
        <v/>
      </c>
      <c r="N53" s="35">
        <f>IF($L53="","",SUMIFS(Data!$N$2:$N$20000,Data!$A$2:$A$20000,$L53,Data!$F$2:$F$20000,"Lay"))</f>
        <v/>
      </c>
      <c r="O53" s="35">
        <f>IF($L53="","",M53+N53)</f>
        <v/>
      </c>
      <c r="P53" s="35">
        <f>IF($L53="","",SUMIFS(Data!$N$2:$N$20000,Data!$A$2:$A$20000,"&lt;="&amp;$L53))</f>
        <v/>
      </c>
    </row>
    <row r="54">
      <c r="L54" s="34" t="n"/>
      <c r="M54" s="35">
        <f>IF($L54="","",SUMIFS(Data!$N$2:$N$20000,Data!$A$2:$A$20000,$L54,Data!$F$2:$F$20000,"Bet"))</f>
        <v/>
      </c>
      <c r="N54" s="35">
        <f>IF($L54="","",SUMIFS(Data!$N$2:$N$20000,Data!$A$2:$A$20000,$L54,Data!$F$2:$F$20000,"Lay"))</f>
        <v/>
      </c>
      <c r="O54" s="35">
        <f>IF($L54="","",M54+N54)</f>
        <v/>
      </c>
      <c r="P54" s="35">
        <f>IF($L54="","",SUMIFS(Data!$N$2:$N$20000,Data!$A$2:$A$20000,"&lt;="&amp;$L54))</f>
        <v/>
      </c>
    </row>
    <row r="55">
      <c r="L55" s="34" t="n"/>
      <c r="M55" s="35">
        <f>IF($L55="","",SUMIFS(Data!$N$2:$N$20000,Data!$A$2:$A$20000,$L55,Data!$F$2:$F$20000,"Bet"))</f>
        <v/>
      </c>
      <c r="N55" s="35">
        <f>IF($L55="","",SUMIFS(Data!$N$2:$N$20000,Data!$A$2:$A$20000,$L55,Data!$F$2:$F$20000,"Lay"))</f>
        <v/>
      </c>
      <c r="O55" s="35">
        <f>IF($L55="","",M55+N55)</f>
        <v/>
      </c>
      <c r="P55" s="35">
        <f>IF($L55="","",SUMIFS(Data!$N$2:$N$20000,Data!$A$2:$A$20000,"&lt;="&amp;$L55))</f>
        <v/>
      </c>
    </row>
    <row r="56">
      <c r="L56" s="34" t="n"/>
      <c r="M56" s="35">
        <f>IF($L56="","",SUMIFS(Data!$N$2:$N$20000,Data!$A$2:$A$20000,$L56,Data!$F$2:$F$20000,"Bet"))</f>
        <v/>
      </c>
      <c r="N56" s="35">
        <f>IF($L56="","",SUMIFS(Data!$N$2:$N$20000,Data!$A$2:$A$20000,$L56,Data!$F$2:$F$20000,"Lay"))</f>
        <v/>
      </c>
      <c r="O56" s="35">
        <f>IF($L56="","",M56+N56)</f>
        <v/>
      </c>
      <c r="P56" s="35">
        <f>IF($L56="","",SUMIFS(Data!$N$2:$N$20000,Data!$A$2:$A$20000,"&lt;="&amp;$L56))</f>
        <v/>
      </c>
    </row>
    <row r="57">
      <c r="L57" s="34" t="n"/>
      <c r="M57" s="35">
        <f>IF($L57="","",SUMIFS(Data!$N$2:$N$20000,Data!$A$2:$A$20000,$L57,Data!$F$2:$F$20000,"Bet"))</f>
        <v/>
      </c>
      <c r="N57" s="35">
        <f>IF($L57="","",SUMIFS(Data!$N$2:$N$20000,Data!$A$2:$A$20000,$L57,Data!$F$2:$F$20000,"Lay"))</f>
        <v/>
      </c>
      <c r="O57" s="35">
        <f>IF($L57="","",M57+N57)</f>
        <v/>
      </c>
      <c r="P57" s="35">
        <f>IF($L57="","",SUMIFS(Data!$N$2:$N$20000,Data!$A$2:$A$20000,"&lt;="&amp;$L57))</f>
        <v/>
      </c>
    </row>
    <row r="58">
      <c r="L58" s="34" t="n"/>
      <c r="M58" s="35">
        <f>IF($L58="","",SUMIFS(Data!$N$2:$N$20000,Data!$A$2:$A$20000,$L58,Data!$F$2:$F$20000,"Bet"))</f>
        <v/>
      </c>
      <c r="N58" s="35">
        <f>IF($L58="","",SUMIFS(Data!$N$2:$N$20000,Data!$A$2:$A$20000,$L58,Data!$F$2:$F$20000,"Lay"))</f>
        <v/>
      </c>
      <c r="O58" s="35">
        <f>IF($L58="","",M58+N58)</f>
        <v/>
      </c>
      <c r="P58" s="35">
        <f>IF($L58="","",SUMIFS(Data!$N$2:$N$20000,Data!$A$2:$A$20000,"&lt;="&amp;$L58))</f>
        <v/>
      </c>
    </row>
    <row r="59">
      <c r="L59" s="34" t="n"/>
      <c r="M59" s="35">
        <f>IF($L59="","",SUMIFS(Data!$N$2:$N$20000,Data!$A$2:$A$20000,$L59,Data!$F$2:$F$20000,"Bet"))</f>
        <v/>
      </c>
      <c r="N59" s="35">
        <f>IF($L59="","",SUMIFS(Data!$N$2:$N$20000,Data!$A$2:$A$20000,$L59,Data!$F$2:$F$20000,"Lay"))</f>
        <v/>
      </c>
      <c r="O59" s="35">
        <f>IF($L59="","",M59+N59)</f>
        <v/>
      </c>
      <c r="P59" s="35">
        <f>IF($L59="","",SUMIFS(Data!$N$2:$N$20000,Data!$A$2:$A$20000,"&lt;="&amp;$L59))</f>
        <v/>
      </c>
    </row>
    <row r="60">
      <c r="L60" s="34" t="n"/>
      <c r="M60" s="35">
        <f>IF($L60="","",SUMIFS(Data!$N$2:$N$20000,Data!$A$2:$A$20000,$L60,Data!$F$2:$F$20000,"Bet"))</f>
        <v/>
      </c>
      <c r="N60" s="35">
        <f>IF($L60="","",SUMIFS(Data!$N$2:$N$20000,Data!$A$2:$A$20000,$L60,Data!$F$2:$F$20000,"Lay"))</f>
        <v/>
      </c>
      <c r="O60" s="35">
        <f>IF($L60="","",M60+N60)</f>
        <v/>
      </c>
      <c r="P60" s="35">
        <f>IF($L60="","",SUMIFS(Data!$N$2:$N$20000,Data!$A$2:$A$20000,"&lt;="&amp;$L60))</f>
        <v/>
      </c>
    </row>
    <row r="61">
      <c r="L61" s="34" t="n"/>
      <c r="M61" s="35">
        <f>IF($L61="","",SUMIFS(Data!$N$2:$N$20000,Data!$A$2:$A$20000,$L61,Data!$F$2:$F$20000,"Bet"))</f>
        <v/>
      </c>
      <c r="N61" s="35">
        <f>IF($L61="","",SUMIFS(Data!$N$2:$N$20000,Data!$A$2:$A$20000,$L61,Data!$F$2:$F$20000,"Lay"))</f>
        <v/>
      </c>
      <c r="O61" s="35">
        <f>IF($L61="","",M61+N61)</f>
        <v/>
      </c>
      <c r="P61" s="35">
        <f>IF($L61="","",SUMIFS(Data!$N$2:$N$20000,Data!$A$2:$A$20000,"&lt;="&amp;$L61))</f>
        <v/>
      </c>
    </row>
    <row r="62">
      <c r="L62" s="34" t="n"/>
      <c r="M62" s="35">
        <f>IF($L62="","",SUMIFS(Data!$N$2:$N$20000,Data!$A$2:$A$20000,$L62,Data!$F$2:$F$20000,"Bet"))</f>
        <v/>
      </c>
      <c r="N62" s="35">
        <f>IF($L62="","",SUMIFS(Data!$N$2:$N$20000,Data!$A$2:$A$20000,$L62,Data!$F$2:$F$20000,"Lay"))</f>
        <v/>
      </c>
      <c r="O62" s="35">
        <f>IF($L62="","",M62+N62)</f>
        <v/>
      </c>
      <c r="P62" s="35">
        <f>IF($L62="","",SUMIFS(Data!$N$2:$N$20000,Data!$A$2:$A$20000,"&lt;="&amp;$L62))</f>
        <v/>
      </c>
    </row>
    <row r="63">
      <c r="L63" s="34" t="n"/>
      <c r="M63" s="35">
        <f>IF($L63="","",SUMIFS(Data!$N$2:$N$20000,Data!$A$2:$A$20000,$L63,Data!$F$2:$F$20000,"Bet"))</f>
        <v/>
      </c>
      <c r="N63" s="35">
        <f>IF($L63="","",SUMIFS(Data!$N$2:$N$20000,Data!$A$2:$A$20000,$L63,Data!$F$2:$F$20000,"Lay"))</f>
        <v/>
      </c>
      <c r="O63" s="35">
        <f>IF($L63="","",M63+N63)</f>
        <v/>
      </c>
      <c r="P63" s="35">
        <f>IF($L63="","",SUMIFS(Data!$N$2:$N$20000,Data!$A$2:$A$20000,"&lt;="&amp;$L63))</f>
        <v/>
      </c>
    </row>
    <row r="64">
      <c r="L64" s="34" t="n"/>
      <c r="M64" s="35">
        <f>IF($L64="","",SUMIFS(Data!$N$2:$N$20000,Data!$A$2:$A$20000,$L64,Data!$F$2:$F$20000,"Bet"))</f>
        <v/>
      </c>
      <c r="N64" s="35">
        <f>IF($L64="","",SUMIFS(Data!$N$2:$N$20000,Data!$A$2:$A$20000,$L64,Data!$F$2:$F$20000,"Lay"))</f>
        <v/>
      </c>
      <c r="O64" s="35">
        <f>IF($L64="","",M64+N64)</f>
        <v/>
      </c>
      <c r="P64" s="35">
        <f>IF($L64="","",SUMIFS(Data!$N$2:$N$20000,Data!$A$2:$A$20000,"&lt;="&amp;$L64))</f>
        <v/>
      </c>
    </row>
    <row r="65">
      <c r="L65" s="34" t="n"/>
      <c r="M65" s="35">
        <f>IF($L65="","",SUMIFS(Data!$N$2:$N$20000,Data!$A$2:$A$20000,$L65,Data!$F$2:$F$20000,"Bet"))</f>
        <v/>
      </c>
      <c r="N65" s="35">
        <f>IF($L65="","",SUMIFS(Data!$N$2:$N$20000,Data!$A$2:$A$20000,$L65,Data!$F$2:$F$20000,"Lay"))</f>
        <v/>
      </c>
      <c r="O65" s="35">
        <f>IF($L65="","",M65+N65)</f>
        <v/>
      </c>
      <c r="P65" s="35">
        <f>IF($L65="","",SUMIFS(Data!$N$2:$N$20000,Data!$A$2:$A$20000,"&lt;="&amp;$L65))</f>
        <v/>
      </c>
    </row>
    <row r="66">
      <c r="L66" s="34" t="n"/>
      <c r="M66" s="35">
        <f>IF($L66="","",SUMIFS(Data!$N$2:$N$20000,Data!$A$2:$A$20000,$L66,Data!$F$2:$F$20000,"Bet"))</f>
        <v/>
      </c>
      <c r="N66" s="35">
        <f>IF($L66="","",SUMIFS(Data!$N$2:$N$20000,Data!$A$2:$A$20000,$L66,Data!$F$2:$F$20000,"Lay"))</f>
        <v/>
      </c>
      <c r="O66" s="35">
        <f>IF($L66="","",M66+N66)</f>
        <v/>
      </c>
      <c r="P66" s="35">
        <f>IF($L66="","",SUMIFS(Data!$N$2:$N$20000,Data!$A$2:$A$20000,"&lt;="&amp;$L66))</f>
        <v/>
      </c>
    </row>
    <row r="67">
      <c r="L67" s="34" t="n"/>
      <c r="M67" s="35">
        <f>IF($L67="","",SUMIFS(Data!$N$2:$N$20000,Data!$A$2:$A$20000,$L67,Data!$F$2:$F$20000,"Bet"))</f>
        <v/>
      </c>
      <c r="N67" s="35">
        <f>IF($L67="","",SUMIFS(Data!$N$2:$N$20000,Data!$A$2:$A$20000,$L67,Data!$F$2:$F$20000,"Lay"))</f>
        <v/>
      </c>
      <c r="O67" s="35">
        <f>IF($L67="","",M67+N67)</f>
        <v/>
      </c>
      <c r="P67" s="35">
        <f>IF($L67="","",SUMIFS(Data!$N$2:$N$20000,Data!$A$2:$A$20000,"&lt;="&amp;$L67))</f>
        <v/>
      </c>
    </row>
    <row r="68">
      <c r="L68" s="34" t="n"/>
      <c r="M68" s="35">
        <f>IF($L68="","",SUMIFS(Data!$N$2:$N$20000,Data!$A$2:$A$20000,$L68,Data!$F$2:$F$20000,"Bet"))</f>
        <v/>
      </c>
      <c r="N68" s="35">
        <f>IF($L68="","",SUMIFS(Data!$N$2:$N$20000,Data!$A$2:$A$20000,$L68,Data!$F$2:$F$20000,"Lay"))</f>
        <v/>
      </c>
      <c r="O68" s="35">
        <f>IF($L68="","",M68+N68)</f>
        <v/>
      </c>
      <c r="P68" s="35">
        <f>IF($L68="","",SUMIFS(Data!$N$2:$N$20000,Data!$A$2:$A$20000,"&lt;="&amp;$L68))</f>
        <v/>
      </c>
    </row>
    <row r="69">
      <c r="L69" s="34" t="n"/>
      <c r="M69" s="35">
        <f>IF($L69="","",SUMIFS(Data!$N$2:$N$20000,Data!$A$2:$A$20000,$L69,Data!$F$2:$F$20000,"Bet"))</f>
        <v/>
      </c>
      <c r="N69" s="35">
        <f>IF($L69="","",SUMIFS(Data!$N$2:$N$20000,Data!$A$2:$A$20000,$L69,Data!$F$2:$F$20000,"Lay"))</f>
        <v/>
      </c>
      <c r="O69" s="35">
        <f>IF($L69="","",M69+N69)</f>
        <v/>
      </c>
      <c r="P69" s="35">
        <f>IF($L69="","",SUMIFS(Data!$N$2:$N$20000,Data!$A$2:$A$20000,"&lt;="&amp;$L69))</f>
        <v/>
      </c>
    </row>
    <row r="70">
      <c r="L70" s="34" t="n"/>
      <c r="M70" s="35">
        <f>IF($L70="","",SUMIFS(Data!$N$2:$N$20000,Data!$A$2:$A$20000,$L70,Data!$F$2:$F$20000,"Bet"))</f>
        <v/>
      </c>
      <c r="N70" s="35">
        <f>IF($L70="","",SUMIFS(Data!$N$2:$N$20000,Data!$A$2:$A$20000,$L70,Data!$F$2:$F$20000,"Lay"))</f>
        <v/>
      </c>
      <c r="O70" s="35">
        <f>IF($L70="","",M70+N70)</f>
        <v/>
      </c>
      <c r="P70" s="35">
        <f>IF($L70="","",SUMIFS(Data!$N$2:$N$20000,Data!$A$2:$A$20000,"&lt;="&amp;$L70))</f>
        <v/>
      </c>
    </row>
    <row r="71">
      <c r="L71" s="34" t="n"/>
      <c r="M71" s="35">
        <f>IF($L71="","",SUMIFS(Data!$N$2:$N$20000,Data!$A$2:$A$20000,$L71,Data!$F$2:$F$20000,"Bet"))</f>
        <v/>
      </c>
      <c r="N71" s="35">
        <f>IF($L71="","",SUMIFS(Data!$N$2:$N$20000,Data!$A$2:$A$20000,$L71,Data!$F$2:$F$20000,"Lay"))</f>
        <v/>
      </c>
      <c r="O71" s="35">
        <f>IF($L71="","",M71+N71)</f>
        <v/>
      </c>
      <c r="P71" s="35">
        <f>IF($L71="","",SUMIFS(Data!$N$2:$N$20000,Data!$A$2:$A$20000,"&lt;="&amp;$L71))</f>
        <v/>
      </c>
    </row>
    <row r="72">
      <c r="L72" s="34" t="n"/>
      <c r="M72" s="35">
        <f>IF($L72="","",SUMIFS(Data!$N$2:$N$20000,Data!$A$2:$A$20000,$L72,Data!$F$2:$F$20000,"Bet"))</f>
        <v/>
      </c>
      <c r="N72" s="35">
        <f>IF($L72="","",SUMIFS(Data!$N$2:$N$20000,Data!$A$2:$A$20000,$L72,Data!$F$2:$F$20000,"Lay"))</f>
        <v/>
      </c>
      <c r="O72" s="35">
        <f>IF($L72="","",M72+N72)</f>
        <v/>
      </c>
      <c r="P72" s="35">
        <f>IF($L72="","",SUMIFS(Data!$N$2:$N$20000,Data!$A$2:$A$20000,"&lt;="&amp;$L72))</f>
        <v/>
      </c>
    </row>
    <row r="73">
      <c r="L73" s="34" t="n"/>
      <c r="M73" s="35">
        <f>IF($L73="","",SUMIFS(Data!$N$2:$N$20000,Data!$A$2:$A$20000,$L73,Data!$F$2:$F$20000,"Bet"))</f>
        <v/>
      </c>
      <c r="N73" s="35">
        <f>IF($L73="","",SUMIFS(Data!$N$2:$N$20000,Data!$A$2:$A$20000,$L73,Data!$F$2:$F$20000,"Lay"))</f>
        <v/>
      </c>
      <c r="O73" s="35">
        <f>IF($L73="","",M73+N73)</f>
        <v/>
      </c>
      <c r="P73" s="35">
        <f>IF($L73="","",SUMIFS(Data!$N$2:$N$20000,Data!$A$2:$A$20000,"&lt;="&amp;$L73))</f>
        <v/>
      </c>
    </row>
    <row r="74">
      <c r="L74" s="34" t="n"/>
      <c r="M74" s="35">
        <f>IF($L74="","",SUMIFS(Data!$N$2:$N$20000,Data!$A$2:$A$20000,$L74,Data!$F$2:$F$20000,"Bet"))</f>
        <v/>
      </c>
      <c r="N74" s="35">
        <f>IF($L74="","",SUMIFS(Data!$N$2:$N$20000,Data!$A$2:$A$20000,$L74,Data!$F$2:$F$20000,"Lay"))</f>
        <v/>
      </c>
      <c r="O74" s="35">
        <f>IF($L74="","",M74+N74)</f>
        <v/>
      </c>
      <c r="P74" s="35">
        <f>IF($L74="","",SUMIFS(Data!$N$2:$N$20000,Data!$A$2:$A$20000,"&lt;="&amp;$L74))</f>
        <v/>
      </c>
    </row>
    <row r="75">
      <c r="L75" s="34" t="n"/>
      <c r="M75" s="35">
        <f>IF($L75="","",SUMIFS(Data!$N$2:$N$20000,Data!$A$2:$A$20000,$L75,Data!$F$2:$F$20000,"Bet"))</f>
        <v/>
      </c>
      <c r="N75" s="35">
        <f>IF($L75="","",SUMIFS(Data!$N$2:$N$20000,Data!$A$2:$A$20000,$L75,Data!$F$2:$F$20000,"Lay"))</f>
        <v/>
      </c>
      <c r="O75" s="35">
        <f>IF($L75="","",M75+N75)</f>
        <v/>
      </c>
      <c r="P75" s="35">
        <f>IF($L75="","",SUMIFS(Data!$N$2:$N$20000,Data!$A$2:$A$20000,"&lt;="&amp;$L75))</f>
        <v/>
      </c>
    </row>
    <row r="76">
      <c r="L76" s="34" t="n"/>
      <c r="M76" s="35">
        <f>IF($L76="","",SUMIFS(Data!$N$2:$N$20000,Data!$A$2:$A$20000,$L76,Data!$F$2:$F$20000,"Bet"))</f>
        <v/>
      </c>
      <c r="N76" s="35">
        <f>IF($L76="","",SUMIFS(Data!$N$2:$N$20000,Data!$A$2:$A$20000,$L76,Data!$F$2:$F$20000,"Lay"))</f>
        <v/>
      </c>
      <c r="O76" s="35">
        <f>IF($L76="","",M76+N76)</f>
        <v/>
      </c>
      <c r="P76" s="35">
        <f>IF($L76="","",SUMIFS(Data!$N$2:$N$20000,Data!$A$2:$A$20000,"&lt;="&amp;$L76))</f>
        <v/>
      </c>
    </row>
    <row r="77">
      <c r="L77" s="34" t="n"/>
      <c r="M77" s="35">
        <f>IF($L77="","",SUMIFS(Data!$N$2:$N$20000,Data!$A$2:$A$20000,$L77,Data!$F$2:$F$20000,"Bet"))</f>
        <v/>
      </c>
      <c r="N77" s="35">
        <f>IF($L77="","",SUMIFS(Data!$N$2:$N$20000,Data!$A$2:$A$20000,$L77,Data!$F$2:$F$20000,"Lay"))</f>
        <v/>
      </c>
      <c r="O77" s="35">
        <f>IF($L77="","",M77+N77)</f>
        <v/>
      </c>
      <c r="P77" s="35">
        <f>IF($L77="","",SUMIFS(Data!$N$2:$N$20000,Data!$A$2:$A$20000,"&lt;="&amp;$L77))</f>
        <v/>
      </c>
    </row>
    <row r="78">
      <c r="L78" s="34" t="n"/>
      <c r="M78" s="35">
        <f>IF($L78="","",SUMIFS(Data!$N$2:$N$20000,Data!$A$2:$A$20000,$L78,Data!$F$2:$F$20000,"Bet"))</f>
        <v/>
      </c>
      <c r="N78" s="35">
        <f>IF($L78="","",SUMIFS(Data!$N$2:$N$20000,Data!$A$2:$A$20000,$L78,Data!$F$2:$F$20000,"Lay"))</f>
        <v/>
      </c>
      <c r="O78" s="35">
        <f>IF($L78="","",M78+N78)</f>
        <v/>
      </c>
      <c r="P78" s="35">
        <f>IF($L78="","",SUMIFS(Data!$N$2:$N$20000,Data!$A$2:$A$20000,"&lt;="&amp;$L78))</f>
        <v/>
      </c>
    </row>
    <row r="79">
      <c r="L79" s="34" t="n"/>
      <c r="M79" s="35">
        <f>IF($L79="","",SUMIFS(Data!$N$2:$N$20000,Data!$A$2:$A$20000,$L79,Data!$F$2:$F$20000,"Bet"))</f>
        <v/>
      </c>
      <c r="N79" s="35">
        <f>IF($L79="","",SUMIFS(Data!$N$2:$N$20000,Data!$A$2:$A$20000,$L79,Data!$F$2:$F$20000,"Lay"))</f>
        <v/>
      </c>
      <c r="O79" s="35">
        <f>IF($L79="","",M79+N79)</f>
        <v/>
      </c>
      <c r="P79" s="35">
        <f>IF($L79="","",SUMIFS(Data!$N$2:$N$20000,Data!$A$2:$A$20000,"&lt;="&amp;$L79))</f>
        <v/>
      </c>
    </row>
    <row r="80">
      <c r="L80" s="34" t="n"/>
      <c r="M80" s="35">
        <f>IF($L80="","",SUMIFS(Data!$N$2:$N$20000,Data!$A$2:$A$20000,$L80,Data!$F$2:$F$20000,"Bet"))</f>
        <v/>
      </c>
      <c r="N80" s="35">
        <f>IF($L80="","",SUMIFS(Data!$N$2:$N$20000,Data!$A$2:$A$20000,$L80,Data!$F$2:$F$20000,"Lay"))</f>
        <v/>
      </c>
      <c r="O80" s="35">
        <f>IF($L80="","",M80+N80)</f>
        <v/>
      </c>
      <c r="P80" s="35">
        <f>IF($L80="","",SUMIFS(Data!$N$2:$N$20000,Data!$A$2:$A$20000,"&lt;="&amp;$L80))</f>
        <v/>
      </c>
    </row>
    <row r="81">
      <c r="L81" s="34" t="n"/>
      <c r="M81" s="35">
        <f>IF($L81="","",SUMIFS(Data!$N$2:$N$20000,Data!$A$2:$A$20000,$L81,Data!$F$2:$F$20000,"Bet"))</f>
        <v/>
      </c>
      <c r="N81" s="35">
        <f>IF($L81="","",SUMIFS(Data!$N$2:$N$20000,Data!$A$2:$A$20000,$L81,Data!$F$2:$F$20000,"Lay"))</f>
        <v/>
      </c>
      <c r="O81" s="35">
        <f>IF($L81="","",M81+N81)</f>
        <v/>
      </c>
      <c r="P81" s="35">
        <f>IF($L81="","",SUMIFS(Data!$N$2:$N$20000,Data!$A$2:$A$20000,"&lt;="&amp;$L81))</f>
        <v/>
      </c>
    </row>
    <row r="82">
      <c r="L82" s="34" t="n"/>
      <c r="M82" s="35">
        <f>IF($L82="","",SUMIFS(Data!$N$2:$N$20000,Data!$A$2:$A$20000,$L82,Data!$F$2:$F$20000,"Bet"))</f>
        <v/>
      </c>
      <c r="N82" s="35">
        <f>IF($L82="","",SUMIFS(Data!$N$2:$N$20000,Data!$A$2:$A$20000,$L82,Data!$F$2:$F$20000,"Lay"))</f>
        <v/>
      </c>
      <c r="O82" s="35">
        <f>IF($L82="","",M82+N82)</f>
        <v/>
      </c>
      <c r="P82" s="35">
        <f>IF($L82="","",SUMIFS(Data!$N$2:$N$20000,Data!$A$2:$A$20000,"&lt;="&amp;$L82))</f>
        <v/>
      </c>
    </row>
    <row r="83">
      <c r="L83" s="34" t="n"/>
      <c r="M83" s="35">
        <f>IF($L83="","",SUMIFS(Data!$N$2:$N$20000,Data!$A$2:$A$20000,$L83,Data!$F$2:$F$20000,"Bet"))</f>
        <v/>
      </c>
      <c r="N83" s="35">
        <f>IF($L83="","",SUMIFS(Data!$N$2:$N$20000,Data!$A$2:$A$20000,$L83,Data!$F$2:$F$20000,"Lay"))</f>
        <v/>
      </c>
      <c r="O83" s="35">
        <f>IF($L83="","",M83+N83)</f>
        <v/>
      </c>
      <c r="P83" s="35">
        <f>IF($L83="","",SUMIFS(Data!$N$2:$N$20000,Data!$A$2:$A$20000,"&lt;="&amp;$L83))</f>
        <v/>
      </c>
    </row>
    <row r="84">
      <c r="L84" s="34" t="n"/>
      <c r="M84" s="35">
        <f>IF($L84="","",SUMIFS(Data!$N$2:$N$20000,Data!$A$2:$A$20000,$L84,Data!$F$2:$F$20000,"Bet"))</f>
        <v/>
      </c>
      <c r="N84" s="35">
        <f>IF($L84="","",SUMIFS(Data!$N$2:$N$20000,Data!$A$2:$A$20000,$L84,Data!$F$2:$F$20000,"Lay"))</f>
        <v/>
      </c>
      <c r="O84" s="35">
        <f>IF($L84="","",M84+N84)</f>
        <v/>
      </c>
      <c r="P84" s="35">
        <f>IF($L84="","",SUMIFS(Data!$N$2:$N$20000,Data!$A$2:$A$20000,"&lt;="&amp;$L84))</f>
        <v/>
      </c>
    </row>
    <row r="85">
      <c r="L85" s="34" t="n"/>
      <c r="M85" s="35">
        <f>IF($L85="","",SUMIFS(Data!$N$2:$N$20000,Data!$A$2:$A$20000,$L85,Data!$F$2:$F$20000,"Bet"))</f>
        <v/>
      </c>
      <c r="N85" s="35">
        <f>IF($L85="","",SUMIFS(Data!$N$2:$N$20000,Data!$A$2:$A$20000,$L85,Data!$F$2:$F$20000,"Lay"))</f>
        <v/>
      </c>
      <c r="O85" s="35">
        <f>IF($L85="","",M85+N85)</f>
        <v/>
      </c>
      <c r="P85" s="35">
        <f>IF($L85="","",SUMIFS(Data!$N$2:$N$20000,Data!$A$2:$A$20000,"&lt;="&amp;$L85))</f>
        <v/>
      </c>
    </row>
    <row r="86">
      <c r="L86" s="34" t="n"/>
      <c r="M86" s="35">
        <f>IF($L86="","",SUMIFS(Data!$N$2:$N$20000,Data!$A$2:$A$20000,$L86,Data!$F$2:$F$20000,"Bet"))</f>
        <v/>
      </c>
      <c r="N86" s="35">
        <f>IF($L86="","",SUMIFS(Data!$N$2:$N$20000,Data!$A$2:$A$20000,$L86,Data!$F$2:$F$20000,"Lay"))</f>
        <v/>
      </c>
      <c r="O86" s="35">
        <f>IF($L86="","",M86+N86)</f>
        <v/>
      </c>
      <c r="P86" s="35">
        <f>IF($L86="","",SUMIFS(Data!$N$2:$N$20000,Data!$A$2:$A$20000,"&lt;="&amp;$L86))</f>
        <v/>
      </c>
    </row>
    <row r="87">
      <c r="L87" s="34" t="n"/>
      <c r="M87" s="35">
        <f>IF($L87="","",SUMIFS(Data!$N$2:$N$20000,Data!$A$2:$A$20000,$L87,Data!$F$2:$F$20000,"Bet"))</f>
        <v/>
      </c>
      <c r="N87" s="35">
        <f>IF($L87="","",SUMIFS(Data!$N$2:$N$20000,Data!$A$2:$A$20000,$L87,Data!$F$2:$F$20000,"Lay"))</f>
        <v/>
      </c>
      <c r="O87" s="35">
        <f>IF($L87="","",M87+N87)</f>
        <v/>
      </c>
      <c r="P87" s="35">
        <f>IF($L87="","",SUMIFS(Data!$N$2:$N$20000,Data!$A$2:$A$20000,"&lt;="&amp;$L87))</f>
        <v/>
      </c>
    </row>
    <row r="88">
      <c r="L88" s="34" t="n"/>
      <c r="M88" s="35">
        <f>IF($L88="","",SUMIFS(Data!$N$2:$N$20000,Data!$A$2:$A$20000,$L88,Data!$F$2:$F$20000,"Bet"))</f>
        <v/>
      </c>
      <c r="N88" s="35">
        <f>IF($L88="","",SUMIFS(Data!$N$2:$N$20000,Data!$A$2:$A$20000,$L88,Data!$F$2:$F$20000,"Lay"))</f>
        <v/>
      </c>
      <c r="O88" s="35">
        <f>IF($L88="","",M88+N88)</f>
        <v/>
      </c>
      <c r="P88" s="35">
        <f>IF($L88="","",SUMIFS(Data!$N$2:$N$20000,Data!$A$2:$A$20000,"&lt;="&amp;$L88))</f>
        <v/>
      </c>
    </row>
    <row r="89">
      <c r="L89" s="34" t="n"/>
      <c r="M89" s="35">
        <f>IF($L89="","",SUMIFS(Data!$N$2:$N$20000,Data!$A$2:$A$20000,$L89,Data!$F$2:$F$20000,"Bet"))</f>
        <v/>
      </c>
      <c r="N89" s="35">
        <f>IF($L89="","",SUMIFS(Data!$N$2:$N$20000,Data!$A$2:$A$20000,$L89,Data!$F$2:$F$20000,"Lay"))</f>
        <v/>
      </c>
      <c r="O89" s="35">
        <f>IF($L89="","",M89+N89)</f>
        <v/>
      </c>
      <c r="P89" s="35">
        <f>IF($L89="","",SUMIFS(Data!$N$2:$N$20000,Data!$A$2:$A$20000,"&lt;="&amp;$L89))</f>
        <v/>
      </c>
    </row>
    <row r="90">
      <c r="L90" s="34" t="n"/>
      <c r="M90" s="35">
        <f>IF($L90="","",SUMIFS(Data!$N$2:$N$20000,Data!$A$2:$A$20000,$L90,Data!$F$2:$F$20000,"Bet"))</f>
        <v/>
      </c>
      <c r="N90" s="35">
        <f>IF($L90="","",SUMIFS(Data!$N$2:$N$20000,Data!$A$2:$A$20000,$L90,Data!$F$2:$F$20000,"Lay"))</f>
        <v/>
      </c>
      <c r="O90" s="35">
        <f>IF($L90="","",M90+N90)</f>
        <v/>
      </c>
      <c r="P90" s="35">
        <f>IF($L90="","",SUMIFS(Data!$N$2:$N$20000,Data!$A$2:$A$20000,"&lt;="&amp;$L90))</f>
        <v/>
      </c>
    </row>
    <row r="91">
      <c r="L91" s="34" t="n"/>
      <c r="M91" s="35">
        <f>IF($L91="","",SUMIFS(Data!$N$2:$N$20000,Data!$A$2:$A$20000,$L91,Data!$F$2:$F$20000,"Bet"))</f>
        <v/>
      </c>
      <c r="N91" s="35">
        <f>IF($L91="","",SUMIFS(Data!$N$2:$N$20000,Data!$A$2:$A$20000,$L91,Data!$F$2:$F$20000,"Lay"))</f>
        <v/>
      </c>
      <c r="O91" s="35">
        <f>IF($L91="","",M91+N91)</f>
        <v/>
      </c>
      <c r="P91" s="35">
        <f>IF($L91="","",SUMIFS(Data!$N$2:$N$20000,Data!$A$2:$A$20000,"&lt;="&amp;$L91))</f>
        <v/>
      </c>
    </row>
    <row r="92">
      <c r="L92" s="34" t="n"/>
      <c r="M92" s="35">
        <f>IF($L92="","",SUMIFS(Data!$N$2:$N$20000,Data!$A$2:$A$20000,$L92,Data!$F$2:$F$20000,"Bet"))</f>
        <v/>
      </c>
      <c r="N92" s="35">
        <f>IF($L92="","",SUMIFS(Data!$N$2:$N$20000,Data!$A$2:$A$20000,$L92,Data!$F$2:$F$20000,"Lay"))</f>
        <v/>
      </c>
      <c r="O92" s="35">
        <f>IF($L92="","",M92+N92)</f>
        <v/>
      </c>
      <c r="P92" s="35">
        <f>IF($L92="","",SUMIFS(Data!$N$2:$N$20000,Data!$A$2:$A$20000,"&lt;="&amp;$L92))</f>
        <v/>
      </c>
    </row>
    <row r="93">
      <c r="L93" s="34" t="n"/>
      <c r="M93" s="35">
        <f>IF($L93="","",SUMIFS(Data!$N$2:$N$20000,Data!$A$2:$A$20000,$L93,Data!$F$2:$F$20000,"Bet"))</f>
        <v/>
      </c>
      <c r="N93" s="35">
        <f>IF($L93="","",SUMIFS(Data!$N$2:$N$20000,Data!$A$2:$A$20000,$L93,Data!$F$2:$F$20000,"Lay"))</f>
        <v/>
      </c>
      <c r="O93" s="35">
        <f>IF($L93="","",M93+N93)</f>
        <v/>
      </c>
      <c r="P93" s="35">
        <f>IF($L93="","",SUMIFS(Data!$N$2:$N$20000,Data!$A$2:$A$20000,"&lt;="&amp;$L93))</f>
        <v/>
      </c>
    </row>
    <row r="94">
      <c r="L94" s="34" t="n"/>
      <c r="M94" s="35">
        <f>IF($L94="","",SUMIFS(Data!$N$2:$N$20000,Data!$A$2:$A$20000,$L94,Data!$F$2:$F$20000,"Bet"))</f>
        <v/>
      </c>
      <c r="N94" s="35">
        <f>IF($L94="","",SUMIFS(Data!$N$2:$N$20000,Data!$A$2:$A$20000,$L94,Data!$F$2:$F$20000,"Lay"))</f>
        <v/>
      </c>
      <c r="O94" s="35">
        <f>IF($L94="","",M94+N94)</f>
        <v/>
      </c>
      <c r="P94" s="35">
        <f>IF($L94="","",SUMIFS(Data!$N$2:$N$20000,Data!$A$2:$A$20000,"&lt;="&amp;$L94))</f>
        <v/>
      </c>
    </row>
    <row r="95">
      <c r="L95" s="34" t="n"/>
      <c r="M95" s="35">
        <f>IF($L95="","",SUMIFS(Data!$N$2:$N$20000,Data!$A$2:$A$20000,$L95,Data!$F$2:$F$20000,"Bet"))</f>
        <v/>
      </c>
      <c r="N95" s="35">
        <f>IF($L95="","",SUMIFS(Data!$N$2:$N$20000,Data!$A$2:$A$20000,$L95,Data!$F$2:$F$20000,"Lay"))</f>
        <v/>
      </c>
      <c r="O95" s="35">
        <f>IF($L95="","",M95+N95)</f>
        <v/>
      </c>
      <c r="P95" s="35">
        <f>IF($L95="","",SUMIFS(Data!$N$2:$N$20000,Data!$A$2:$A$20000,"&lt;="&amp;$L95))</f>
        <v/>
      </c>
    </row>
    <row r="96">
      <c r="L96" s="34" t="n"/>
      <c r="M96" s="35">
        <f>IF($L96="","",SUMIFS(Data!$N$2:$N$20000,Data!$A$2:$A$20000,$L96,Data!$F$2:$F$20000,"Bet"))</f>
        <v/>
      </c>
      <c r="N96" s="35">
        <f>IF($L96="","",SUMIFS(Data!$N$2:$N$20000,Data!$A$2:$A$20000,$L96,Data!$F$2:$F$20000,"Lay"))</f>
        <v/>
      </c>
      <c r="O96" s="35">
        <f>IF($L96="","",M96+N96)</f>
        <v/>
      </c>
      <c r="P96" s="35">
        <f>IF($L96="","",SUMIFS(Data!$N$2:$N$20000,Data!$A$2:$A$20000,"&lt;="&amp;$L96))</f>
        <v/>
      </c>
    </row>
    <row r="97">
      <c r="L97" s="34" t="n"/>
      <c r="M97" s="35">
        <f>IF($L97="","",SUMIFS(Data!$N$2:$N$20000,Data!$A$2:$A$20000,$L97,Data!$F$2:$F$20000,"Bet"))</f>
        <v/>
      </c>
      <c r="N97" s="35">
        <f>IF($L97="","",SUMIFS(Data!$N$2:$N$20000,Data!$A$2:$A$20000,$L97,Data!$F$2:$F$20000,"Lay"))</f>
        <v/>
      </c>
      <c r="O97" s="35">
        <f>IF($L97="","",M97+N97)</f>
        <v/>
      </c>
      <c r="P97" s="35">
        <f>IF($L97="","",SUMIFS(Data!$N$2:$N$20000,Data!$A$2:$A$20000,"&lt;="&amp;$L97))</f>
        <v/>
      </c>
    </row>
    <row r="98">
      <c r="L98" s="34" t="n"/>
      <c r="M98" s="35">
        <f>IF($L98="","",SUMIFS(Data!$N$2:$N$20000,Data!$A$2:$A$20000,$L98,Data!$F$2:$F$20000,"Bet"))</f>
        <v/>
      </c>
      <c r="N98" s="35">
        <f>IF($L98="","",SUMIFS(Data!$N$2:$N$20000,Data!$A$2:$A$20000,$L98,Data!$F$2:$F$20000,"Lay"))</f>
        <v/>
      </c>
      <c r="O98" s="35">
        <f>IF($L98="","",M98+N98)</f>
        <v/>
      </c>
      <c r="P98" s="35">
        <f>IF($L98="","",SUMIFS(Data!$N$2:$N$20000,Data!$A$2:$A$20000,"&lt;="&amp;$L98))</f>
        <v/>
      </c>
    </row>
    <row r="99">
      <c r="L99" s="34" t="n"/>
      <c r="M99" s="35">
        <f>IF($L99="","",SUMIFS(Data!$N$2:$N$20000,Data!$A$2:$A$20000,$L99,Data!$F$2:$F$20000,"Bet"))</f>
        <v/>
      </c>
      <c r="N99" s="35">
        <f>IF($L99="","",SUMIFS(Data!$N$2:$N$20000,Data!$A$2:$A$20000,$L99,Data!$F$2:$F$20000,"Lay"))</f>
        <v/>
      </c>
      <c r="O99" s="35">
        <f>IF($L99="","",M99+N99)</f>
        <v/>
      </c>
      <c r="P99" s="35">
        <f>IF($L99="","",SUMIFS(Data!$N$2:$N$20000,Data!$A$2:$A$20000,"&lt;="&amp;$L99))</f>
        <v/>
      </c>
    </row>
    <row r="100">
      <c r="L100" s="34" t="n"/>
      <c r="M100" s="35">
        <f>IF($L100="","",SUMIFS(Data!$N$2:$N$20000,Data!$A$2:$A$20000,$L100,Data!$F$2:$F$20000,"Bet"))</f>
        <v/>
      </c>
      <c r="N100" s="35">
        <f>IF($L100="","",SUMIFS(Data!$N$2:$N$20000,Data!$A$2:$A$20000,$L100,Data!$F$2:$F$20000,"Lay"))</f>
        <v/>
      </c>
      <c r="O100" s="35">
        <f>IF($L100="","",M100+N100)</f>
        <v/>
      </c>
      <c r="P100" s="35">
        <f>IF($L100="","",SUMIFS(Data!$N$2:$N$20000,Data!$A$2:$A$20000,"&lt;="&amp;$L100))</f>
        <v/>
      </c>
    </row>
    <row r="101">
      <c r="L101" s="34" t="n"/>
      <c r="M101" s="35">
        <f>IF($L101="","",SUMIFS(Data!$N$2:$N$20000,Data!$A$2:$A$20000,$L101,Data!$F$2:$F$20000,"Bet"))</f>
        <v/>
      </c>
      <c r="N101" s="35">
        <f>IF($L101="","",SUMIFS(Data!$N$2:$N$20000,Data!$A$2:$A$20000,$L101,Data!$F$2:$F$20000,"Lay"))</f>
        <v/>
      </c>
      <c r="O101" s="35">
        <f>IF($L101="","",M101+N101)</f>
        <v/>
      </c>
      <c r="P101" s="35">
        <f>IF($L101="","",SUMIFS(Data!$N$2:$N$20000,Data!$A$2:$A$20000,"&lt;="&amp;$L101))</f>
        <v/>
      </c>
    </row>
    <row r="102">
      <c r="L102" s="34" t="n"/>
      <c r="M102" s="35">
        <f>IF($L102="","",SUMIFS(Data!$N$2:$N$20000,Data!$A$2:$A$20000,$L102,Data!$F$2:$F$20000,"Bet"))</f>
        <v/>
      </c>
      <c r="N102" s="35">
        <f>IF($L102="","",SUMIFS(Data!$N$2:$N$20000,Data!$A$2:$A$20000,$L102,Data!$F$2:$F$20000,"Lay"))</f>
        <v/>
      </c>
      <c r="O102" s="35">
        <f>IF($L102="","",M102+N102)</f>
        <v/>
      </c>
      <c r="P102" s="35">
        <f>IF($L102="","",SUMIFS(Data!$N$2:$N$20000,Data!$A$2:$A$20000,"&lt;="&amp;$L102))</f>
        <v/>
      </c>
    </row>
    <row r="103">
      <c r="L103" s="34" t="n"/>
      <c r="M103" s="35">
        <f>IF($L103="","",SUMIFS(Data!$N$2:$N$20000,Data!$A$2:$A$20000,$L103,Data!$F$2:$F$20000,"Bet"))</f>
        <v/>
      </c>
      <c r="N103" s="35">
        <f>IF($L103="","",SUMIFS(Data!$N$2:$N$20000,Data!$A$2:$A$20000,$L103,Data!$F$2:$F$20000,"Lay"))</f>
        <v/>
      </c>
      <c r="O103" s="35">
        <f>IF($L103="","",M103+N103)</f>
        <v/>
      </c>
      <c r="P103" s="35">
        <f>IF($L103="","",SUMIFS(Data!$N$2:$N$20000,Data!$A$2:$A$20000,"&lt;="&amp;$L103))</f>
        <v/>
      </c>
    </row>
    <row r="104">
      <c r="L104" s="34" t="n"/>
      <c r="M104" s="35">
        <f>IF($L104="","",SUMIFS(Data!$N$2:$N$20000,Data!$A$2:$A$20000,$L104,Data!$F$2:$F$20000,"Bet"))</f>
        <v/>
      </c>
      <c r="N104" s="35">
        <f>IF($L104="","",SUMIFS(Data!$N$2:$N$20000,Data!$A$2:$A$20000,$L104,Data!$F$2:$F$20000,"Lay"))</f>
        <v/>
      </c>
      <c r="O104" s="35">
        <f>IF($L104="","",M104+N104)</f>
        <v/>
      </c>
      <c r="P104" s="35">
        <f>IF($L104="","",SUMIFS(Data!$N$2:$N$20000,Data!$A$2:$A$20000,"&lt;="&amp;$L104))</f>
        <v/>
      </c>
    </row>
    <row r="105">
      <c r="L105" s="34" t="n"/>
      <c r="M105" s="35">
        <f>IF($L105="","",SUMIFS(Data!$N$2:$N$20000,Data!$A$2:$A$20000,$L105,Data!$F$2:$F$20000,"Bet"))</f>
        <v/>
      </c>
      <c r="N105" s="35">
        <f>IF($L105="","",SUMIFS(Data!$N$2:$N$20000,Data!$A$2:$A$20000,$L105,Data!$F$2:$F$20000,"Lay"))</f>
        <v/>
      </c>
      <c r="O105" s="35">
        <f>IF($L105="","",M105+N105)</f>
        <v/>
      </c>
      <c r="P105" s="35">
        <f>IF($L105="","",SUMIFS(Data!$N$2:$N$20000,Data!$A$2:$A$20000,"&lt;="&amp;$L105))</f>
        <v/>
      </c>
    </row>
    <row r="106">
      <c r="L106" s="34" t="n"/>
      <c r="M106" s="35">
        <f>IF($L106="","",SUMIFS(Data!$N$2:$N$20000,Data!$A$2:$A$20000,$L106,Data!$F$2:$F$20000,"Bet"))</f>
        <v/>
      </c>
      <c r="N106" s="35">
        <f>IF($L106="","",SUMIFS(Data!$N$2:$N$20000,Data!$A$2:$A$20000,$L106,Data!$F$2:$F$20000,"Lay"))</f>
        <v/>
      </c>
      <c r="O106" s="35">
        <f>IF($L106="","",M106+N106)</f>
        <v/>
      </c>
      <c r="P106" s="35">
        <f>IF($L106="","",SUMIFS(Data!$N$2:$N$20000,Data!$A$2:$A$20000,"&lt;="&amp;$L106))</f>
        <v/>
      </c>
    </row>
    <row r="107">
      <c r="L107" s="34" t="n"/>
      <c r="M107" s="35">
        <f>IF($L107="","",SUMIFS(Data!$N$2:$N$20000,Data!$A$2:$A$20000,$L107,Data!$F$2:$F$20000,"Bet"))</f>
        <v/>
      </c>
      <c r="N107" s="35">
        <f>IF($L107="","",SUMIFS(Data!$N$2:$N$20000,Data!$A$2:$A$20000,$L107,Data!$F$2:$F$20000,"Lay"))</f>
        <v/>
      </c>
      <c r="O107" s="35">
        <f>IF($L107="","",M107+N107)</f>
        <v/>
      </c>
      <c r="P107" s="35">
        <f>IF($L107="","",SUMIFS(Data!$N$2:$N$20000,Data!$A$2:$A$20000,"&lt;="&amp;$L107))</f>
        <v/>
      </c>
    </row>
    <row r="108">
      <c r="L108" s="34" t="n"/>
      <c r="M108" s="35">
        <f>IF($L108="","",SUMIFS(Data!$N$2:$N$20000,Data!$A$2:$A$20000,$L108,Data!$F$2:$F$20000,"Bet"))</f>
        <v/>
      </c>
      <c r="N108" s="35">
        <f>IF($L108="","",SUMIFS(Data!$N$2:$N$20000,Data!$A$2:$A$20000,$L108,Data!$F$2:$F$20000,"Lay"))</f>
        <v/>
      </c>
      <c r="O108" s="35">
        <f>IF($L108="","",M108+N108)</f>
        <v/>
      </c>
      <c r="P108" s="35">
        <f>IF($L108="","",SUMIFS(Data!$N$2:$N$20000,Data!$A$2:$A$20000,"&lt;="&amp;$L108))</f>
        <v/>
      </c>
    </row>
    <row r="109">
      <c r="L109" s="34" t="n"/>
      <c r="M109" s="35">
        <f>IF($L109="","",SUMIFS(Data!$N$2:$N$20000,Data!$A$2:$A$20000,$L109,Data!$F$2:$F$20000,"Bet"))</f>
        <v/>
      </c>
      <c r="N109" s="35">
        <f>IF($L109="","",SUMIFS(Data!$N$2:$N$20000,Data!$A$2:$A$20000,$L109,Data!$F$2:$F$20000,"Lay"))</f>
        <v/>
      </c>
      <c r="O109" s="35">
        <f>IF($L109="","",M109+N109)</f>
        <v/>
      </c>
      <c r="P109" s="35">
        <f>IF($L109="","",SUMIFS(Data!$N$2:$N$20000,Data!$A$2:$A$20000,"&lt;="&amp;$L109))</f>
        <v/>
      </c>
    </row>
    <row r="110">
      <c r="L110" s="34" t="n"/>
      <c r="M110" s="35">
        <f>IF($L110="","",SUMIFS(Data!$N$2:$N$20000,Data!$A$2:$A$20000,$L110,Data!$F$2:$F$20000,"Bet"))</f>
        <v/>
      </c>
      <c r="N110" s="35">
        <f>IF($L110="","",SUMIFS(Data!$N$2:$N$20000,Data!$A$2:$A$20000,$L110,Data!$F$2:$F$20000,"Lay"))</f>
        <v/>
      </c>
      <c r="O110" s="35">
        <f>IF($L110="","",M110+N110)</f>
        <v/>
      </c>
      <c r="P110" s="35">
        <f>IF($L110="","",SUMIFS(Data!$N$2:$N$20000,Data!$A$2:$A$20000,"&lt;="&amp;$L110))</f>
        <v/>
      </c>
    </row>
    <row r="111">
      <c r="L111" s="34" t="n"/>
      <c r="M111" s="35">
        <f>IF($L111="","",SUMIFS(Data!$N$2:$N$20000,Data!$A$2:$A$20000,$L111,Data!$F$2:$F$20000,"Bet"))</f>
        <v/>
      </c>
      <c r="N111" s="35">
        <f>IF($L111="","",SUMIFS(Data!$N$2:$N$20000,Data!$A$2:$A$20000,$L111,Data!$F$2:$F$20000,"Lay"))</f>
        <v/>
      </c>
      <c r="O111" s="35">
        <f>IF($L111="","",M111+N111)</f>
        <v/>
      </c>
      <c r="P111" s="35">
        <f>IF($L111="","",SUMIFS(Data!$N$2:$N$20000,Data!$A$2:$A$20000,"&lt;="&amp;$L111))</f>
        <v/>
      </c>
    </row>
    <row r="112">
      <c r="L112" s="34" t="n"/>
      <c r="M112" s="35">
        <f>IF($L112="","",SUMIFS(Data!$N$2:$N$20000,Data!$A$2:$A$20000,$L112,Data!$F$2:$F$20000,"Bet"))</f>
        <v/>
      </c>
      <c r="N112" s="35">
        <f>IF($L112="","",SUMIFS(Data!$N$2:$N$20000,Data!$A$2:$A$20000,$L112,Data!$F$2:$F$20000,"Lay"))</f>
        <v/>
      </c>
      <c r="O112" s="35">
        <f>IF($L112="","",M112+N112)</f>
        <v/>
      </c>
      <c r="P112" s="35">
        <f>IF($L112="","",SUMIFS(Data!$N$2:$N$20000,Data!$A$2:$A$20000,"&lt;="&amp;$L112))</f>
        <v/>
      </c>
    </row>
    <row r="113">
      <c r="L113" s="34" t="n"/>
      <c r="M113" s="35">
        <f>IF($L113="","",SUMIFS(Data!$N$2:$N$20000,Data!$A$2:$A$20000,$L113,Data!$F$2:$F$20000,"Bet"))</f>
        <v/>
      </c>
      <c r="N113" s="35">
        <f>IF($L113="","",SUMIFS(Data!$N$2:$N$20000,Data!$A$2:$A$20000,$L113,Data!$F$2:$F$20000,"Lay"))</f>
        <v/>
      </c>
      <c r="O113" s="35">
        <f>IF($L113="","",M113+N113)</f>
        <v/>
      </c>
      <c r="P113" s="35">
        <f>IF($L113="","",SUMIFS(Data!$N$2:$N$20000,Data!$A$2:$A$20000,"&lt;="&amp;$L113))</f>
        <v/>
      </c>
    </row>
    <row r="114">
      <c r="L114" s="34" t="n"/>
      <c r="M114" s="35">
        <f>IF($L114="","",SUMIFS(Data!$N$2:$N$20000,Data!$A$2:$A$20000,$L114,Data!$F$2:$F$20000,"Bet"))</f>
        <v/>
      </c>
      <c r="N114" s="35">
        <f>IF($L114="","",SUMIFS(Data!$N$2:$N$20000,Data!$A$2:$A$20000,$L114,Data!$F$2:$F$20000,"Lay"))</f>
        <v/>
      </c>
      <c r="O114" s="35">
        <f>IF($L114="","",M114+N114)</f>
        <v/>
      </c>
      <c r="P114" s="35">
        <f>IF($L114="","",SUMIFS(Data!$N$2:$N$20000,Data!$A$2:$A$20000,"&lt;="&amp;$L114))</f>
        <v/>
      </c>
    </row>
    <row r="115">
      <c r="L115" s="34" t="n"/>
      <c r="M115" s="35">
        <f>IF($L115="","",SUMIFS(Data!$N$2:$N$20000,Data!$A$2:$A$20000,$L115,Data!$F$2:$F$20000,"Bet"))</f>
        <v/>
      </c>
      <c r="N115" s="35">
        <f>IF($L115="","",SUMIFS(Data!$N$2:$N$20000,Data!$A$2:$A$20000,$L115,Data!$F$2:$F$20000,"Lay"))</f>
        <v/>
      </c>
      <c r="O115" s="35">
        <f>IF($L115="","",M115+N115)</f>
        <v/>
      </c>
      <c r="P115" s="35">
        <f>IF($L115="","",SUMIFS(Data!$N$2:$N$20000,Data!$A$2:$A$20000,"&lt;="&amp;$L115))</f>
        <v/>
      </c>
    </row>
    <row r="116">
      <c r="L116" s="34" t="n"/>
      <c r="M116" s="35">
        <f>IF($L116="","",SUMIFS(Data!$N$2:$N$20000,Data!$A$2:$A$20000,$L116,Data!$F$2:$F$20000,"Bet"))</f>
        <v/>
      </c>
      <c r="N116" s="35">
        <f>IF($L116="","",SUMIFS(Data!$N$2:$N$20000,Data!$A$2:$A$20000,$L116,Data!$F$2:$F$20000,"Lay"))</f>
        <v/>
      </c>
      <c r="O116" s="35">
        <f>IF($L116="","",M116+N116)</f>
        <v/>
      </c>
      <c r="P116" s="35">
        <f>IF($L116="","",SUMIFS(Data!$N$2:$N$20000,Data!$A$2:$A$20000,"&lt;="&amp;$L116))</f>
        <v/>
      </c>
    </row>
    <row r="117">
      <c r="L117" s="34" t="n"/>
      <c r="M117" s="35">
        <f>IF($L117="","",SUMIFS(Data!$N$2:$N$20000,Data!$A$2:$A$20000,$L117,Data!$F$2:$F$20000,"Bet"))</f>
        <v/>
      </c>
      <c r="N117" s="35">
        <f>IF($L117="","",SUMIFS(Data!$N$2:$N$20000,Data!$A$2:$A$20000,$L117,Data!$F$2:$F$20000,"Lay"))</f>
        <v/>
      </c>
      <c r="O117" s="35">
        <f>IF($L117="","",M117+N117)</f>
        <v/>
      </c>
      <c r="P117" s="35">
        <f>IF($L117="","",SUMIFS(Data!$N$2:$N$20000,Data!$A$2:$A$20000,"&lt;="&amp;$L117))</f>
        <v/>
      </c>
    </row>
    <row r="118">
      <c r="L118" s="34" t="n"/>
      <c r="M118" s="35">
        <f>IF($L118="","",SUMIFS(Data!$N$2:$N$20000,Data!$A$2:$A$20000,$L118,Data!$F$2:$F$20000,"Bet"))</f>
        <v/>
      </c>
      <c r="N118" s="35">
        <f>IF($L118="","",SUMIFS(Data!$N$2:$N$20000,Data!$A$2:$A$20000,$L118,Data!$F$2:$F$20000,"Lay"))</f>
        <v/>
      </c>
      <c r="O118" s="35">
        <f>IF($L118="","",M118+N118)</f>
        <v/>
      </c>
      <c r="P118" s="35">
        <f>IF($L118="","",SUMIFS(Data!$N$2:$N$20000,Data!$A$2:$A$20000,"&lt;="&amp;$L118))</f>
        <v/>
      </c>
    </row>
    <row r="119">
      <c r="L119" s="34" t="n"/>
      <c r="M119" s="35">
        <f>IF($L119="","",SUMIFS(Data!$N$2:$N$20000,Data!$A$2:$A$20000,$L119,Data!$F$2:$F$20000,"Bet"))</f>
        <v/>
      </c>
      <c r="N119" s="35">
        <f>IF($L119="","",SUMIFS(Data!$N$2:$N$20000,Data!$A$2:$A$20000,$L119,Data!$F$2:$F$20000,"Lay"))</f>
        <v/>
      </c>
      <c r="O119" s="35">
        <f>IF($L119="","",M119+N119)</f>
        <v/>
      </c>
      <c r="P119" s="35">
        <f>IF($L119="","",SUMIFS(Data!$N$2:$N$20000,Data!$A$2:$A$20000,"&lt;="&amp;$L119))</f>
        <v/>
      </c>
    </row>
    <row r="120">
      <c r="L120" s="34" t="n"/>
      <c r="M120" s="35">
        <f>IF($L120="","",SUMIFS(Data!$N$2:$N$20000,Data!$A$2:$A$20000,$L120,Data!$F$2:$F$20000,"Bet"))</f>
        <v/>
      </c>
      <c r="N120" s="35">
        <f>IF($L120="","",SUMIFS(Data!$N$2:$N$20000,Data!$A$2:$A$20000,$L120,Data!$F$2:$F$20000,"Lay"))</f>
        <v/>
      </c>
      <c r="O120" s="35">
        <f>IF($L120="","",M120+N120)</f>
        <v/>
      </c>
      <c r="P120" s="35">
        <f>IF($L120="","",SUMIFS(Data!$N$2:$N$20000,Data!$A$2:$A$20000,"&lt;="&amp;$L120))</f>
        <v/>
      </c>
    </row>
    <row r="121">
      <c r="L121" s="34" t="n"/>
      <c r="M121" s="35">
        <f>IF($L121="","",SUMIFS(Data!$N$2:$N$20000,Data!$A$2:$A$20000,$L121,Data!$F$2:$F$20000,"Bet"))</f>
        <v/>
      </c>
      <c r="N121" s="35">
        <f>IF($L121="","",SUMIFS(Data!$N$2:$N$20000,Data!$A$2:$A$20000,$L121,Data!$F$2:$F$20000,"Lay"))</f>
        <v/>
      </c>
      <c r="O121" s="35">
        <f>IF($L121="","",M121+N121)</f>
        <v/>
      </c>
      <c r="P121" s="35">
        <f>IF($L121="","",SUMIFS(Data!$N$2:$N$20000,Data!$A$2:$A$20000,"&lt;="&amp;$L121))</f>
        <v/>
      </c>
    </row>
    <row r="122">
      <c r="L122" s="34" t="n"/>
      <c r="M122" s="35">
        <f>IF($L122="","",SUMIFS(Data!$N$2:$N$20000,Data!$A$2:$A$20000,$L122,Data!$F$2:$F$20000,"Bet"))</f>
        <v/>
      </c>
      <c r="N122" s="35">
        <f>IF($L122="","",SUMIFS(Data!$N$2:$N$20000,Data!$A$2:$A$20000,$L122,Data!$F$2:$F$20000,"Lay"))</f>
        <v/>
      </c>
      <c r="O122" s="35">
        <f>IF($L122="","",M122+N122)</f>
        <v/>
      </c>
      <c r="P122" s="35">
        <f>IF($L122="","",SUMIFS(Data!$N$2:$N$20000,Data!$A$2:$A$20000,"&lt;="&amp;$L122))</f>
        <v/>
      </c>
    </row>
    <row r="123">
      <c r="L123" s="34" t="n"/>
      <c r="M123" s="35">
        <f>IF($L123="","",SUMIFS(Data!$N$2:$N$20000,Data!$A$2:$A$20000,$L123,Data!$F$2:$F$20000,"Bet"))</f>
        <v/>
      </c>
      <c r="N123" s="35">
        <f>IF($L123="","",SUMIFS(Data!$N$2:$N$20000,Data!$A$2:$A$20000,$L123,Data!$F$2:$F$20000,"Lay"))</f>
        <v/>
      </c>
      <c r="O123" s="35">
        <f>IF($L123="","",M123+N123)</f>
        <v/>
      </c>
      <c r="P123" s="35">
        <f>IF($L123="","",SUMIFS(Data!$N$2:$N$20000,Data!$A$2:$A$20000,"&lt;="&amp;$L123))</f>
        <v/>
      </c>
    </row>
    <row r="124">
      <c r="L124" s="34" t="n"/>
      <c r="M124" s="35">
        <f>IF($L124="","",SUMIFS(Data!$N$2:$N$20000,Data!$A$2:$A$20000,$L124,Data!$F$2:$F$20000,"Bet"))</f>
        <v/>
      </c>
      <c r="N124" s="35">
        <f>IF($L124="","",SUMIFS(Data!$N$2:$N$20000,Data!$A$2:$A$20000,$L124,Data!$F$2:$F$20000,"Lay"))</f>
        <v/>
      </c>
      <c r="O124" s="35">
        <f>IF($L124="","",M124+N124)</f>
        <v/>
      </c>
      <c r="P124" s="35">
        <f>IF($L124="","",SUMIFS(Data!$N$2:$N$20000,Data!$A$2:$A$20000,"&lt;="&amp;$L124))</f>
        <v/>
      </c>
    </row>
    <row r="125">
      <c r="L125" s="34" t="n"/>
      <c r="M125" s="35">
        <f>IF($L125="","",SUMIFS(Data!$N$2:$N$20000,Data!$A$2:$A$20000,$L125,Data!$F$2:$F$20000,"Bet"))</f>
        <v/>
      </c>
      <c r="N125" s="35">
        <f>IF($L125="","",SUMIFS(Data!$N$2:$N$20000,Data!$A$2:$A$20000,$L125,Data!$F$2:$F$20000,"Lay"))</f>
        <v/>
      </c>
      <c r="O125" s="35">
        <f>IF($L125="","",M125+N125)</f>
        <v/>
      </c>
      <c r="P125" s="35">
        <f>IF($L125="","",SUMIFS(Data!$N$2:$N$20000,Data!$A$2:$A$20000,"&lt;="&amp;$L125))</f>
        <v/>
      </c>
    </row>
    <row r="126">
      <c r="L126" s="34" t="n"/>
      <c r="M126" s="35">
        <f>IF($L126="","",SUMIFS(Data!$N$2:$N$20000,Data!$A$2:$A$20000,$L126,Data!$F$2:$F$20000,"Bet"))</f>
        <v/>
      </c>
      <c r="N126" s="35">
        <f>IF($L126="","",SUMIFS(Data!$N$2:$N$20000,Data!$A$2:$A$20000,$L126,Data!$F$2:$F$20000,"Lay"))</f>
        <v/>
      </c>
      <c r="O126" s="35">
        <f>IF($L126="","",M126+N126)</f>
        <v/>
      </c>
      <c r="P126" s="35">
        <f>IF($L126="","",SUMIFS(Data!$N$2:$N$20000,Data!$A$2:$A$20000,"&lt;="&amp;$L126))</f>
        <v/>
      </c>
    </row>
    <row r="127">
      <c r="L127" s="34" t="n"/>
      <c r="M127" s="35">
        <f>IF($L127="","",SUMIFS(Data!$N$2:$N$20000,Data!$A$2:$A$20000,$L127,Data!$F$2:$F$20000,"Bet"))</f>
        <v/>
      </c>
      <c r="N127" s="35">
        <f>IF($L127="","",SUMIFS(Data!$N$2:$N$20000,Data!$A$2:$A$20000,$L127,Data!$F$2:$F$20000,"Lay"))</f>
        <v/>
      </c>
      <c r="O127" s="35">
        <f>IF($L127="","",M127+N127)</f>
        <v/>
      </c>
      <c r="P127" s="35">
        <f>IF($L127="","",SUMIFS(Data!$N$2:$N$20000,Data!$A$2:$A$20000,"&lt;="&amp;$L127))</f>
        <v/>
      </c>
    </row>
    <row r="128">
      <c r="L128" s="34" t="n"/>
      <c r="M128" s="35">
        <f>IF($L128="","",SUMIFS(Data!$N$2:$N$20000,Data!$A$2:$A$20000,$L128,Data!$F$2:$F$20000,"Bet"))</f>
        <v/>
      </c>
      <c r="N128" s="35">
        <f>IF($L128="","",SUMIFS(Data!$N$2:$N$20000,Data!$A$2:$A$20000,$L128,Data!$F$2:$F$20000,"Lay"))</f>
        <v/>
      </c>
      <c r="O128" s="35">
        <f>IF($L128="","",M128+N128)</f>
        <v/>
      </c>
      <c r="P128" s="35">
        <f>IF($L128="","",SUMIFS(Data!$N$2:$N$20000,Data!$A$2:$A$20000,"&lt;="&amp;$L128))</f>
        <v/>
      </c>
    </row>
    <row r="129">
      <c r="L129" s="34" t="n"/>
      <c r="M129" s="35">
        <f>IF($L129="","",SUMIFS(Data!$N$2:$N$20000,Data!$A$2:$A$20000,$L129,Data!$F$2:$F$20000,"Bet"))</f>
        <v/>
      </c>
      <c r="N129" s="35">
        <f>IF($L129="","",SUMIFS(Data!$N$2:$N$20000,Data!$A$2:$A$20000,$L129,Data!$F$2:$F$20000,"Lay"))</f>
        <v/>
      </c>
      <c r="O129" s="35">
        <f>IF($L129="","",M129+N129)</f>
        <v/>
      </c>
      <c r="P129" s="35">
        <f>IF($L129="","",SUMIFS(Data!$N$2:$N$20000,Data!$A$2:$A$20000,"&lt;="&amp;$L129))</f>
        <v/>
      </c>
    </row>
    <row r="130">
      <c r="L130" s="34" t="n"/>
      <c r="M130" s="35">
        <f>IF($L130="","",SUMIFS(Data!$N$2:$N$20000,Data!$A$2:$A$20000,$L130,Data!$F$2:$F$20000,"Bet"))</f>
        <v/>
      </c>
      <c r="N130" s="35">
        <f>IF($L130="","",SUMIFS(Data!$N$2:$N$20000,Data!$A$2:$A$20000,$L130,Data!$F$2:$F$20000,"Lay"))</f>
        <v/>
      </c>
      <c r="O130" s="35">
        <f>IF($L130="","",M130+N130)</f>
        <v/>
      </c>
      <c r="P130" s="35">
        <f>IF($L130="","",SUMIFS(Data!$N$2:$N$20000,Data!$A$2:$A$20000,"&lt;="&amp;$L130))</f>
        <v/>
      </c>
    </row>
    <row r="131">
      <c r="L131" s="34" t="n"/>
      <c r="M131" s="35">
        <f>IF($L131="","",SUMIFS(Data!$N$2:$N$20000,Data!$A$2:$A$20000,$L131,Data!$F$2:$F$20000,"Bet"))</f>
        <v/>
      </c>
      <c r="N131" s="35">
        <f>IF($L131="","",SUMIFS(Data!$N$2:$N$20000,Data!$A$2:$A$20000,$L131,Data!$F$2:$F$20000,"Lay"))</f>
        <v/>
      </c>
      <c r="O131" s="35">
        <f>IF($L131="","",M131+N131)</f>
        <v/>
      </c>
      <c r="P131" s="35">
        <f>IF($L131="","",SUMIFS(Data!$N$2:$N$20000,Data!$A$2:$A$20000,"&lt;="&amp;$L131))</f>
        <v/>
      </c>
    </row>
    <row r="132">
      <c r="L132" s="34" t="n"/>
      <c r="M132" s="35">
        <f>IF($L132="","",SUMIFS(Data!$N$2:$N$20000,Data!$A$2:$A$20000,$L132,Data!$F$2:$F$20000,"Bet"))</f>
        <v/>
      </c>
      <c r="N132" s="35">
        <f>IF($L132="","",SUMIFS(Data!$N$2:$N$20000,Data!$A$2:$A$20000,$L132,Data!$F$2:$F$20000,"Lay"))</f>
        <v/>
      </c>
      <c r="O132" s="35">
        <f>IF($L132="","",M132+N132)</f>
        <v/>
      </c>
      <c r="P132" s="35">
        <f>IF($L132="","",SUMIFS(Data!$N$2:$N$20000,Data!$A$2:$A$20000,"&lt;="&amp;$L132))</f>
        <v/>
      </c>
    </row>
    <row r="133">
      <c r="L133" s="34" t="n"/>
      <c r="M133" s="35">
        <f>IF($L133="","",SUMIFS(Data!$N$2:$N$20000,Data!$A$2:$A$20000,$L133,Data!$F$2:$F$20000,"Bet"))</f>
        <v/>
      </c>
      <c r="N133" s="35">
        <f>IF($L133="","",SUMIFS(Data!$N$2:$N$20000,Data!$A$2:$A$20000,$L133,Data!$F$2:$F$20000,"Lay"))</f>
        <v/>
      </c>
      <c r="O133" s="35">
        <f>IF($L133="","",M133+N133)</f>
        <v/>
      </c>
      <c r="P133" s="35">
        <f>IF($L133="","",SUMIFS(Data!$N$2:$N$20000,Data!$A$2:$A$20000,"&lt;="&amp;$L133))</f>
        <v/>
      </c>
    </row>
    <row r="134">
      <c r="L134" s="34" t="n"/>
      <c r="M134" s="35">
        <f>IF($L134="","",SUMIFS(Data!$N$2:$N$20000,Data!$A$2:$A$20000,$L134,Data!$F$2:$F$20000,"Bet"))</f>
        <v/>
      </c>
      <c r="N134" s="35">
        <f>IF($L134="","",SUMIFS(Data!$N$2:$N$20000,Data!$A$2:$A$20000,$L134,Data!$F$2:$F$20000,"Lay"))</f>
        <v/>
      </c>
      <c r="O134" s="35">
        <f>IF($L134="","",M134+N134)</f>
        <v/>
      </c>
      <c r="P134" s="35">
        <f>IF($L134="","",SUMIFS(Data!$N$2:$N$20000,Data!$A$2:$A$20000,"&lt;="&amp;$L134))</f>
        <v/>
      </c>
    </row>
    <row r="135">
      <c r="L135" s="34" t="n"/>
      <c r="M135" s="35">
        <f>IF($L135="","",SUMIFS(Data!$N$2:$N$20000,Data!$A$2:$A$20000,$L135,Data!$F$2:$F$20000,"Bet"))</f>
        <v/>
      </c>
      <c r="N135" s="35">
        <f>IF($L135="","",SUMIFS(Data!$N$2:$N$20000,Data!$A$2:$A$20000,$L135,Data!$F$2:$F$20000,"Lay"))</f>
        <v/>
      </c>
      <c r="O135" s="35">
        <f>IF($L135="","",M135+N135)</f>
        <v/>
      </c>
      <c r="P135" s="35">
        <f>IF($L135="","",SUMIFS(Data!$N$2:$N$20000,Data!$A$2:$A$20000,"&lt;="&amp;$L135))</f>
        <v/>
      </c>
    </row>
    <row r="136">
      <c r="L136" s="34" t="n"/>
      <c r="M136" s="35">
        <f>IF($L136="","",SUMIFS(Data!$N$2:$N$20000,Data!$A$2:$A$20000,$L136,Data!$F$2:$F$20000,"Bet"))</f>
        <v/>
      </c>
      <c r="N136" s="35">
        <f>IF($L136="","",SUMIFS(Data!$N$2:$N$20000,Data!$A$2:$A$20000,$L136,Data!$F$2:$F$20000,"Lay"))</f>
        <v/>
      </c>
      <c r="O136" s="35">
        <f>IF($L136="","",M136+N136)</f>
        <v/>
      </c>
      <c r="P136" s="35">
        <f>IF($L136="","",SUMIFS(Data!$N$2:$N$20000,Data!$A$2:$A$20000,"&lt;="&amp;$L136))</f>
        <v/>
      </c>
    </row>
    <row r="137">
      <c r="L137" s="34" t="n"/>
      <c r="M137" s="35">
        <f>IF($L137="","",SUMIFS(Data!$N$2:$N$20000,Data!$A$2:$A$20000,$L137,Data!$F$2:$F$20000,"Bet"))</f>
        <v/>
      </c>
      <c r="N137" s="35">
        <f>IF($L137="","",SUMIFS(Data!$N$2:$N$20000,Data!$A$2:$A$20000,$L137,Data!$F$2:$F$20000,"Lay"))</f>
        <v/>
      </c>
      <c r="O137" s="35">
        <f>IF($L137="","",M137+N137)</f>
        <v/>
      </c>
      <c r="P137" s="35">
        <f>IF($L137="","",SUMIFS(Data!$N$2:$N$20000,Data!$A$2:$A$20000,"&lt;="&amp;$L137))</f>
        <v/>
      </c>
    </row>
    <row r="138">
      <c r="L138" s="34" t="n"/>
      <c r="M138" s="35">
        <f>IF($L138="","",SUMIFS(Data!$N$2:$N$20000,Data!$A$2:$A$20000,$L138,Data!$F$2:$F$20000,"Bet"))</f>
        <v/>
      </c>
      <c r="N138" s="35">
        <f>IF($L138="","",SUMIFS(Data!$N$2:$N$20000,Data!$A$2:$A$20000,$L138,Data!$F$2:$F$20000,"Lay"))</f>
        <v/>
      </c>
      <c r="O138" s="35">
        <f>IF($L138="","",M138+N138)</f>
        <v/>
      </c>
      <c r="P138" s="35">
        <f>IF($L138="","",SUMIFS(Data!$N$2:$N$20000,Data!$A$2:$A$20000,"&lt;="&amp;$L138))</f>
        <v/>
      </c>
    </row>
    <row r="139">
      <c r="L139" s="34" t="n"/>
      <c r="M139" s="35">
        <f>IF($L139="","",SUMIFS(Data!$N$2:$N$20000,Data!$A$2:$A$20000,$L139,Data!$F$2:$F$20000,"Bet"))</f>
        <v/>
      </c>
      <c r="N139" s="35">
        <f>IF($L139="","",SUMIFS(Data!$N$2:$N$20000,Data!$A$2:$A$20000,$L139,Data!$F$2:$F$20000,"Lay"))</f>
        <v/>
      </c>
      <c r="O139" s="35">
        <f>IF($L139="","",M139+N139)</f>
        <v/>
      </c>
      <c r="P139" s="35">
        <f>IF($L139="","",SUMIFS(Data!$N$2:$N$20000,Data!$A$2:$A$20000,"&lt;="&amp;$L139))</f>
        <v/>
      </c>
    </row>
    <row r="140">
      <c r="L140" s="34" t="n"/>
      <c r="M140" s="35">
        <f>IF($L140="","",SUMIFS(Data!$N$2:$N$20000,Data!$A$2:$A$20000,$L140,Data!$F$2:$F$20000,"Bet"))</f>
        <v/>
      </c>
      <c r="N140" s="35">
        <f>IF($L140="","",SUMIFS(Data!$N$2:$N$20000,Data!$A$2:$A$20000,$L140,Data!$F$2:$F$20000,"Lay"))</f>
        <v/>
      </c>
      <c r="O140" s="35">
        <f>IF($L140="","",M140+N140)</f>
        <v/>
      </c>
      <c r="P140" s="35">
        <f>IF($L140="","",SUMIFS(Data!$N$2:$N$20000,Data!$A$2:$A$20000,"&lt;="&amp;$L140))</f>
        <v/>
      </c>
    </row>
    <row r="141">
      <c r="L141" s="34" t="n"/>
      <c r="M141" s="35">
        <f>IF($L141="","",SUMIFS(Data!$N$2:$N$20000,Data!$A$2:$A$20000,$L141,Data!$F$2:$F$20000,"Bet"))</f>
        <v/>
      </c>
      <c r="N141" s="35">
        <f>IF($L141="","",SUMIFS(Data!$N$2:$N$20000,Data!$A$2:$A$20000,$L141,Data!$F$2:$F$20000,"Lay"))</f>
        <v/>
      </c>
      <c r="O141" s="35">
        <f>IF($L141="","",M141+N141)</f>
        <v/>
      </c>
      <c r="P141" s="35">
        <f>IF($L141="","",SUMIFS(Data!$N$2:$N$20000,Data!$A$2:$A$20000,"&lt;="&amp;$L141))</f>
        <v/>
      </c>
    </row>
    <row r="142">
      <c r="L142" s="34" t="n"/>
      <c r="M142" s="35">
        <f>IF($L142="","",SUMIFS(Data!$N$2:$N$20000,Data!$A$2:$A$20000,$L142,Data!$F$2:$F$20000,"Bet"))</f>
        <v/>
      </c>
      <c r="N142" s="35">
        <f>IF($L142="","",SUMIFS(Data!$N$2:$N$20000,Data!$A$2:$A$20000,$L142,Data!$F$2:$F$20000,"Lay"))</f>
        <v/>
      </c>
      <c r="O142" s="35">
        <f>IF($L142="","",M142+N142)</f>
        <v/>
      </c>
      <c r="P142" s="35">
        <f>IF($L142="","",SUMIFS(Data!$N$2:$N$20000,Data!$A$2:$A$20000,"&lt;="&amp;$L142))</f>
        <v/>
      </c>
    </row>
    <row r="143">
      <c r="L143" s="34" t="n"/>
      <c r="M143" s="35">
        <f>IF($L143="","",SUMIFS(Data!$N$2:$N$20000,Data!$A$2:$A$20000,$L143,Data!$F$2:$F$20000,"Bet"))</f>
        <v/>
      </c>
      <c r="N143" s="35">
        <f>IF($L143="","",SUMIFS(Data!$N$2:$N$20000,Data!$A$2:$A$20000,$L143,Data!$F$2:$F$20000,"Lay"))</f>
        <v/>
      </c>
      <c r="O143" s="35">
        <f>IF($L143="","",M143+N143)</f>
        <v/>
      </c>
      <c r="P143" s="35">
        <f>IF($L143="","",SUMIFS(Data!$N$2:$N$20000,Data!$A$2:$A$20000,"&lt;="&amp;$L143))</f>
        <v/>
      </c>
    </row>
    <row r="144">
      <c r="L144" s="34" t="n"/>
      <c r="M144" s="35">
        <f>IF($L144="","",SUMIFS(Data!$N$2:$N$20000,Data!$A$2:$A$20000,$L144,Data!$F$2:$F$20000,"Bet"))</f>
        <v/>
      </c>
      <c r="N144" s="35">
        <f>IF($L144="","",SUMIFS(Data!$N$2:$N$20000,Data!$A$2:$A$20000,$L144,Data!$F$2:$F$20000,"Lay"))</f>
        <v/>
      </c>
      <c r="O144" s="35">
        <f>IF($L144="","",M144+N144)</f>
        <v/>
      </c>
      <c r="P144" s="35">
        <f>IF($L144="","",SUMIFS(Data!$N$2:$N$20000,Data!$A$2:$A$20000,"&lt;="&amp;$L144))</f>
        <v/>
      </c>
    </row>
    <row r="145">
      <c r="L145" s="34" t="n"/>
      <c r="M145" s="35">
        <f>IF($L145="","",SUMIFS(Data!$N$2:$N$20000,Data!$A$2:$A$20000,$L145,Data!$F$2:$F$20000,"Bet"))</f>
        <v/>
      </c>
      <c r="N145" s="35">
        <f>IF($L145="","",SUMIFS(Data!$N$2:$N$20000,Data!$A$2:$A$20000,$L145,Data!$F$2:$F$20000,"Lay"))</f>
        <v/>
      </c>
      <c r="O145" s="35">
        <f>IF($L145="","",M145+N145)</f>
        <v/>
      </c>
      <c r="P145" s="35">
        <f>IF($L145="","",SUMIFS(Data!$N$2:$N$20000,Data!$A$2:$A$20000,"&lt;="&amp;$L145))</f>
        <v/>
      </c>
    </row>
    <row r="146">
      <c r="L146" s="34" t="n"/>
      <c r="M146" s="35">
        <f>IF($L146="","",SUMIFS(Data!$N$2:$N$20000,Data!$A$2:$A$20000,$L146,Data!$F$2:$F$20000,"Bet"))</f>
        <v/>
      </c>
      <c r="N146" s="35">
        <f>IF($L146="","",SUMIFS(Data!$N$2:$N$20000,Data!$A$2:$A$20000,$L146,Data!$F$2:$F$20000,"Lay"))</f>
        <v/>
      </c>
      <c r="O146" s="35">
        <f>IF($L146="","",M146+N146)</f>
        <v/>
      </c>
      <c r="P146" s="35">
        <f>IF($L146="","",SUMIFS(Data!$N$2:$N$20000,Data!$A$2:$A$20000,"&lt;="&amp;$L146))</f>
        <v/>
      </c>
    </row>
    <row r="147">
      <c r="L147" s="34" t="n"/>
      <c r="M147" s="35">
        <f>IF($L147="","",SUMIFS(Data!$N$2:$N$20000,Data!$A$2:$A$20000,$L147,Data!$F$2:$F$20000,"Bet"))</f>
        <v/>
      </c>
      <c r="N147" s="35">
        <f>IF($L147="","",SUMIFS(Data!$N$2:$N$20000,Data!$A$2:$A$20000,$L147,Data!$F$2:$F$20000,"Lay"))</f>
        <v/>
      </c>
      <c r="O147" s="35">
        <f>IF($L147="","",M147+N147)</f>
        <v/>
      </c>
      <c r="P147" s="35">
        <f>IF($L147="","",SUMIFS(Data!$N$2:$N$20000,Data!$A$2:$A$20000,"&lt;="&amp;$L147))</f>
        <v/>
      </c>
    </row>
    <row r="148">
      <c r="L148" s="34" t="n"/>
      <c r="M148" s="35">
        <f>IF($L148="","",SUMIFS(Data!$N$2:$N$20000,Data!$A$2:$A$20000,$L148,Data!$F$2:$F$20000,"Bet"))</f>
        <v/>
      </c>
      <c r="N148" s="35">
        <f>IF($L148="","",SUMIFS(Data!$N$2:$N$20000,Data!$A$2:$A$20000,$L148,Data!$F$2:$F$20000,"Lay"))</f>
        <v/>
      </c>
      <c r="O148" s="35">
        <f>IF($L148="","",M148+N148)</f>
        <v/>
      </c>
      <c r="P148" s="35">
        <f>IF($L148="","",SUMIFS(Data!$N$2:$N$20000,Data!$A$2:$A$20000,"&lt;="&amp;$L148))</f>
        <v/>
      </c>
    </row>
    <row r="149">
      <c r="L149" s="34" t="n"/>
      <c r="M149" s="35">
        <f>IF($L149="","",SUMIFS(Data!$N$2:$N$20000,Data!$A$2:$A$20000,$L149,Data!$F$2:$F$20000,"Bet"))</f>
        <v/>
      </c>
      <c r="N149" s="35">
        <f>IF($L149="","",SUMIFS(Data!$N$2:$N$20000,Data!$A$2:$A$20000,$L149,Data!$F$2:$F$20000,"Lay"))</f>
        <v/>
      </c>
      <c r="O149" s="35">
        <f>IF($L149="","",M149+N149)</f>
        <v/>
      </c>
      <c r="P149" s="35">
        <f>IF($L149="","",SUMIFS(Data!$N$2:$N$20000,Data!$A$2:$A$20000,"&lt;="&amp;$L149))</f>
        <v/>
      </c>
    </row>
    <row r="150">
      <c r="L150" s="34" t="n"/>
      <c r="M150" s="35">
        <f>IF($L150="","",SUMIFS(Data!$N$2:$N$20000,Data!$A$2:$A$20000,$L150,Data!$F$2:$F$20000,"Bet"))</f>
        <v/>
      </c>
      <c r="N150" s="35">
        <f>IF($L150="","",SUMIFS(Data!$N$2:$N$20000,Data!$A$2:$A$20000,$L150,Data!$F$2:$F$20000,"Lay"))</f>
        <v/>
      </c>
      <c r="O150" s="35">
        <f>IF($L150="","",M150+N150)</f>
        <v/>
      </c>
      <c r="P150" s="35">
        <f>IF($L150="","",SUMIFS(Data!$N$2:$N$20000,Data!$A$2:$A$20000,"&lt;="&amp;$L150))</f>
        <v/>
      </c>
    </row>
    <row r="151">
      <c r="L151" s="34" t="n"/>
      <c r="M151" s="35">
        <f>IF($L151="","",SUMIFS(Data!$N$2:$N$20000,Data!$A$2:$A$20000,$L151,Data!$F$2:$F$20000,"Bet"))</f>
        <v/>
      </c>
      <c r="N151" s="35">
        <f>IF($L151="","",SUMIFS(Data!$N$2:$N$20000,Data!$A$2:$A$20000,$L151,Data!$F$2:$F$20000,"Lay"))</f>
        <v/>
      </c>
      <c r="O151" s="35">
        <f>IF($L151="","",M151+N151)</f>
        <v/>
      </c>
      <c r="P151" s="35">
        <f>IF($L151="","",SUMIFS(Data!$N$2:$N$20000,Data!$A$2:$A$20000,"&lt;="&amp;$L151))</f>
        <v/>
      </c>
    </row>
    <row r="152">
      <c r="L152" s="34" t="n"/>
      <c r="M152" s="35">
        <f>IF($L152="","",SUMIFS(Data!$N$2:$N$20000,Data!$A$2:$A$20000,$L152,Data!$F$2:$F$20000,"Bet"))</f>
        <v/>
      </c>
      <c r="N152" s="35">
        <f>IF($L152="","",SUMIFS(Data!$N$2:$N$20000,Data!$A$2:$A$20000,$L152,Data!$F$2:$F$20000,"Lay"))</f>
        <v/>
      </c>
      <c r="O152" s="35">
        <f>IF($L152="","",M152+N152)</f>
        <v/>
      </c>
      <c r="P152" s="35">
        <f>IF($L152="","",SUMIFS(Data!$N$2:$N$20000,Data!$A$2:$A$20000,"&lt;="&amp;$L152))</f>
        <v/>
      </c>
    </row>
    <row r="153">
      <c r="L153" s="34" t="n"/>
      <c r="M153" s="35">
        <f>IF($L153="","",SUMIFS(Data!$N$2:$N$20000,Data!$A$2:$A$20000,$L153,Data!$F$2:$F$20000,"Bet"))</f>
        <v/>
      </c>
      <c r="N153" s="35">
        <f>IF($L153="","",SUMIFS(Data!$N$2:$N$20000,Data!$A$2:$A$20000,$L153,Data!$F$2:$F$20000,"Lay"))</f>
        <v/>
      </c>
      <c r="O153" s="35">
        <f>IF($L153="","",M153+N153)</f>
        <v/>
      </c>
      <c r="P153" s="35">
        <f>IF($L153="","",SUMIFS(Data!$N$2:$N$20000,Data!$A$2:$A$20000,"&lt;="&amp;$L153))</f>
        <v/>
      </c>
    </row>
    <row r="154">
      <c r="L154" s="34" t="n"/>
      <c r="M154" s="35">
        <f>IF($L154="","",SUMIFS(Data!$N$2:$N$20000,Data!$A$2:$A$20000,$L154,Data!$F$2:$F$20000,"Bet"))</f>
        <v/>
      </c>
      <c r="N154" s="35">
        <f>IF($L154="","",SUMIFS(Data!$N$2:$N$20000,Data!$A$2:$A$20000,$L154,Data!$F$2:$F$20000,"Lay"))</f>
        <v/>
      </c>
      <c r="O154" s="35">
        <f>IF($L154="","",M154+N154)</f>
        <v/>
      </c>
      <c r="P154" s="35">
        <f>IF($L154="","",SUMIFS(Data!$N$2:$N$20000,Data!$A$2:$A$20000,"&lt;="&amp;$L154))</f>
        <v/>
      </c>
    </row>
    <row r="155">
      <c r="L155" s="34" t="n"/>
      <c r="M155" s="35">
        <f>IF($L155="","",SUMIFS(Data!$N$2:$N$20000,Data!$A$2:$A$20000,$L155,Data!$F$2:$F$20000,"Bet"))</f>
        <v/>
      </c>
      <c r="N155" s="35">
        <f>IF($L155="","",SUMIFS(Data!$N$2:$N$20000,Data!$A$2:$A$20000,$L155,Data!$F$2:$F$20000,"Lay"))</f>
        <v/>
      </c>
      <c r="O155" s="35">
        <f>IF($L155="","",M155+N155)</f>
        <v/>
      </c>
      <c r="P155" s="35">
        <f>IF($L155="","",SUMIFS(Data!$N$2:$N$20000,Data!$A$2:$A$20000,"&lt;="&amp;$L155))</f>
        <v/>
      </c>
    </row>
    <row r="156">
      <c r="L156" s="34" t="n"/>
      <c r="M156" s="35">
        <f>IF($L156="","",SUMIFS(Data!$N$2:$N$20000,Data!$A$2:$A$20000,$L156,Data!$F$2:$F$20000,"Bet"))</f>
        <v/>
      </c>
      <c r="N156" s="35">
        <f>IF($L156="","",SUMIFS(Data!$N$2:$N$20000,Data!$A$2:$A$20000,$L156,Data!$F$2:$F$20000,"Lay"))</f>
        <v/>
      </c>
      <c r="O156" s="35">
        <f>IF($L156="","",M156+N156)</f>
        <v/>
      </c>
      <c r="P156" s="35">
        <f>IF($L156="","",SUMIFS(Data!$N$2:$N$20000,Data!$A$2:$A$20000,"&lt;="&amp;$L156))</f>
        <v/>
      </c>
    </row>
    <row r="157">
      <c r="L157" s="34" t="n"/>
      <c r="M157" s="35">
        <f>IF($L157="","",SUMIFS(Data!$N$2:$N$20000,Data!$A$2:$A$20000,$L157,Data!$F$2:$F$20000,"Bet"))</f>
        <v/>
      </c>
      <c r="N157" s="35">
        <f>IF($L157="","",SUMIFS(Data!$N$2:$N$20000,Data!$A$2:$A$20000,$L157,Data!$F$2:$F$20000,"Lay"))</f>
        <v/>
      </c>
      <c r="O157" s="35">
        <f>IF($L157="","",M157+N157)</f>
        <v/>
      </c>
      <c r="P157" s="35">
        <f>IF($L157="","",SUMIFS(Data!$N$2:$N$20000,Data!$A$2:$A$20000,"&lt;="&amp;$L157))</f>
        <v/>
      </c>
    </row>
    <row r="158">
      <c r="L158" s="34" t="n"/>
      <c r="M158" s="35">
        <f>IF($L158="","",SUMIFS(Data!$N$2:$N$20000,Data!$A$2:$A$20000,$L158,Data!$F$2:$F$20000,"Bet"))</f>
        <v/>
      </c>
      <c r="N158" s="35">
        <f>IF($L158="","",SUMIFS(Data!$N$2:$N$20000,Data!$A$2:$A$20000,$L158,Data!$F$2:$F$20000,"Lay"))</f>
        <v/>
      </c>
      <c r="O158" s="35">
        <f>IF($L158="","",M158+N158)</f>
        <v/>
      </c>
      <c r="P158" s="35">
        <f>IF($L158="","",SUMIFS(Data!$N$2:$N$20000,Data!$A$2:$A$20000,"&lt;="&amp;$L158))</f>
        <v/>
      </c>
    </row>
    <row r="159">
      <c r="L159" s="34" t="n"/>
      <c r="M159" s="35">
        <f>IF($L159="","",SUMIFS(Data!$N$2:$N$20000,Data!$A$2:$A$20000,$L159,Data!$F$2:$F$20000,"Bet"))</f>
        <v/>
      </c>
      <c r="N159" s="35">
        <f>IF($L159="","",SUMIFS(Data!$N$2:$N$20000,Data!$A$2:$A$20000,$L159,Data!$F$2:$F$20000,"Lay"))</f>
        <v/>
      </c>
      <c r="O159" s="35">
        <f>IF($L159="","",M159+N159)</f>
        <v/>
      </c>
      <c r="P159" s="35">
        <f>IF($L159="","",SUMIFS(Data!$N$2:$N$20000,Data!$A$2:$A$20000,"&lt;="&amp;$L159))</f>
        <v/>
      </c>
    </row>
    <row r="160">
      <c r="L160" s="34" t="n"/>
      <c r="M160" s="35">
        <f>IF($L160="","",SUMIFS(Data!$N$2:$N$20000,Data!$A$2:$A$20000,$L160,Data!$F$2:$F$20000,"Bet"))</f>
        <v/>
      </c>
      <c r="N160" s="35">
        <f>IF($L160="","",SUMIFS(Data!$N$2:$N$20000,Data!$A$2:$A$20000,$L160,Data!$F$2:$F$20000,"Lay"))</f>
        <v/>
      </c>
      <c r="O160" s="35">
        <f>IF($L160="","",M160+N160)</f>
        <v/>
      </c>
      <c r="P160" s="35">
        <f>IF($L160="","",SUMIFS(Data!$N$2:$N$20000,Data!$A$2:$A$20000,"&lt;="&amp;$L160))</f>
        <v/>
      </c>
    </row>
    <row r="161">
      <c r="L161" s="34" t="n"/>
      <c r="M161" s="35">
        <f>IF($L161="","",SUMIFS(Data!$N$2:$N$20000,Data!$A$2:$A$20000,$L161,Data!$F$2:$F$20000,"Bet"))</f>
        <v/>
      </c>
      <c r="N161" s="35">
        <f>IF($L161="","",SUMIFS(Data!$N$2:$N$20000,Data!$A$2:$A$20000,$L161,Data!$F$2:$F$20000,"Lay"))</f>
        <v/>
      </c>
      <c r="O161" s="35">
        <f>IF($L161="","",M161+N161)</f>
        <v/>
      </c>
      <c r="P161" s="35">
        <f>IF($L161="","",SUMIFS(Data!$N$2:$N$20000,Data!$A$2:$A$20000,"&lt;="&amp;$L161))</f>
        <v/>
      </c>
    </row>
    <row r="162">
      <c r="L162" s="34" t="n"/>
      <c r="M162" s="35">
        <f>IF($L162="","",SUMIFS(Data!$N$2:$N$20000,Data!$A$2:$A$20000,$L162,Data!$F$2:$F$20000,"Bet"))</f>
        <v/>
      </c>
      <c r="N162" s="35">
        <f>IF($L162="","",SUMIFS(Data!$N$2:$N$20000,Data!$A$2:$A$20000,$L162,Data!$F$2:$F$20000,"Lay"))</f>
        <v/>
      </c>
      <c r="O162" s="35">
        <f>IF($L162="","",M162+N162)</f>
        <v/>
      </c>
      <c r="P162" s="35">
        <f>IF($L162="","",SUMIFS(Data!$N$2:$N$20000,Data!$A$2:$A$20000,"&lt;="&amp;$L162))</f>
        <v/>
      </c>
    </row>
    <row r="163">
      <c r="L163" s="34" t="n"/>
      <c r="M163" s="35">
        <f>IF($L163="","",SUMIFS(Data!$N$2:$N$20000,Data!$A$2:$A$20000,$L163,Data!$F$2:$F$20000,"Bet"))</f>
        <v/>
      </c>
      <c r="N163" s="35">
        <f>IF($L163="","",SUMIFS(Data!$N$2:$N$20000,Data!$A$2:$A$20000,$L163,Data!$F$2:$F$20000,"Lay"))</f>
        <v/>
      </c>
      <c r="O163" s="35">
        <f>IF($L163="","",M163+N163)</f>
        <v/>
      </c>
      <c r="P163" s="35">
        <f>IF($L163="","",SUMIFS(Data!$N$2:$N$20000,Data!$A$2:$A$20000,"&lt;="&amp;$L163))</f>
        <v/>
      </c>
    </row>
    <row r="164">
      <c r="L164" s="34" t="n"/>
      <c r="M164" s="35">
        <f>IF($L164="","",SUMIFS(Data!$N$2:$N$20000,Data!$A$2:$A$20000,$L164,Data!$F$2:$F$20000,"Bet"))</f>
        <v/>
      </c>
      <c r="N164" s="35">
        <f>IF($L164="","",SUMIFS(Data!$N$2:$N$20000,Data!$A$2:$A$20000,$L164,Data!$F$2:$F$20000,"Lay"))</f>
        <v/>
      </c>
      <c r="O164" s="35">
        <f>IF($L164="","",M164+N164)</f>
        <v/>
      </c>
      <c r="P164" s="35">
        <f>IF($L164="","",SUMIFS(Data!$N$2:$N$20000,Data!$A$2:$A$20000,"&lt;="&amp;$L164))</f>
        <v/>
      </c>
    </row>
    <row r="165">
      <c r="L165" s="34" t="n"/>
      <c r="M165" s="35">
        <f>IF($L165="","",SUMIFS(Data!$N$2:$N$20000,Data!$A$2:$A$20000,$L165,Data!$F$2:$F$20000,"Bet"))</f>
        <v/>
      </c>
      <c r="N165" s="35">
        <f>IF($L165="","",SUMIFS(Data!$N$2:$N$20000,Data!$A$2:$A$20000,$L165,Data!$F$2:$F$20000,"Lay"))</f>
        <v/>
      </c>
      <c r="O165" s="35">
        <f>IF($L165="","",M165+N165)</f>
        <v/>
      </c>
      <c r="P165" s="35">
        <f>IF($L165="","",SUMIFS(Data!$N$2:$N$20000,Data!$A$2:$A$20000,"&lt;="&amp;$L165))</f>
        <v/>
      </c>
    </row>
    <row r="166">
      <c r="L166" s="34" t="n"/>
      <c r="M166" s="35">
        <f>IF($L166="","",SUMIFS(Data!$N$2:$N$20000,Data!$A$2:$A$20000,$L166,Data!$F$2:$F$20000,"Bet"))</f>
        <v/>
      </c>
      <c r="N166" s="35">
        <f>IF($L166="","",SUMIFS(Data!$N$2:$N$20000,Data!$A$2:$A$20000,$L166,Data!$F$2:$F$20000,"Lay"))</f>
        <v/>
      </c>
      <c r="O166" s="35">
        <f>IF($L166="","",M166+N166)</f>
        <v/>
      </c>
      <c r="P166" s="35">
        <f>IF($L166="","",SUMIFS(Data!$N$2:$N$20000,Data!$A$2:$A$20000,"&lt;="&amp;$L166))</f>
        <v/>
      </c>
    </row>
    <row r="167">
      <c r="L167" s="34" t="n"/>
      <c r="M167" s="35">
        <f>IF($L167="","",SUMIFS(Data!$N$2:$N$20000,Data!$A$2:$A$20000,$L167,Data!$F$2:$F$20000,"Bet"))</f>
        <v/>
      </c>
      <c r="N167" s="35">
        <f>IF($L167="","",SUMIFS(Data!$N$2:$N$20000,Data!$A$2:$A$20000,$L167,Data!$F$2:$F$20000,"Lay"))</f>
        <v/>
      </c>
      <c r="O167" s="35">
        <f>IF($L167="","",M167+N167)</f>
        <v/>
      </c>
      <c r="P167" s="35">
        <f>IF($L167="","",SUMIFS(Data!$N$2:$N$20000,Data!$A$2:$A$20000,"&lt;="&amp;$L167))</f>
        <v/>
      </c>
    </row>
    <row r="168">
      <c r="L168" s="34" t="n"/>
      <c r="M168" s="35">
        <f>IF($L168="","",SUMIFS(Data!$N$2:$N$20000,Data!$A$2:$A$20000,$L168,Data!$F$2:$F$20000,"Bet"))</f>
        <v/>
      </c>
      <c r="N168" s="35">
        <f>IF($L168="","",SUMIFS(Data!$N$2:$N$20000,Data!$A$2:$A$20000,$L168,Data!$F$2:$F$20000,"Lay"))</f>
        <v/>
      </c>
      <c r="O168" s="35">
        <f>IF($L168="","",M168+N168)</f>
        <v/>
      </c>
      <c r="P168" s="35">
        <f>IF($L168="","",SUMIFS(Data!$N$2:$N$20000,Data!$A$2:$A$20000,"&lt;="&amp;$L168))</f>
        <v/>
      </c>
    </row>
    <row r="169">
      <c r="L169" s="34" t="n"/>
      <c r="M169" s="35">
        <f>IF($L169="","",SUMIFS(Data!$N$2:$N$20000,Data!$A$2:$A$20000,$L169,Data!$F$2:$F$20000,"Bet"))</f>
        <v/>
      </c>
      <c r="N169" s="35">
        <f>IF($L169="","",SUMIFS(Data!$N$2:$N$20000,Data!$A$2:$A$20000,$L169,Data!$F$2:$F$20000,"Lay"))</f>
        <v/>
      </c>
      <c r="O169" s="35">
        <f>IF($L169="","",M169+N169)</f>
        <v/>
      </c>
      <c r="P169" s="35">
        <f>IF($L169="","",SUMIFS(Data!$N$2:$N$20000,Data!$A$2:$A$20000,"&lt;="&amp;$L169))</f>
        <v/>
      </c>
    </row>
    <row r="170">
      <c r="L170" s="34" t="n"/>
      <c r="M170" s="35">
        <f>IF($L170="","",SUMIFS(Data!$N$2:$N$20000,Data!$A$2:$A$20000,$L170,Data!$F$2:$F$20000,"Bet"))</f>
        <v/>
      </c>
      <c r="N170" s="35">
        <f>IF($L170="","",SUMIFS(Data!$N$2:$N$20000,Data!$A$2:$A$20000,$L170,Data!$F$2:$F$20000,"Lay"))</f>
        <v/>
      </c>
      <c r="O170" s="35">
        <f>IF($L170="","",M170+N170)</f>
        <v/>
      </c>
      <c r="P170" s="35">
        <f>IF($L170="","",SUMIFS(Data!$N$2:$N$20000,Data!$A$2:$A$20000,"&lt;="&amp;$L170))</f>
        <v/>
      </c>
    </row>
    <row r="171">
      <c r="L171" s="34" t="n"/>
      <c r="M171" s="35">
        <f>IF($L171="","",SUMIFS(Data!$N$2:$N$20000,Data!$A$2:$A$20000,$L171,Data!$F$2:$F$20000,"Bet"))</f>
        <v/>
      </c>
      <c r="N171" s="35">
        <f>IF($L171="","",SUMIFS(Data!$N$2:$N$20000,Data!$A$2:$A$20000,$L171,Data!$F$2:$F$20000,"Lay"))</f>
        <v/>
      </c>
      <c r="O171" s="35">
        <f>IF($L171="","",M171+N171)</f>
        <v/>
      </c>
      <c r="P171" s="35">
        <f>IF($L171="","",SUMIFS(Data!$N$2:$N$20000,Data!$A$2:$A$20000,"&lt;="&amp;$L171))</f>
        <v/>
      </c>
    </row>
    <row r="172">
      <c r="L172" s="34" t="n"/>
      <c r="M172" s="35">
        <f>IF($L172="","",SUMIFS(Data!$N$2:$N$20000,Data!$A$2:$A$20000,$L172,Data!$F$2:$F$20000,"Bet"))</f>
        <v/>
      </c>
      <c r="N172" s="35">
        <f>IF($L172="","",SUMIFS(Data!$N$2:$N$20000,Data!$A$2:$A$20000,$L172,Data!$F$2:$F$20000,"Lay"))</f>
        <v/>
      </c>
      <c r="O172" s="35">
        <f>IF($L172="","",M172+N172)</f>
        <v/>
      </c>
      <c r="P172" s="35">
        <f>IF($L172="","",SUMIFS(Data!$N$2:$N$20000,Data!$A$2:$A$20000,"&lt;="&amp;$L172))</f>
        <v/>
      </c>
    </row>
    <row r="173">
      <c r="L173" s="34" t="n"/>
      <c r="M173" s="35">
        <f>IF($L173="","",SUMIFS(Data!$N$2:$N$20000,Data!$A$2:$A$20000,$L173,Data!$F$2:$F$20000,"Bet"))</f>
        <v/>
      </c>
      <c r="N173" s="35">
        <f>IF($L173="","",SUMIFS(Data!$N$2:$N$20000,Data!$A$2:$A$20000,$L173,Data!$F$2:$F$20000,"Lay"))</f>
        <v/>
      </c>
      <c r="O173" s="35">
        <f>IF($L173="","",M173+N173)</f>
        <v/>
      </c>
      <c r="P173" s="35">
        <f>IF($L173="","",SUMIFS(Data!$N$2:$N$20000,Data!$A$2:$A$20000,"&lt;="&amp;$L173))</f>
        <v/>
      </c>
    </row>
    <row r="174">
      <c r="L174" s="34" t="n"/>
      <c r="M174" s="35">
        <f>IF($L174="","",SUMIFS(Data!$N$2:$N$20000,Data!$A$2:$A$20000,$L174,Data!$F$2:$F$20000,"Bet"))</f>
        <v/>
      </c>
      <c r="N174" s="35">
        <f>IF($L174="","",SUMIFS(Data!$N$2:$N$20000,Data!$A$2:$A$20000,$L174,Data!$F$2:$F$20000,"Lay"))</f>
        <v/>
      </c>
      <c r="O174" s="35">
        <f>IF($L174="","",M174+N174)</f>
        <v/>
      </c>
      <c r="P174" s="35">
        <f>IF($L174="","",SUMIFS(Data!$N$2:$N$20000,Data!$A$2:$A$20000,"&lt;="&amp;$L174))</f>
        <v/>
      </c>
    </row>
    <row r="175">
      <c r="L175" s="34" t="n"/>
      <c r="M175" s="35">
        <f>IF($L175="","",SUMIFS(Data!$N$2:$N$20000,Data!$A$2:$A$20000,$L175,Data!$F$2:$F$20000,"Bet"))</f>
        <v/>
      </c>
      <c r="N175" s="35">
        <f>IF($L175="","",SUMIFS(Data!$N$2:$N$20000,Data!$A$2:$A$20000,$L175,Data!$F$2:$F$20000,"Lay"))</f>
        <v/>
      </c>
      <c r="O175" s="35">
        <f>IF($L175="","",M175+N175)</f>
        <v/>
      </c>
      <c r="P175" s="35">
        <f>IF($L175="","",SUMIFS(Data!$N$2:$N$20000,Data!$A$2:$A$20000,"&lt;="&amp;$L175))</f>
        <v/>
      </c>
    </row>
    <row r="176">
      <c r="L176" s="34" t="n"/>
      <c r="M176" s="35">
        <f>IF($L176="","",SUMIFS(Data!$N$2:$N$20000,Data!$A$2:$A$20000,$L176,Data!$F$2:$F$20000,"Bet"))</f>
        <v/>
      </c>
      <c r="N176" s="35">
        <f>IF($L176="","",SUMIFS(Data!$N$2:$N$20000,Data!$A$2:$A$20000,$L176,Data!$F$2:$F$20000,"Lay"))</f>
        <v/>
      </c>
      <c r="O176" s="35">
        <f>IF($L176="","",M176+N176)</f>
        <v/>
      </c>
      <c r="P176" s="35">
        <f>IF($L176="","",SUMIFS(Data!$N$2:$N$20000,Data!$A$2:$A$20000,"&lt;="&amp;$L176))</f>
        <v/>
      </c>
    </row>
    <row r="177">
      <c r="L177" s="34" t="n"/>
      <c r="M177" s="35">
        <f>IF($L177="","",SUMIFS(Data!$N$2:$N$20000,Data!$A$2:$A$20000,$L177,Data!$F$2:$F$20000,"Bet"))</f>
        <v/>
      </c>
      <c r="N177" s="35">
        <f>IF($L177="","",SUMIFS(Data!$N$2:$N$20000,Data!$A$2:$A$20000,$L177,Data!$F$2:$F$20000,"Lay"))</f>
        <v/>
      </c>
      <c r="O177" s="35">
        <f>IF($L177="","",M177+N177)</f>
        <v/>
      </c>
      <c r="P177" s="35">
        <f>IF($L177="","",SUMIFS(Data!$N$2:$N$20000,Data!$A$2:$A$20000,"&lt;="&amp;$L177))</f>
        <v/>
      </c>
    </row>
    <row r="178">
      <c r="L178" s="34" t="n"/>
      <c r="M178" s="35">
        <f>IF($L178="","",SUMIFS(Data!$N$2:$N$20000,Data!$A$2:$A$20000,$L178,Data!$F$2:$F$20000,"Bet"))</f>
        <v/>
      </c>
      <c r="N178" s="35">
        <f>IF($L178="","",SUMIFS(Data!$N$2:$N$20000,Data!$A$2:$A$20000,$L178,Data!$F$2:$F$20000,"Lay"))</f>
        <v/>
      </c>
      <c r="O178" s="35">
        <f>IF($L178="","",M178+N178)</f>
        <v/>
      </c>
      <c r="P178" s="35">
        <f>IF($L178="","",SUMIFS(Data!$N$2:$N$20000,Data!$A$2:$A$20000,"&lt;="&amp;$L178))</f>
        <v/>
      </c>
    </row>
    <row r="179">
      <c r="L179" s="34" t="n"/>
      <c r="M179" s="35">
        <f>IF($L179="","",SUMIFS(Data!$N$2:$N$20000,Data!$A$2:$A$20000,$L179,Data!$F$2:$F$20000,"Bet"))</f>
        <v/>
      </c>
      <c r="N179" s="35">
        <f>IF($L179="","",SUMIFS(Data!$N$2:$N$20000,Data!$A$2:$A$20000,$L179,Data!$F$2:$F$20000,"Lay"))</f>
        <v/>
      </c>
      <c r="O179" s="35">
        <f>IF($L179="","",M179+N179)</f>
        <v/>
      </c>
      <c r="P179" s="35">
        <f>IF($L179="","",SUMIFS(Data!$N$2:$N$20000,Data!$A$2:$A$20000,"&lt;="&amp;$L179))</f>
        <v/>
      </c>
    </row>
    <row r="180">
      <c r="L180" s="34" t="n"/>
      <c r="M180" s="35">
        <f>IF($L180="","",SUMIFS(Data!$N$2:$N$20000,Data!$A$2:$A$20000,$L180,Data!$F$2:$F$20000,"Bet"))</f>
        <v/>
      </c>
      <c r="N180" s="35">
        <f>IF($L180="","",SUMIFS(Data!$N$2:$N$20000,Data!$A$2:$A$20000,$L180,Data!$F$2:$F$20000,"Lay"))</f>
        <v/>
      </c>
      <c r="O180" s="35">
        <f>IF($L180="","",M180+N180)</f>
        <v/>
      </c>
      <c r="P180" s="35">
        <f>IF($L180="","",SUMIFS(Data!$N$2:$N$20000,Data!$A$2:$A$20000,"&lt;="&amp;$L180))</f>
        <v/>
      </c>
    </row>
    <row r="181">
      <c r="L181" s="34" t="n"/>
      <c r="M181" s="35">
        <f>IF($L181="","",SUMIFS(Data!$N$2:$N$20000,Data!$A$2:$A$20000,$L181,Data!$F$2:$F$20000,"Bet"))</f>
        <v/>
      </c>
      <c r="N181" s="35">
        <f>IF($L181="","",SUMIFS(Data!$N$2:$N$20000,Data!$A$2:$A$20000,$L181,Data!$F$2:$F$20000,"Lay"))</f>
        <v/>
      </c>
      <c r="O181" s="35">
        <f>IF($L181="","",M181+N181)</f>
        <v/>
      </c>
      <c r="P181" s="35">
        <f>IF($L181="","",SUMIFS(Data!$N$2:$N$20000,Data!$A$2:$A$20000,"&lt;="&amp;$L181))</f>
        <v/>
      </c>
    </row>
    <row r="182">
      <c r="L182" s="34" t="n"/>
      <c r="M182" s="35">
        <f>IF($L182="","",SUMIFS(Data!$N$2:$N$20000,Data!$A$2:$A$20000,$L182,Data!$F$2:$F$20000,"Bet"))</f>
        <v/>
      </c>
      <c r="N182" s="35">
        <f>IF($L182="","",SUMIFS(Data!$N$2:$N$20000,Data!$A$2:$A$20000,$L182,Data!$F$2:$F$20000,"Lay"))</f>
        <v/>
      </c>
      <c r="O182" s="35">
        <f>IF($L182="","",M182+N182)</f>
        <v/>
      </c>
      <c r="P182" s="35">
        <f>IF($L182="","",SUMIFS(Data!$N$2:$N$20000,Data!$A$2:$A$20000,"&lt;="&amp;$L182))</f>
        <v/>
      </c>
    </row>
    <row r="183">
      <c r="L183" s="34" t="n"/>
      <c r="M183" s="35">
        <f>IF($L183="","",SUMIFS(Data!$N$2:$N$20000,Data!$A$2:$A$20000,$L183,Data!$F$2:$F$20000,"Bet"))</f>
        <v/>
      </c>
      <c r="N183" s="35">
        <f>IF($L183="","",SUMIFS(Data!$N$2:$N$20000,Data!$A$2:$A$20000,$L183,Data!$F$2:$F$20000,"Lay"))</f>
        <v/>
      </c>
      <c r="O183" s="35">
        <f>IF($L183="","",M183+N183)</f>
        <v/>
      </c>
      <c r="P183" s="35">
        <f>IF($L183="","",SUMIFS(Data!$N$2:$N$20000,Data!$A$2:$A$20000,"&lt;="&amp;$L183))</f>
        <v/>
      </c>
    </row>
    <row r="184">
      <c r="L184" s="34" t="n"/>
      <c r="M184" s="35">
        <f>IF($L184="","",SUMIFS(Data!$N$2:$N$20000,Data!$A$2:$A$20000,$L184,Data!$F$2:$F$20000,"Bet"))</f>
        <v/>
      </c>
      <c r="N184" s="35">
        <f>IF($L184="","",SUMIFS(Data!$N$2:$N$20000,Data!$A$2:$A$20000,$L184,Data!$F$2:$F$20000,"Lay"))</f>
        <v/>
      </c>
      <c r="O184" s="35">
        <f>IF($L184="","",M184+N184)</f>
        <v/>
      </c>
      <c r="P184" s="35">
        <f>IF($L184="","",SUMIFS(Data!$N$2:$N$20000,Data!$A$2:$A$20000,"&lt;="&amp;$L184))</f>
        <v/>
      </c>
    </row>
    <row r="185">
      <c r="L185" s="34" t="n"/>
      <c r="M185" s="35">
        <f>IF($L185="","",SUMIFS(Data!$N$2:$N$20000,Data!$A$2:$A$20000,$L185,Data!$F$2:$F$20000,"Bet"))</f>
        <v/>
      </c>
      <c r="N185" s="35">
        <f>IF($L185="","",SUMIFS(Data!$N$2:$N$20000,Data!$A$2:$A$20000,$L185,Data!$F$2:$F$20000,"Lay"))</f>
        <v/>
      </c>
      <c r="O185" s="35">
        <f>IF($L185="","",M185+N185)</f>
        <v/>
      </c>
      <c r="P185" s="35">
        <f>IF($L185="","",SUMIFS(Data!$N$2:$N$20000,Data!$A$2:$A$20000,"&lt;="&amp;$L185))</f>
        <v/>
      </c>
    </row>
    <row r="186">
      <c r="L186" s="34" t="n"/>
      <c r="M186" s="35">
        <f>IF($L186="","",SUMIFS(Data!$N$2:$N$20000,Data!$A$2:$A$20000,$L186,Data!$F$2:$F$20000,"Bet"))</f>
        <v/>
      </c>
      <c r="N186" s="35">
        <f>IF($L186="","",SUMIFS(Data!$N$2:$N$20000,Data!$A$2:$A$20000,$L186,Data!$F$2:$F$20000,"Lay"))</f>
        <v/>
      </c>
      <c r="O186" s="35">
        <f>IF($L186="","",M186+N186)</f>
        <v/>
      </c>
      <c r="P186" s="35">
        <f>IF($L186="","",SUMIFS(Data!$N$2:$N$20000,Data!$A$2:$A$20000,"&lt;="&amp;$L186))</f>
        <v/>
      </c>
    </row>
    <row r="187">
      <c r="L187" s="34" t="n"/>
      <c r="M187" s="35">
        <f>IF($L187="","",SUMIFS(Data!$N$2:$N$20000,Data!$A$2:$A$20000,$L187,Data!$F$2:$F$20000,"Bet"))</f>
        <v/>
      </c>
      <c r="N187" s="35">
        <f>IF($L187="","",SUMIFS(Data!$N$2:$N$20000,Data!$A$2:$A$20000,$L187,Data!$F$2:$F$20000,"Lay"))</f>
        <v/>
      </c>
      <c r="O187" s="35">
        <f>IF($L187="","",M187+N187)</f>
        <v/>
      </c>
      <c r="P187" s="35">
        <f>IF($L187="","",SUMIFS(Data!$N$2:$N$20000,Data!$A$2:$A$20000,"&lt;="&amp;$L187))</f>
        <v/>
      </c>
    </row>
    <row r="188">
      <c r="L188" s="34" t="n"/>
      <c r="M188" s="35">
        <f>IF($L188="","",SUMIFS(Data!$N$2:$N$20000,Data!$A$2:$A$20000,$L188,Data!$F$2:$F$20000,"Bet"))</f>
        <v/>
      </c>
      <c r="N188" s="35">
        <f>IF($L188="","",SUMIFS(Data!$N$2:$N$20000,Data!$A$2:$A$20000,$L188,Data!$F$2:$F$20000,"Lay"))</f>
        <v/>
      </c>
      <c r="O188" s="35">
        <f>IF($L188="","",M188+N188)</f>
        <v/>
      </c>
      <c r="P188" s="35">
        <f>IF($L188="","",SUMIFS(Data!$N$2:$N$20000,Data!$A$2:$A$20000,"&lt;="&amp;$L188))</f>
        <v/>
      </c>
    </row>
    <row r="189">
      <c r="L189" s="34" t="n"/>
      <c r="M189" s="35">
        <f>IF($L189="","",SUMIFS(Data!$N$2:$N$20000,Data!$A$2:$A$20000,$L189,Data!$F$2:$F$20000,"Bet"))</f>
        <v/>
      </c>
      <c r="N189" s="35">
        <f>IF($L189="","",SUMIFS(Data!$N$2:$N$20000,Data!$A$2:$A$20000,$L189,Data!$F$2:$F$20000,"Lay"))</f>
        <v/>
      </c>
      <c r="O189" s="35">
        <f>IF($L189="","",M189+N189)</f>
        <v/>
      </c>
      <c r="P189" s="35">
        <f>IF($L189="","",SUMIFS(Data!$N$2:$N$20000,Data!$A$2:$A$20000,"&lt;="&amp;$L189))</f>
        <v/>
      </c>
    </row>
    <row r="190">
      <c r="L190" s="34" t="n"/>
      <c r="M190" s="35">
        <f>IF($L190="","",SUMIFS(Data!$N$2:$N$20000,Data!$A$2:$A$20000,$L190,Data!$F$2:$F$20000,"Bet"))</f>
        <v/>
      </c>
      <c r="N190" s="35">
        <f>IF($L190="","",SUMIFS(Data!$N$2:$N$20000,Data!$A$2:$A$20000,$L190,Data!$F$2:$F$20000,"Lay"))</f>
        <v/>
      </c>
      <c r="O190" s="35">
        <f>IF($L190="","",M190+N190)</f>
        <v/>
      </c>
      <c r="P190" s="35">
        <f>IF($L190="","",SUMIFS(Data!$N$2:$N$20000,Data!$A$2:$A$20000,"&lt;="&amp;$L190))</f>
        <v/>
      </c>
    </row>
    <row r="191">
      <c r="L191" s="34" t="n"/>
      <c r="M191" s="35">
        <f>IF($L191="","",SUMIFS(Data!$N$2:$N$20000,Data!$A$2:$A$20000,$L191,Data!$F$2:$F$20000,"Bet"))</f>
        <v/>
      </c>
      <c r="N191" s="35">
        <f>IF($L191="","",SUMIFS(Data!$N$2:$N$20000,Data!$A$2:$A$20000,$L191,Data!$F$2:$F$20000,"Lay"))</f>
        <v/>
      </c>
      <c r="O191" s="35">
        <f>IF($L191="","",M191+N191)</f>
        <v/>
      </c>
      <c r="P191" s="35">
        <f>IF($L191="","",SUMIFS(Data!$N$2:$N$20000,Data!$A$2:$A$20000,"&lt;="&amp;$L191))</f>
        <v/>
      </c>
    </row>
    <row r="192">
      <c r="L192" s="34" t="n"/>
      <c r="M192" s="35">
        <f>IF($L192="","",SUMIFS(Data!$N$2:$N$20000,Data!$A$2:$A$20000,$L192,Data!$F$2:$F$20000,"Bet"))</f>
        <v/>
      </c>
      <c r="N192" s="35">
        <f>IF($L192="","",SUMIFS(Data!$N$2:$N$20000,Data!$A$2:$A$20000,$L192,Data!$F$2:$F$20000,"Lay"))</f>
        <v/>
      </c>
      <c r="O192" s="35">
        <f>IF($L192="","",M192+N192)</f>
        <v/>
      </c>
      <c r="P192" s="35">
        <f>IF($L192="","",SUMIFS(Data!$N$2:$N$20000,Data!$A$2:$A$20000,"&lt;="&amp;$L192))</f>
        <v/>
      </c>
    </row>
    <row r="193">
      <c r="L193" s="34" t="n"/>
      <c r="M193" s="35">
        <f>IF($L193="","",SUMIFS(Data!$N$2:$N$20000,Data!$A$2:$A$20000,$L193,Data!$F$2:$F$20000,"Bet"))</f>
        <v/>
      </c>
      <c r="N193" s="35">
        <f>IF($L193="","",SUMIFS(Data!$N$2:$N$20000,Data!$A$2:$A$20000,$L193,Data!$F$2:$F$20000,"Lay"))</f>
        <v/>
      </c>
      <c r="O193" s="35">
        <f>IF($L193="","",M193+N193)</f>
        <v/>
      </c>
      <c r="P193" s="35">
        <f>IF($L193="","",SUMIFS(Data!$N$2:$N$20000,Data!$A$2:$A$20000,"&lt;="&amp;$L193))</f>
        <v/>
      </c>
    </row>
    <row r="194">
      <c r="L194" s="34" t="n"/>
      <c r="M194" s="35">
        <f>IF($L194="","",SUMIFS(Data!$N$2:$N$20000,Data!$A$2:$A$20000,$L194,Data!$F$2:$F$20000,"Bet"))</f>
        <v/>
      </c>
      <c r="N194" s="35">
        <f>IF($L194="","",SUMIFS(Data!$N$2:$N$20000,Data!$A$2:$A$20000,$L194,Data!$F$2:$F$20000,"Lay"))</f>
        <v/>
      </c>
      <c r="O194" s="35">
        <f>IF($L194="","",M194+N194)</f>
        <v/>
      </c>
      <c r="P194" s="35">
        <f>IF($L194="","",SUMIFS(Data!$N$2:$N$20000,Data!$A$2:$A$20000,"&lt;="&amp;$L194))</f>
        <v/>
      </c>
    </row>
    <row r="195">
      <c r="L195" s="34" t="n"/>
      <c r="M195" s="35">
        <f>IF($L195="","",SUMIFS(Data!$N$2:$N$20000,Data!$A$2:$A$20000,$L195,Data!$F$2:$F$20000,"Bet"))</f>
        <v/>
      </c>
      <c r="N195" s="35">
        <f>IF($L195="","",SUMIFS(Data!$N$2:$N$20000,Data!$A$2:$A$20000,$L195,Data!$F$2:$F$20000,"Lay"))</f>
        <v/>
      </c>
      <c r="O195" s="35">
        <f>IF($L195="","",M195+N195)</f>
        <v/>
      </c>
      <c r="P195" s="35">
        <f>IF($L195="","",SUMIFS(Data!$N$2:$N$20000,Data!$A$2:$A$20000,"&lt;="&amp;$L195))</f>
        <v/>
      </c>
    </row>
    <row r="196">
      <c r="L196" s="34" t="n"/>
      <c r="M196" s="35">
        <f>IF($L196="","",SUMIFS(Data!$N$2:$N$20000,Data!$A$2:$A$20000,$L196,Data!$F$2:$F$20000,"Bet"))</f>
        <v/>
      </c>
      <c r="N196" s="35">
        <f>IF($L196="","",SUMIFS(Data!$N$2:$N$20000,Data!$A$2:$A$20000,$L196,Data!$F$2:$F$20000,"Lay"))</f>
        <v/>
      </c>
      <c r="O196" s="35">
        <f>IF($L196="","",M196+N196)</f>
        <v/>
      </c>
      <c r="P196" s="35">
        <f>IF($L196="","",SUMIFS(Data!$N$2:$N$20000,Data!$A$2:$A$20000,"&lt;="&amp;$L196))</f>
        <v/>
      </c>
    </row>
    <row r="197">
      <c r="L197" s="34" t="n"/>
      <c r="M197" s="35">
        <f>IF($L197="","",SUMIFS(Data!$N$2:$N$20000,Data!$A$2:$A$20000,$L197,Data!$F$2:$F$20000,"Bet"))</f>
        <v/>
      </c>
      <c r="N197" s="35">
        <f>IF($L197="","",SUMIFS(Data!$N$2:$N$20000,Data!$A$2:$A$20000,$L197,Data!$F$2:$F$20000,"Lay"))</f>
        <v/>
      </c>
      <c r="O197" s="35">
        <f>IF($L197="","",M197+N197)</f>
        <v/>
      </c>
      <c r="P197" s="35">
        <f>IF($L197="","",SUMIFS(Data!$N$2:$N$20000,Data!$A$2:$A$20000,"&lt;="&amp;$L197))</f>
        <v/>
      </c>
    </row>
    <row r="198">
      <c r="L198" s="34" t="n"/>
      <c r="M198" s="35">
        <f>IF($L198="","",SUMIFS(Data!$N$2:$N$20000,Data!$A$2:$A$20000,$L198,Data!$F$2:$F$20000,"Bet"))</f>
        <v/>
      </c>
      <c r="N198" s="35">
        <f>IF($L198="","",SUMIFS(Data!$N$2:$N$20000,Data!$A$2:$A$20000,$L198,Data!$F$2:$F$20000,"Lay"))</f>
        <v/>
      </c>
      <c r="O198" s="35">
        <f>IF($L198="","",M198+N198)</f>
        <v/>
      </c>
      <c r="P198" s="35">
        <f>IF($L198="","",SUMIFS(Data!$N$2:$N$20000,Data!$A$2:$A$20000,"&lt;="&amp;$L198))</f>
        <v/>
      </c>
    </row>
    <row r="199">
      <c r="L199" s="34" t="n"/>
      <c r="M199" s="35">
        <f>IF($L199="","",SUMIFS(Data!$N$2:$N$20000,Data!$A$2:$A$20000,$L199,Data!$F$2:$F$20000,"Bet"))</f>
        <v/>
      </c>
      <c r="N199" s="35">
        <f>IF($L199="","",SUMIFS(Data!$N$2:$N$20000,Data!$A$2:$A$20000,$L199,Data!$F$2:$F$20000,"Lay"))</f>
        <v/>
      </c>
      <c r="O199" s="35">
        <f>IF($L199="","",M199+N199)</f>
        <v/>
      </c>
      <c r="P199" s="35">
        <f>IF($L199="","",SUMIFS(Data!$N$2:$N$20000,Data!$A$2:$A$20000,"&lt;="&amp;$L199))</f>
        <v/>
      </c>
    </row>
    <row r="200">
      <c r="L200" s="34" t="n"/>
      <c r="M200" s="35">
        <f>IF($L200="","",SUMIFS(Data!$N$2:$N$20000,Data!$A$2:$A$20000,$L200,Data!$F$2:$F$20000,"Bet"))</f>
        <v/>
      </c>
      <c r="N200" s="35">
        <f>IF($L200="","",SUMIFS(Data!$N$2:$N$20000,Data!$A$2:$A$20000,$L200,Data!$F$2:$F$20000,"Lay"))</f>
        <v/>
      </c>
      <c r="O200" s="35">
        <f>IF($L200="","",M200+N200)</f>
        <v/>
      </c>
      <c r="P200" s="35">
        <f>IF($L200="","",SUMIFS(Data!$N$2:$N$20000,Data!$A$2:$A$20000,"&lt;="&amp;$L200))</f>
        <v/>
      </c>
    </row>
    <row r="201">
      <c r="L201" s="34" t="n"/>
      <c r="M201" s="35">
        <f>IF($L201="","",SUMIFS(Data!$N$2:$N$20000,Data!$A$2:$A$20000,$L201,Data!$F$2:$F$20000,"Bet"))</f>
        <v/>
      </c>
      <c r="N201" s="35">
        <f>IF($L201="","",SUMIFS(Data!$N$2:$N$20000,Data!$A$2:$A$20000,$L201,Data!$F$2:$F$20000,"Lay"))</f>
        <v/>
      </c>
      <c r="O201" s="35">
        <f>IF($L201="","",M201+N201)</f>
        <v/>
      </c>
      <c r="P201" s="35">
        <f>IF($L201="","",SUMIFS(Data!$N$2:$N$20000,Data!$A$2:$A$20000,"&lt;="&amp;$L201))</f>
        <v/>
      </c>
    </row>
    <row r="202">
      <c r="L202" s="34" t="n"/>
      <c r="M202" s="35">
        <f>IF($L202="","",SUMIFS(Data!$N$2:$N$20000,Data!$A$2:$A$20000,$L202,Data!$F$2:$F$20000,"Bet"))</f>
        <v/>
      </c>
      <c r="N202" s="35">
        <f>IF($L202="","",SUMIFS(Data!$N$2:$N$20000,Data!$A$2:$A$20000,$L202,Data!$F$2:$F$20000,"Lay"))</f>
        <v/>
      </c>
      <c r="O202" s="35">
        <f>IF($L202="","",M202+N202)</f>
        <v/>
      </c>
      <c r="P202" s="35">
        <f>IF($L202="","",SUMIFS(Data!$N$2:$N$20000,Data!$A$2:$A$20000,"&lt;="&amp;$L202))</f>
        <v/>
      </c>
    </row>
    <row r="203">
      <c r="L203" s="34" t="n"/>
      <c r="M203" s="35">
        <f>IF($L203="","",SUMIFS(Data!$N$2:$N$20000,Data!$A$2:$A$20000,$L203,Data!$F$2:$F$20000,"Bet"))</f>
        <v/>
      </c>
      <c r="N203" s="35">
        <f>IF($L203="","",SUMIFS(Data!$N$2:$N$20000,Data!$A$2:$A$20000,$L203,Data!$F$2:$F$20000,"Lay"))</f>
        <v/>
      </c>
      <c r="O203" s="35">
        <f>IF($L203="","",M203+N203)</f>
        <v/>
      </c>
      <c r="P203" s="35">
        <f>IF($L203="","",SUMIFS(Data!$N$2:$N$20000,Data!$A$2:$A$20000,"&lt;="&amp;$L203))</f>
        <v/>
      </c>
    </row>
    <row r="204">
      <c r="L204" s="34" t="n"/>
      <c r="M204" s="35">
        <f>IF($L204="","",SUMIFS(Data!$N$2:$N$20000,Data!$A$2:$A$20000,$L204,Data!$F$2:$F$20000,"Bet"))</f>
        <v/>
      </c>
      <c r="N204" s="35">
        <f>IF($L204="","",SUMIFS(Data!$N$2:$N$20000,Data!$A$2:$A$20000,$L204,Data!$F$2:$F$20000,"Lay"))</f>
        <v/>
      </c>
      <c r="O204" s="35">
        <f>IF($L204="","",M204+N204)</f>
        <v/>
      </c>
      <c r="P204" s="35">
        <f>IF($L204="","",SUMIFS(Data!$N$2:$N$20000,Data!$A$2:$A$20000,"&lt;="&amp;$L204))</f>
        <v/>
      </c>
    </row>
    <row r="205">
      <c r="L205" s="34" t="n"/>
      <c r="M205" s="35">
        <f>IF($L205="","",SUMIFS(Data!$N$2:$N$20000,Data!$A$2:$A$20000,$L205,Data!$F$2:$F$20000,"Bet"))</f>
        <v/>
      </c>
      <c r="N205" s="35">
        <f>IF($L205="","",SUMIFS(Data!$N$2:$N$20000,Data!$A$2:$A$20000,$L205,Data!$F$2:$F$20000,"Lay"))</f>
        <v/>
      </c>
      <c r="O205" s="35">
        <f>IF($L205="","",M205+N205)</f>
        <v/>
      </c>
      <c r="P205" s="35">
        <f>IF($L205="","",SUMIFS(Data!$N$2:$N$20000,Data!$A$2:$A$20000,"&lt;="&amp;$L205))</f>
        <v/>
      </c>
    </row>
    <row r="206">
      <c r="L206" s="34" t="n"/>
      <c r="M206" s="35">
        <f>IF($L206="","",SUMIFS(Data!$N$2:$N$20000,Data!$A$2:$A$20000,$L206,Data!$F$2:$F$20000,"Bet"))</f>
        <v/>
      </c>
      <c r="N206" s="35">
        <f>IF($L206="","",SUMIFS(Data!$N$2:$N$20000,Data!$A$2:$A$20000,$L206,Data!$F$2:$F$20000,"Lay"))</f>
        <v/>
      </c>
      <c r="O206" s="35">
        <f>IF($L206="","",M206+N206)</f>
        <v/>
      </c>
      <c r="P206" s="35">
        <f>IF($L206="","",SUMIFS(Data!$N$2:$N$20000,Data!$A$2:$A$20000,"&lt;="&amp;$L206))</f>
        <v/>
      </c>
    </row>
    <row r="207">
      <c r="L207" s="34" t="n"/>
      <c r="M207" s="35">
        <f>IF($L207="","",SUMIFS(Data!$N$2:$N$20000,Data!$A$2:$A$20000,$L207,Data!$F$2:$F$20000,"Bet"))</f>
        <v/>
      </c>
      <c r="N207" s="35">
        <f>IF($L207="","",SUMIFS(Data!$N$2:$N$20000,Data!$A$2:$A$20000,$L207,Data!$F$2:$F$20000,"Lay"))</f>
        <v/>
      </c>
      <c r="O207" s="35">
        <f>IF($L207="","",M207+N207)</f>
        <v/>
      </c>
      <c r="P207" s="35">
        <f>IF($L207="","",SUMIFS(Data!$N$2:$N$20000,Data!$A$2:$A$20000,"&lt;="&amp;$L207))</f>
        <v/>
      </c>
    </row>
    <row r="208">
      <c r="L208" s="34" t="n"/>
      <c r="M208" s="35">
        <f>IF($L208="","",SUMIFS(Data!$N$2:$N$20000,Data!$A$2:$A$20000,$L208,Data!$F$2:$F$20000,"Bet"))</f>
        <v/>
      </c>
      <c r="N208" s="35">
        <f>IF($L208="","",SUMIFS(Data!$N$2:$N$20000,Data!$A$2:$A$20000,$L208,Data!$F$2:$F$20000,"Lay"))</f>
        <v/>
      </c>
      <c r="O208" s="35">
        <f>IF($L208="","",M208+N208)</f>
        <v/>
      </c>
      <c r="P208" s="35">
        <f>IF($L208="","",SUMIFS(Data!$N$2:$N$20000,Data!$A$2:$A$20000,"&lt;="&amp;$L208))</f>
        <v/>
      </c>
    </row>
    <row r="209">
      <c r="L209" s="34" t="n"/>
      <c r="M209" s="35">
        <f>IF($L209="","",SUMIFS(Data!$N$2:$N$20000,Data!$A$2:$A$20000,$L209,Data!$F$2:$F$20000,"Bet"))</f>
        <v/>
      </c>
      <c r="N209" s="35">
        <f>IF($L209="","",SUMIFS(Data!$N$2:$N$20000,Data!$A$2:$A$20000,$L209,Data!$F$2:$F$20000,"Lay"))</f>
        <v/>
      </c>
      <c r="O209" s="35">
        <f>IF($L209="","",M209+N209)</f>
        <v/>
      </c>
      <c r="P209" s="35">
        <f>IF($L209="","",SUMIFS(Data!$N$2:$N$20000,Data!$A$2:$A$20000,"&lt;="&amp;$L209))</f>
        <v/>
      </c>
    </row>
    <row r="210">
      <c r="L210" s="34" t="n"/>
      <c r="M210" s="35">
        <f>IF($L210="","",SUMIFS(Data!$N$2:$N$20000,Data!$A$2:$A$20000,$L210,Data!$F$2:$F$20000,"Bet"))</f>
        <v/>
      </c>
      <c r="N210" s="35">
        <f>IF($L210="","",SUMIFS(Data!$N$2:$N$20000,Data!$A$2:$A$20000,$L210,Data!$F$2:$F$20000,"Lay"))</f>
        <v/>
      </c>
      <c r="O210" s="35">
        <f>IF($L210="","",M210+N210)</f>
        <v/>
      </c>
      <c r="P210" s="35">
        <f>IF($L210="","",SUMIFS(Data!$N$2:$N$20000,Data!$A$2:$A$20000,"&lt;="&amp;$L210))</f>
        <v/>
      </c>
    </row>
    <row r="211">
      <c r="L211" s="34" t="n"/>
      <c r="M211" s="35">
        <f>IF($L211="","",SUMIFS(Data!$N$2:$N$20000,Data!$A$2:$A$20000,$L211,Data!$F$2:$F$20000,"Bet"))</f>
        <v/>
      </c>
      <c r="N211" s="35">
        <f>IF($L211="","",SUMIFS(Data!$N$2:$N$20000,Data!$A$2:$A$20000,$L211,Data!$F$2:$F$20000,"Lay"))</f>
        <v/>
      </c>
      <c r="O211" s="35">
        <f>IF($L211="","",M211+N211)</f>
        <v/>
      </c>
      <c r="P211" s="35">
        <f>IF($L211="","",SUMIFS(Data!$N$2:$N$20000,Data!$A$2:$A$20000,"&lt;="&amp;$L211))</f>
        <v/>
      </c>
    </row>
    <row r="212">
      <c r="L212" s="34" t="n"/>
      <c r="M212" s="35">
        <f>IF($L212="","",SUMIFS(Data!$N$2:$N$20000,Data!$A$2:$A$20000,$L212,Data!$F$2:$F$20000,"Bet"))</f>
        <v/>
      </c>
      <c r="N212" s="35">
        <f>IF($L212="","",SUMIFS(Data!$N$2:$N$20000,Data!$A$2:$A$20000,$L212,Data!$F$2:$F$20000,"Lay"))</f>
        <v/>
      </c>
      <c r="O212" s="35">
        <f>IF($L212="","",M212+N212)</f>
        <v/>
      </c>
      <c r="P212" s="35">
        <f>IF($L212="","",SUMIFS(Data!$N$2:$N$20000,Data!$A$2:$A$20000,"&lt;="&amp;$L212))</f>
        <v/>
      </c>
    </row>
    <row r="213">
      <c r="L213" s="34" t="n"/>
      <c r="M213" s="35">
        <f>IF($L213="","",SUMIFS(Data!$N$2:$N$20000,Data!$A$2:$A$20000,$L213,Data!$F$2:$F$20000,"Bet"))</f>
        <v/>
      </c>
      <c r="N213" s="35">
        <f>IF($L213="","",SUMIFS(Data!$N$2:$N$20000,Data!$A$2:$A$20000,$L213,Data!$F$2:$F$20000,"Lay"))</f>
        <v/>
      </c>
      <c r="O213" s="35">
        <f>IF($L213="","",M213+N213)</f>
        <v/>
      </c>
      <c r="P213" s="35">
        <f>IF($L213="","",SUMIFS(Data!$N$2:$N$20000,Data!$A$2:$A$20000,"&lt;="&amp;$L213))</f>
        <v/>
      </c>
    </row>
    <row r="214">
      <c r="L214" s="34" t="n"/>
      <c r="M214" s="35">
        <f>IF($L214="","",SUMIFS(Data!$N$2:$N$20000,Data!$A$2:$A$20000,$L214,Data!$F$2:$F$20000,"Bet"))</f>
        <v/>
      </c>
      <c r="N214" s="35">
        <f>IF($L214="","",SUMIFS(Data!$N$2:$N$20000,Data!$A$2:$A$20000,$L214,Data!$F$2:$F$20000,"Lay"))</f>
        <v/>
      </c>
      <c r="O214" s="35">
        <f>IF($L214="","",M214+N214)</f>
        <v/>
      </c>
      <c r="P214" s="35">
        <f>IF($L214="","",SUMIFS(Data!$N$2:$N$20000,Data!$A$2:$A$20000,"&lt;="&amp;$L214))</f>
        <v/>
      </c>
    </row>
    <row r="215">
      <c r="L215" s="34" t="n"/>
      <c r="M215" s="35">
        <f>IF($L215="","",SUMIFS(Data!$N$2:$N$20000,Data!$A$2:$A$20000,$L215,Data!$F$2:$F$20000,"Bet"))</f>
        <v/>
      </c>
      <c r="N215" s="35">
        <f>IF($L215="","",SUMIFS(Data!$N$2:$N$20000,Data!$A$2:$A$20000,$L215,Data!$F$2:$F$20000,"Lay"))</f>
        <v/>
      </c>
      <c r="O215" s="35">
        <f>IF($L215="","",M215+N215)</f>
        <v/>
      </c>
      <c r="P215" s="35">
        <f>IF($L215="","",SUMIFS(Data!$N$2:$N$20000,Data!$A$2:$A$20000,"&lt;="&amp;$L215))</f>
        <v/>
      </c>
    </row>
    <row r="216">
      <c r="L216" s="34" t="n"/>
      <c r="M216" s="35">
        <f>IF($L216="","",SUMIFS(Data!$N$2:$N$20000,Data!$A$2:$A$20000,$L216,Data!$F$2:$F$20000,"Bet"))</f>
        <v/>
      </c>
      <c r="N216" s="35">
        <f>IF($L216="","",SUMIFS(Data!$N$2:$N$20000,Data!$A$2:$A$20000,$L216,Data!$F$2:$F$20000,"Lay"))</f>
        <v/>
      </c>
      <c r="O216" s="35">
        <f>IF($L216="","",M216+N216)</f>
        <v/>
      </c>
      <c r="P216" s="35">
        <f>IF($L216="","",SUMIFS(Data!$N$2:$N$20000,Data!$A$2:$A$20000,"&lt;="&amp;$L216))</f>
        <v/>
      </c>
    </row>
    <row r="217">
      <c r="L217" s="34" t="n"/>
      <c r="M217" s="35">
        <f>IF($L217="","",SUMIFS(Data!$N$2:$N$20000,Data!$A$2:$A$20000,$L217,Data!$F$2:$F$20000,"Bet"))</f>
        <v/>
      </c>
      <c r="N217" s="35">
        <f>IF($L217="","",SUMIFS(Data!$N$2:$N$20000,Data!$A$2:$A$20000,$L217,Data!$F$2:$F$20000,"Lay"))</f>
        <v/>
      </c>
      <c r="O217" s="35">
        <f>IF($L217="","",M217+N217)</f>
        <v/>
      </c>
      <c r="P217" s="35">
        <f>IF($L217="","",SUMIFS(Data!$N$2:$N$20000,Data!$A$2:$A$20000,"&lt;="&amp;$L217))</f>
        <v/>
      </c>
    </row>
    <row r="218">
      <c r="L218" s="34" t="n"/>
      <c r="M218" s="35">
        <f>IF($L218="","",SUMIFS(Data!$N$2:$N$20000,Data!$A$2:$A$20000,$L218,Data!$F$2:$F$20000,"Bet"))</f>
        <v/>
      </c>
      <c r="N218" s="35">
        <f>IF($L218="","",SUMIFS(Data!$N$2:$N$20000,Data!$A$2:$A$20000,$L218,Data!$F$2:$F$20000,"Lay"))</f>
        <v/>
      </c>
      <c r="O218" s="35">
        <f>IF($L218="","",M218+N218)</f>
        <v/>
      </c>
      <c r="P218" s="35">
        <f>IF($L218="","",SUMIFS(Data!$N$2:$N$20000,Data!$A$2:$A$20000,"&lt;="&amp;$L218))</f>
        <v/>
      </c>
    </row>
    <row r="219">
      <c r="L219" s="34" t="n"/>
      <c r="M219" s="35">
        <f>IF($L219="","",SUMIFS(Data!$N$2:$N$20000,Data!$A$2:$A$20000,$L219,Data!$F$2:$F$20000,"Bet"))</f>
        <v/>
      </c>
      <c r="N219" s="35">
        <f>IF($L219="","",SUMIFS(Data!$N$2:$N$20000,Data!$A$2:$A$20000,$L219,Data!$F$2:$F$20000,"Lay"))</f>
        <v/>
      </c>
      <c r="O219" s="35">
        <f>IF($L219="","",M219+N219)</f>
        <v/>
      </c>
      <c r="P219" s="35">
        <f>IF($L219="","",SUMIFS(Data!$N$2:$N$20000,Data!$A$2:$A$20000,"&lt;="&amp;$L219))</f>
        <v/>
      </c>
    </row>
    <row r="220">
      <c r="L220" s="34" t="n"/>
      <c r="M220" s="35">
        <f>IF($L220="","",SUMIFS(Data!$N$2:$N$20000,Data!$A$2:$A$20000,$L220,Data!$F$2:$F$20000,"Bet"))</f>
        <v/>
      </c>
      <c r="N220" s="35">
        <f>IF($L220="","",SUMIFS(Data!$N$2:$N$20000,Data!$A$2:$A$20000,$L220,Data!$F$2:$F$20000,"Lay"))</f>
        <v/>
      </c>
      <c r="O220" s="35">
        <f>IF($L220="","",M220+N220)</f>
        <v/>
      </c>
      <c r="P220" s="35">
        <f>IF($L220="","",SUMIFS(Data!$N$2:$N$20000,Data!$A$2:$A$20000,"&lt;="&amp;$L220))</f>
        <v/>
      </c>
    </row>
    <row r="221">
      <c r="L221" s="34" t="n"/>
      <c r="M221" s="35">
        <f>IF($L221="","",SUMIFS(Data!$N$2:$N$20000,Data!$A$2:$A$20000,$L221,Data!$F$2:$F$20000,"Bet"))</f>
        <v/>
      </c>
      <c r="N221" s="35">
        <f>IF($L221="","",SUMIFS(Data!$N$2:$N$20000,Data!$A$2:$A$20000,$L221,Data!$F$2:$F$20000,"Lay"))</f>
        <v/>
      </c>
      <c r="O221" s="35">
        <f>IF($L221="","",M221+N221)</f>
        <v/>
      </c>
      <c r="P221" s="35">
        <f>IF($L221="","",SUMIFS(Data!$N$2:$N$20000,Data!$A$2:$A$20000,"&lt;="&amp;$L221))</f>
        <v/>
      </c>
    </row>
    <row r="222">
      <c r="L222" s="34" t="n"/>
      <c r="M222" s="35">
        <f>IF($L222="","",SUMIFS(Data!$N$2:$N$20000,Data!$A$2:$A$20000,$L222,Data!$F$2:$F$20000,"Bet"))</f>
        <v/>
      </c>
      <c r="N222" s="35">
        <f>IF($L222="","",SUMIFS(Data!$N$2:$N$20000,Data!$A$2:$A$20000,$L222,Data!$F$2:$F$20000,"Lay"))</f>
        <v/>
      </c>
      <c r="O222" s="35">
        <f>IF($L222="","",M222+N222)</f>
        <v/>
      </c>
      <c r="P222" s="35">
        <f>IF($L222="","",SUMIFS(Data!$N$2:$N$20000,Data!$A$2:$A$20000,"&lt;="&amp;$L222))</f>
        <v/>
      </c>
    </row>
    <row r="223">
      <c r="L223" s="34" t="n"/>
      <c r="M223" s="35">
        <f>IF($L223="","",SUMIFS(Data!$N$2:$N$20000,Data!$A$2:$A$20000,$L223,Data!$F$2:$F$20000,"Bet"))</f>
        <v/>
      </c>
      <c r="N223" s="35">
        <f>IF($L223="","",SUMIFS(Data!$N$2:$N$20000,Data!$A$2:$A$20000,$L223,Data!$F$2:$F$20000,"Lay"))</f>
        <v/>
      </c>
      <c r="O223" s="35">
        <f>IF($L223="","",M223+N223)</f>
        <v/>
      </c>
      <c r="P223" s="35">
        <f>IF($L223="","",SUMIFS(Data!$N$2:$N$20000,Data!$A$2:$A$20000,"&lt;="&amp;$L223))</f>
        <v/>
      </c>
    </row>
    <row r="224">
      <c r="L224" s="34" t="n"/>
      <c r="M224" s="35">
        <f>IF($L224="","",SUMIFS(Data!$N$2:$N$20000,Data!$A$2:$A$20000,$L224,Data!$F$2:$F$20000,"Bet"))</f>
        <v/>
      </c>
      <c r="N224" s="35">
        <f>IF($L224="","",SUMIFS(Data!$N$2:$N$20000,Data!$A$2:$A$20000,$L224,Data!$F$2:$F$20000,"Lay"))</f>
        <v/>
      </c>
      <c r="O224" s="35">
        <f>IF($L224="","",M224+N224)</f>
        <v/>
      </c>
      <c r="P224" s="35">
        <f>IF($L224="","",SUMIFS(Data!$N$2:$N$20000,Data!$A$2:$A$20000,"&lt;="&amp;$L224))</f>
        <v/>
      </c>
    </row>
    <row r="225">
      <c r="L225" s="34" t="n"/>
      <c r="M225" s="35">
        <f>IF($L225="","",SUMIFS(Data!$N$2:$N$20000,Data!$A$2:$A$20000,$L225,Data!$F$2:$F$20000,"Bet"))</f>
        <v/>
      </c>
      <c r="N225" s="35">
        <f>IF($L225="","",SUMIFS(Data!$N$2:$N$20000,Data!$A$2:$A$20000,$L225,Data!$F$2:$F$20000,"Lay"))</f>
        <v/>
      </c>
      <c r="O225" s="35">
        <f>IF($L225="","",M225+N225)</f>
        <v/>
      </c>
      <c r="P225" s="35">
        <f>IF($L225="","",SUMIFS(Data!$N$2:$N$20000,Data!$A$2:$A$20000,"&lt;="&amp;$L225))</f>
        <v/>
      </c>
    </row>
    <row r="226">
      <c r="L226" s="34" t="n"/>
      <c r="M226" s="35">
        <f>IF($L226="","",SUMIFS(Data!$N$2:$N$20000,Data!$A$2:$A$20000,$L226,Data!$F$2:$F$20000,"Bet"))</f>
        <v/>
      </c>
      <c r="N226" s="35">
        <f>IF($L226="","",SUMIFS(Data!$N$2:$N$20000,Data!$A$2:$A$20000,$L226,Data!$F$2:$F$20000,"Lay"))</f>
        <v/>
      </c>
      <c r="O226" s="35">
        <f>IF($L226="","",M226+N226)</f>
        <v/>
      </c>
      <c r="P226" s="35">
        <f>IF($L226="","",SUMIFS(Data!$N$2:$N$20000,Data!$A$2:$A$20000,"&lt;="&amp;$L226))</f>
        <v/>
      </c>
    </row>
    <row r="227">
      <c r="L227" s="34" t="n"/>
      <c r="M227" s="35">
        <f>IF($L227="","",SUMIFS(Data!$N$2:$N$20000,Data!$A$2:$A$20000,$L227,Data!$F$2:$F$20000,"Bet"))</f>
        <v/>
      </c>
      <c r="N227" s="35">
        <f>IF($L227="","",SUMIFS(Data!$N$2:$N$20000,Data!$A$2:$A$20000,$L227,Data!$F$2:$F$20000,"Lay"))</f>
        <v/>
      </c>
      <c r="O227" s="35">
        <f>IF($L227="","",M227+N227)</f>
        <v/>
      </c>
      <c r="P227" s="35">
        <f>IF($L227="","",SUMIFS(Data!$N$2:$N$20000,Data!$A$2:$A$20000,"&lt;="&amp;$L227))</f>
        <v/>
      </c>
    </row>
    <row r="228">
      <c r="L228" s="34" t="n"/>
      <c r="M228" s="35">
        <f>IF($L228="","",SUMIFS(Data!$N$2:$N$20000,Data!$A$2:$A$20000,$L228,Data!$F$2:$F$20000,"Bet"))</f>
        <v/>
      </c>
      <c r="N228" s="35">
        <f>IF($L228="","",SUMIFS(Data!$N$2:$N$20000,Data!$A$2:$A$20000,$L228,Data!$F$2:$F$20000,"Lay"))</f>
        <v/>
      </c>
      <c r="O228" s="35">
        <f>IF($L228="","",M228+N228)</f>
        <v/>
      </c>
      <c r="P228" s="35">
        <f>IF($L228="","",SUMIFS(Data!$N$2:$N$20000,Data!$A$2:$A$20000,"&lt;="&amp;$L228))</f>
        <v/>
      </c>
    </row>
    <row r="229">
      <c r="L229" s="34" t="n"/>
      <c r="M229" s="35">
        <f>IF($L229="","",SUMIFS(Data!$N$2:$N$20000,Data!$A$2:$A$20000,$L229,Data!$F$2:$F$20000,"Bet"))</f>
        <v/>
      </c>
      <c r="N229" s="35">
        <f>IF($L229="","",SUMIFS(Data!$N$2:$N$20000,Data!$A$2:$A$20000,$L229,Data!$F$2:$F$20000,"Lay"))</f>
        <v/>
      </c>
      <c r="O229" s="35">
        <f>IF($L229="","",M229+N229)</f>
        <v/>
      </c>
      <c r="P229" s="35">
        <f>IF($L229="","",SUMIFS(Data!$N$2:$N$20000,Data!$A$2:$A$20000,"&lt;="&amp;$L229))</f>
        <v/>
      </c>
    </row>
    <row r="230">
      <c r="L230" s="34" t="n"/>
      <c r="M230" s="35">
        <f>IF($L230="","",SUMIFS(Data!$N$2:$N$20000,Data!$A$2:$A$20000,$L230,Data!$F$2:$F$20000,"Bet"))</f>
        <v/>
      </c>
      <c r="N230" s="35">
        <f>IF($L230="","",SUMIFS(Data!$N$2:$N$20000,Data!$A$2:$A$20000,$L230,Data!$F$2:$F$20000,"Lay"))</f>
        <v/>
      </c>
      <c r="O230" s="35">
        <f>IF($L230="","",M230+N230)</f>
        <v/>
      </c>
      <c r="P230" s="35">
        <f>IF($L230="","",SUMIFS(Data!$N$2:$N$20000,Data!$A$2:$A$20000,"&lt;="&amp;$L230))</f>
        <v/>
      </c>
    </row>
    <row r="231">
      <c r="L231" s="34" t="n"/>
      <c r="M231" s="35">
        <f>IF($L231="","",SUMIFS(Data!$N$2:$N$20000,Data!$A$2:$A$20000,$L231,Data!$F$2:$F$20000,"Bet"))</f>
        <v/>
      </c>
      <c r="N231" s="35">
        <f>IF($L231="","",SUMIFS(Data!$N$2:$N$20000,Data!$A$2:$A$20000,$L231,Data!$F$2:$F$20000,"Lay"))</f>
        <v/>
      </c>
      <c r="O231" s="35">
        <f>IF($L231="","",M231+N231)</f>
        <v/>
      </c>
      <c r="P231" s="35">
        <f>IF($L231="","",SUMIFS(Data!$N$2:$N$20000,Data!$A$2:$A$20000,"&lt;="&amp;$L231))</f>
        <v/>
      </c>
    </row>
    <row r="232">
      <c r="L232" s="34" t="n"/>
      <c r="M232" s="35">
        <f>IF($L232="","",SUMIFS(Data!$N$2:$N$20000,Data!$A$2:$A$20000,$L232,Data!$F$2:$F$20000,"Bet"))</f>
        <v/>
      </c>
      <c r="N232" s="35">
        <f>IF($L232="","",SUMIFS(Data!$N$2:$N$20000,Data!$A$2:$A$20000,$L232,Data!$F$2:$F$20000,"Lay"))</f>
        <v/>
      </c>
      <c r="O232" s="35">
        <f>IF($L232="","",M232+N232)</f>
        <v/>
      </c>
      <c r="P232" s="35">
        <f>IF($L232="","",SUMIFS(Data!$N$2:$N$20000,Data!$A$2:$A$20000,"&lt;="&amp;$L232))</f>
        <v/>
      </c>
    </row>
    <row r="233">
      <c r="L233" s="34" t="n"/>
      <c r="M233" s="35">
        <f>IF($L233="","",SUMIFS(Data!$N$2:$N$20000,Data!$A$2:$A$20000,$L233,Data!$F$2:$F$20000,"Bet"))</f>
        <v/>
      </c>
      <c r="N233" s="35">
        <f>IF($L233="","",SUMIFS(Data!$N$2:$N$20000,Data!$A$2:$A$20000,$L233,Data!$F$2:$F$20000,"Lay"))</f>
        <v/>
      </c>
      <c r="O233" s="35">
        <f>IF($L233="","",M233+N233)</f>
        <v/>
      </c>
      <c r="P233" s="35">
        <f>IF($L233="","",SUMIFS(Data!$N$2:$N$20000,Data!$A$2:$A$20000,"&lt;="&amp;$L233))</f>
        <v/>
      </c>
    </row>
    <row r="234">
      <c r="L234" s="34" t="n"/>
      <c r="M234" s="35">
        <f>IF($L234="","",SUMIFS(Data!$N$2:$N$20000,Data!$A$2:$A$20000,$L234,Data!$F$2:$F$20000,"Bet"))</f>
        <v/>
      </c>
      <c r="N234" s="35">
        <f>IF($L234="","",SUMIFS(Data!$N$2:$N$20000,Data!$A$2:$A$20000,$L234,Data!$F$2:$F$20000,"Lay"))</f>
        <v/>
      </c>
      <c r="O234" s="35">
        <f>IF($L234="","",M234+N234)</f>
        <v/>
      </c>
      <c r="P234" s="35">
        <f>IF($L234="","",SUMIFS(Data!$N$2:$N$20000,Data!$A$2:$A$20000,"&lt;="&amp;$L234))</f>
        <v/>
      </c>
    </row>
    <row r="235">
      <c r="L235" s="34" t="n"/>
      <c r="M235" s="35">
        <f>IF($L235="","",SUMIFS(Data!$N$2:$N$20000,Data!$A$2:$A$20000,$L235,Data!$F$2:$F$20000,"Bet"))</f>
        <v/>
      </c>
      <c r="N235" s="35">
        <f>IF($L235="","",SUMIFS(Data!$N$2:$N$20000,Data!$A$2:$A$20000,$L235,Data!$F$2:$F$20000,"Lay"))</f>
        <v/>
      </c>
      <c r="O235" s="35">
        <f>IF($L235="","",M235+N235)</f>
        <v/>
      </c>
      <c r="P235" s="35">
        <f>IF($L235="","",SUMIFS(Data!$N$2:$N$20000,Data!$A$2:$A$20000,"&lt;="&amp;$L235))</f>
        <v/>
      </c>
    </row>
    <row r="236">
      <c r="L236" s="34" t="n"/>
      <c r="M236" s="35">
        <f>IF($L236="","",SUMIFS(Data!$N$2:$N$20000,Data!$A$2:$A$20000,$L236,Data!$F$2:$F$20000,"Bet"))</f>
        <v/>
      </c>
      <c r="N236" s="35">
        <f>IF($L236="","",SUMIFS(Data!$N$2:$N$20000,Data!$A$2:$A$20000,$L236,Data!$F$2:$F$20000,"Lay"))</f>
        <v/>
      </c>
      <c r="O236" s="35">
        <f>IF($L236="","",M236+N236)</f>
        <v/>
      </c>
      <c r="P236" s="35">
        <f>IF($L236="","",SUMIFS(Data!$N$2:$N$20000,Data!$A$2:$A$20000,"&lt;="&amp;$L236))</f>
        <v/>
      </c>
    </row>
    <row r="237">
      <c r="L237" s="34" t="n"/>
      <c r="M237" s="35">
        <f>IF($L237="","",SUMIFS(Data!$N$2:$N$20000,Data!$A$2:$A$20000,$L237,Data!$F$2:$F$20000,"Bet"))</f>
        <v/>
      </c>
      <c r="N237" s="35">
        <f>IF($L237="","",SUMIFS(Data!$N$2:$N$20000,Data!$A$2:$A$20000,$L237,Data!$F$2:$F$20000,"Lay"))</f>
        <v/>
      </c>
      <c r="O237" s="35">
        <f>IF($L237="","",M237+N237)</f>
        <v/>
      </c>
      <c r="P237" s="35">
        <f>IF($L237="","",SUMIFS(Data!$N$2:$N$20000,Data!$A$2:$A$20000,"&lt;="&amp;$L237))</f>
        <v/>
      </c>
    </row>
    <row r="238">
      <c r="L238" s="34" t="n"/>
      <c r="M238" s="35">
        <f>IF($L238="","",SUMIFS(Data!$N$2:$N$20000,Data!$A$2:$A$20000,$L238,Data!$F$2:$F$20000,"Bet"))</f>
        <v/>
      </c>
      <c r="N238" s="35">
        <f>IF($L238="","",SUMIFS(Data!$N$2:$N$20000,Data!$A$2:$A$20000,$L238,Data!$F$2:$F$20000,"Lay"))</f>
        <v/>
      </c>
      <c r="O238" s="35">
        <f>IF($L238="","",M238+N238)</f>
        <v/>
      </c>
      <c r="P238" s="35">
        <f>IF($L238="","",SUMIFS(Data!$N$2:$N$20000,Data!$A$2:$A$20000,"&lt;="&amp;$L238))</f>
        <v/>
      </c>
    </row>
    <row r="239">
      <c r="L239" s="34" t="n"/>
      <c r="M239" s="35">
        <f>IF($L239="","",SUMIFS(Data!$N$2:$N$20000,Data!$A$2:$A$20000,$L239,Data!$F$2:$F$20000,"Bet"))</f>
        <v/>
      </c>
      <c r="N239" s="35">
        <f>IF($L239="","",SUMIFS(Data!$N$2:$N$20000,Data!$A$2:$A$20000,$L239,Data!$F$2:$F$20000,"Lay"))</f>
        <v/>
      </c>
      <c r="O239" s="35">
        <f>IF($L239="","",M239+N239)</f>
        <v/>
      </c>
      <c r="P239" s="35">
        <f>IF($L239="","",SUMIFS(Data!$N$2:$N$20000,Data!$A$2:$A$20000,"&lt;="&amp;$L239))</f>
        <v/>
      </c>
    </row>
    <row r="240">
      <c r="L240" s="34" t="n"/>
      <c r="M240" s="35">
        <f>IF($L240="","",SUMIFS(Data!$N$2:$N$20000,Data!$A$2:$A$20000,$L240,Data!$F$2:$F$20000,"Bet"))</f>
        <v/>
      </c>
      <c r="N240" s="35">
        <f>IF($L240="","",SUMIFS(Data!$N$2:$N$20000,Data!$A$2:$A$20000,$L240,Data!$F$2:$F$20000,"Lay"))</f>
        <v/>
      </c>
      <c r="O240" s="35">
        <f>IF($L240="","",M240+N240)</f>
        <v/>
      </c>
      <c r="P240" s="35">
        <f>IF($L240="","",SUMIFS(Data!$N$2:$N$20000,Data!$A$2:$A$20000,"&lt;="&amp;$L240))</f>
        <v/>
      </c>
    </row>
    <row r="241">
      <c r="L241" s="34" t="n"/>
      <c r="M241" s="35">
        <f>IF($L241="","",SUMIFS(Data!$N$2:$N$20000,Data!$A$2:$A$20000,$L241,Data!$F$2:$F$20000,"Bet"))</f>
        <v/>
      </c>
      <c r="N241" s="35">
        <f>IF($L241="","",SUMIFS(Data!$N$2:$N$20000,Data!$A$2:$A$20000,$L241,Data!$F$2:$F$20000,"Lay"))</f>
        <v/>
      </c>
      <c r="O241" s="35">
        <f>IF($L241="","",M241+N241)</f>
        <v/>
      </c>
      <c r="P241" s="35">
        <f>IF($L241="","",SUMIFS(Data!$N$2:$N$20000,Data!$A$2:$A$20000,"&lt;="&amp;$L241))</f>
        <v/>
      </c>
    </row>
    <row r="242">
      <c r="L242" s="34" t="n"/>
      <c r="M242" s="35">
        <f>IF($L242="","",SUMIFS(Data!$N$2:$N$20000,Data!$A$2:$A$20000,$L242,Data!$F$2:$F$20000,"Bet"))</f>
        <v/>
      </c>
      <c r="N242" s="35">
        <f>IF($L242="","",SUMIFS(Data!$N$2:$N$20000,Data!$A$2:$A$20000,$L242,Data!$F$2:$F$20000,"Lay"))</f>
        <v/>
      </c>
      <c r="O242" s="35">
        <f>IF($L242="","",M242+N242)</f>
        <v/>
      </c>
      <c r="P242" s="35">
        <f>IF($L242="","",SUMIFS(Data!$N$2:$N$20000,Data!$A$2:$A$20000,"&lt;="&amp;$L242))</f>
        <v/>
      </c>
    </row>
    <row r="243">
      <c r="L243" s="34" t="n"/>
      <c r="M243" s="35">
        <f>IF($L243="","",SUMIFS(Data!$N$2:$N$20000,Data!$A$2:$A$20000,$L243,Data!$F$2:$F$20000,"Bet"))</f>
        <v/>
      </c>
      <c r="N243" s="35">
        <f>IF($L243="","",SUMIFS(Data!$N$2:$N$20000,Data!$A$2:$A$20000,$L243,Data!$F$2:$F$20000,"Lay"))</f>
        <v/>
      </c>
      <c r="O243" s="35">
        <f>IF($L243="","",M243+N243)</f>
        <v/>
      </c>
      <c r="P243" s="35">
        <f>IF($L243="","",SUMIFS(Data!$N$2:$N$20000,Data!$A$2:$A$20000,"&lt;="&amp;$L243))</f>
        <v/>
      </c>
    </row>
    <row r="244">
      <c r="L244" s="34" t="n"/>
      <c r="M244" s="35">
        <f>IF($L244="","",SUMIFS(Data!$N$2:$N$20000,Data!$A$2:$A$20000,$L244,Data!$F$2:$F$20000,"Bet"))</f>
        <v/>
      </c>
      <c r="N244" s="35">
        <f>IF($L244="","",SUMIFS(Data!$N$2:$N$20000,Data!$A$2:$A$20000,$L244,Data!$F$2:$F$20000,"Lay"))</f>
        <v/>
      </c>
      <c r="O244" s="35">
        <f>IF($L244="","",M244+N244)</f>
        <v/>
      </c>
      <c r="P244" s="35">
        <f>IF($L244="","",SUMIFS(Data!$N$2:$N$20000,Data!$A$2:$A$20000,"&lt;="&amp;$L244))</f>
        <v/>
      </c>
    </row>
    <row r="245">
      <c r="L245" s="34" t="n"/>
      <c r="M245" s="35">
        <f>IF($L245="","",SUMIFS(Data!$N$2:$N$20000,Data!$A$2:$A$20000,$L245,Data!$F$2:$F$20000,"Bet"))</f>
        <v/>
      </c>
      <c r="N245" s="35">
        <f>IF($L245="","",SUMIFS(Data!$N$2:$N$20000,Data!$A$2:$A$20000,$L245,Data!$F$2:$F$20000,"Lay"))</f>
        <v/>
      </c>
      <c r="O245" s="35">
        <f>IF($L245="","",M245+N245)</f>
        <v/>
      </c>
      <c r="P245" s="35">
        <f>IF($L245="","",SUMIFS(Data!$N$2:$N$20000,Data!$A$2:$A$20000,"&lt;="&amp;$L245))</f>
        <v/>
      </c>
    </row>
    <row r="246">
      <c r="L246" s="34" t="n"/>
      <c r="M246" s="35">
        <f>IF($L246="","",SUMIFS(Data!$N$2:$N$20000,Data!$A$2:$A$20000,$L246,Data!$F$2:$F$20000,"Bet"))</f>
        <v/>
      </c>
      <c r="N246" s="35">
        <f>IF($L246="","",SUMIFS(Data!$N$2:$N$20000,Data!$A$2:$A$20000,$L246,Data!$F$2:$F$20000,"Lay"))</f>
        <v/>
      </c>
      <c r="O246" s="35">
        <f>IF($L246="","",M246+N246)</f>
        <v/>
      </c>
      <c r="P246" s="35">
        <f>IF($L246="","",SUMIFS(Data!$N$2:$N$20000,Data!$A$2:$A$20000,"&lt;="&amp;$L246))</f>
        <v/>
      </c>
    </row>
    <row r="247">
      <c r="L247" s="34" t="n"/>
      <c r="M247" s="35">
        <f>IF($L247="","",SUMIFS(Data!$N$2:$N$20000,Data!$A$2:$A$20000,$L247,Data!$F$2:$F$20000,"Bet"))</f>
        <v/>
      </c>
      <c r="N247" s="35">
        <f>IF($L247="","",SUMIFS(Data!$N$2:$N$20000,Data!$A$2:$A$20000,$L247,Data!$F$2:$F$20000,"Lay"))</f>
        <v/>
      </c>
      <c r="O247" s="35">
        <f>IF($L247="","",M247+N247)</f>
        <v/>
      </c>
      <c r="P247" s="35">
        <f>IF($L247="","",SUMIFS(Data!$N$2:$N$20000,Data!$A$2:$A$20000,"&lt;="&amp;$L247))</f>
        <v/>
      </c>
    </row>
    <row r="248">
      <c r="L248" s="34" t="n"/>
      <c r="M248" s="35">
        <f>IF($L248="","",SUMIFS(Data!$N$2:$N$20000,Data!$A$2:$A$20000,$L248,Data!$F$2:$F$20000,"Bet"))</f>
        <v/>
      </c>
      <c r="N248" s="35">
        <f>IF($L248="","",SUMIFS(Data!$N$2:$N$20000,Data!$A$2:$A$20000,$L248,Data!$F$2:$F$20000,"Lay"))</f>
        <v/>
      </c>
      <c r="O248" s="35">
        <f>IF($L248="","",M248+N248)</f>
        <v/>
      </c>
      <c r="P248" s="35">
        <f>IF($L248="","",SUMIFS(Data!$N$2:$N$20000,Data!$A$2:$A$20000,"&lt;="&amp;$L248))</f>
        <v/>
      </c>
    </row>
    <row r="249">
      <c r="L249" s="34" t="n"/>
      <c r="M249" s="35">
        <f>IF($L249="","",SUMIFS(Data!$N$2:$N$20000,Data!$A$2:$A$20000,$L249,Data!$F$2:$F$20000,"Bet"))</f>
        <v/>
      </c>
      <c r="N249" s="35">
        <f>IF($L249="","",SUMIFS(Data!$N$2:$N$20000,Data!$A$2:$A$20000,$L249,Data!$F$2:$F$20000,"Lay"))</f>
        <v/>
      </c>
      <c r="O249" s="35">
        <f>IF($L249="","",M249+N249)</f>
        <v/>
      </c>
      <c r="P249" s="35">
        <f>IF($L249="","",SUMIFS(Data!$N$2:$N$20000,Data!$A$2:$A$20000,"&lt;="&amp;$L249))</f>
        <v/>
      </c>
    </row>
    <row r="250">
      <c r="L250" s="34" t="n"/>
      <c r="M250" s="35">
        <f>IF($L250="","",SUMIFS(Data!$N$2:$N$20000,Data!$A$2:$A$20000,$L250,Data!$F$2:$F$20000,"Bet"))</f>
        <v/>
      </c>
      <c r="N250" s="35">
        <f>IF($L250="","",SUMIFS(Data!$N$2:$N$20000,Data!$A$2:$A$20000,$L250,Data!$F$2:$F$20000,"Lay"))</f>
        <v/>
      </c>
      <c r="O250" s="35">
        <f>IF($L250="","",M250+N250)</f>
        <v/>
      </c>
      <c r="P250" s="35">
        <f>IF($L250="","",SUMIFS(Data!$N$2:$N$20000,Data!$A$2:$A$20000,"&lt;="&amp;$L250))</f>
        <v/>
      </c>
    </row>
    <row r="251">
      <c r="L251" s="34" t="n"/>
      <c r="M251" s="35">
        <f>IF($L251="","",SUMIFS(Data!$N$2:$N$20000,Data!$A$2:$A$20000,$L251,Data!$F$2:$F$20000,"Bet"))</f>
        <v/>
      </c>
      <c r="N251" s="35">
        <f>IF($L251="","",SUMIFS(Data!$N$2:$N$20000,Data!$A$2:$A$20000,$L251,Data!$F$2:$F$20000,"Lay"))</f>
        <v/>
      </c>
      <c r="O251" s="35">
        <f>IF($L251="","",M251+N251)</f>
        <v/>
      </c>
      <c r="P251" s="35">
        <f>IF($L251="","",SUMIFS(Data!$N$2:$N$20000,Data!$A$2:$A$20000,"&lt;="&amp;$L251))</f>
        <v/>
      </c>
    </row>
    <row r="252">
      <c r="L252" s="34" t="n"/>
      <c r="M252" s="35">
        <f>IF($L252="","",SUMIFS(Data!$N$2:$N$20000,Data!$A$2:$A$20000,$L252,Data!$F$2:$F$20000,"Bet"))</f>
        <v/>
      </c>
      <c r="N252" s="35">
        <f>IF($L252="","",SUMIFS(Data!$N$2:$N$20000,Data!$A$2:$A$20000,$L252,Data!$F$2:$F$20000,"Lay"))</f>
        <v/>
      </c>
      <c r="O252" s="35">
        <f>IF($L252="","",M252+N252)</f>
        <v/>
      </c>
      <c r="P252" s="35">
        <f>IF($L252="","",SUMIFS(Data!$N$2:$N$20000,Data!$A$2:$A$20000,"&lt;="&amp;$L252))</f>
        <v/>
      </c>
    </row>
    <row r="253">
      <c r="L253" s="34" t="n"/>
      <c r="M253" s="35">
        <f>IF($L253="","",SUMIFS(Data!$N$2:$N$20000,Data!$A$2:$A$20000,$L253,Data!$F$2:$F$20000,"Bet"))</f>
        <v/>
      </c>
      <c r="N253" s="35">
        <f>IF($L253="","",SUMIFS(Data!$N$2:$N$20000,Data!$A$2:$A$20000,$L253,Data!$F$2:$F$20000,"Lay"))</f>
        <v/>
      </c>
      <c r="O253" s="35">
        <f>IF($L253="","",M253+N253)</f>
        <v/>
      </c>
      <c r="P253" s="35">
        <f>IF($L253="","",SUMIFS(Data!$N$2:$N$20000,Data!$A$2:$A$20000,"&lt;="&amp;$L253))</f>
        <v/>
      </c>
    </row>
    <row r="254">
      <c r="L254" s="34" t="n"/>
      <c r="M254" s="35">
        <f>IF($L254="","",SUMIFS(Data!$N$2:$N$20000,Data!$A$2:$A$20000,$L254,Data!$F$2:$F$20000,"Bet"))</f>
        <v/>
      </c>
      <c r="N254" s="35">
        <f>IF($L254="","",SUMIFS(Data!$N$2:$N$20000,Data!$A$2:$A$20000,$L254,Data!$F$2:$F$20000,"Lay"))</f>
        <v/>
      </c>
      <c r="O254" s="35">
        <f>IF($L254="","",M254+N254)</f>
        <v/>
      </c>
      <c r="P254" s="35">
        <f>IF($L254="","",SUMIFS(Data!$N$2:$N$20000,Data!$A$2:$A$20000,"&lt;="&amp;$L254))</f>
        <v/>
      </c>
    </row>
    <row r="255">
      <c r="L255" s="34" t="n"/>
      <c r="M255" s="35">
        <f>IF($L255="","",SUMIFS(Data!$N$2:$N$20000,Data!$A$2:$A$20000,$L255,Data!$F$2:$F$20000,"Bet"))</f>
        <v/>
      </c>
      <c r="N255" s="35">
        <f>IF($L255="","",SUMIFS(Data!$N$2:$N$20000,Data!$A$2:$A$20000,$L255,Data!$F$2:$F$20000,"Lay"))</f>
        <v/>
      </c>
      <c r="O255" s="35">
        <f>IF($L255="","",M255+N255)</f>
        <v/>
      </c>
      <c r="P255" s="35">
        <f>IF($L255="","",SUMIFS(Data!$N$2:$N$20000,Data!$A$2:$A$20000,"&lt;="&amp;$L255))</f>
        <v/>
      </c>
    </row>
    <row r="256">
      <c r="L256" s="34" t="n"/>
      <c r="M256" s="35">
        <f>IF($L256="","",SUMIFS(Data!$N$2:$N$20000,Data!$A$2:$A$20000,$L256,Data!$F$2:$F$20000,"Bet"))</f>
        <v/>
      </c>
      <c r="N256" s="35">
        <f>IF($L256="","",SUMIFS(Data!$N$2:$N$20000,Data!$A$2:$A$20000,$L256,Data!$F$2:$F$20000,"Lay"))</f>
        <v/>
      </c>
      <c r="O256" s="35">
        <f>IF($L256="","",M256+N256)</f>
        <v/>
      </c>
      <c r="P256" s="35">
        <f>IF($L256="","",SUMIFS(Data!$N$2:$N$20000,Data!$A$2:$A$20000,"&lt;="&amp;$L256))</f>
        <v/>
      </c>
    </row>
    <row r="257">
      <c r="L257" s="34" t="n"/>
      <c r="M257" s="35">
        <f>IF($L257="","",SUMIFS(Data!$N$2:$N$20000,Data!$A$2:$A$20000,$L257,Data!$F$2:$F$20000,"Bet"))</f>
        <v/>
      </c>
      <c r="N257" s="35">
        <f>IF($L257="","",SUMIFS(Data!$N$2:$N$20000,Data!$A$2:$A$20000,$L257,Data!$F$2:$F$20000,"Lay"))</f>
        <v/>
      </c>
      <c r="O257" s="35">
        <f>IF($L257="","",M257+N257)</f>
        <v/>
      </c>
      <c r="P257" s="35">
        <f>IF($L257="","",SUMIFS(Data!$N$2:$N$20000,Data!$A$2:$A$20000,"&lt;="&amp;$L257))</f>
        <v/>
      </c>
    </row>
    <row r="258">
      <c r="L258" s="34" t="n"/>
      <c r="M258" s="35">
        <f>IF($L258="","",SUMIFS(Data!$N$2:$N$20000,Data!$A$2:$A$20000,$L258,Data!$F$2:$F$20000,"Bet"))</f>
        <v/>
      </c>
      <c r="N258" s="35">
        <f>IF($L258="","",SUMIFS(Data!$N$2:$N$20000,Data!$A$2:$A$20000,$L258,Data!$F$2:$F$20000,"Lay"))</f>
        <v/>
      </c>
      <c r="O258" s="35">
        <f>IF($L258="","",M258+N258)</f>
        <v/>
      </c>
      <c r="P258" s="35">
        <f>IF($L258="","",SUMIFS(Data!$N$2:$N$20000,Data!$A$2:$A$20000,"&lt;="&amp;$L258))</f>
        <v/>
      </c>
    </row>
    <row r="259">
      <c r="L259" s="34" t="n"/>
      <c r="M259" s="35">
        <f>IF($L259="","",SUMIFS(Data!$N$2:$N$20000,Data!$A$2:$A$20000,$L259,Data!$F$2:$F$20000,"Bet"))</f>
        <v/>
      </c>
      <c r="N259" s="35">
        <f>IF($L259="","",SUMIFS(Data!$N$2:$N$20000,Data!$A$2:$A$20000,$L259,Data!$F$2:$F$20000,"Lay"))</f>
        <v/>
      </c>
      <c r="O259" s="35">
        <f>IF($L259="","",M259+N259)</f>
        <v/>
      </c>
      <c r="P259" s="35">
        <f>IF($L259="","",SUMIFS(Data!$N$2:$N$20000,Data!$A$2:$A$20000,"&lt;="&amp;$L259))</f>
        <v/>
      </c>
    </row>
    <row r="260">
      <c r="L260" s="34" t="n"/>
      <c r="M260" s="35">
        <f>IF($L260="","",SUMIFS(Data!$N$2:$N$20000,Data!$A$2:$A$20000,$L260,Data!$F$2:$F$20000,"Bet"))</f>
        <v/>
      </c>
      <c r="N260" s="35">
        <f>IF($L260="","",SUMIFS(Data!$N$2:$N$20000,Data!$A$2:$A$20000,$L260,Data!$F$2:$F$20000,"Lay"))</f>
        <v/>
      </c>
      <c r="O260" s="35">
        <f>IF($L260="","",M260+N260)</f>
        <v/>
      </c>
      <c r="P260" s="35">
        <f>IF($L260="","",SUMIFS(Data!$N$2:$N$20000,Data!$A$2:$A$20000,"&lt;="&amp;$L260))</f>
        <v/>
      </c>
    </row>
    <row r="261">
      <c r="L261" s="34" t="n"/>
      <c r="M261" s="35">
        <f>IF($L261="","",SUMIFS(Data!$N$2:$N$20000,Data!$A$2:$A$20000,$L261,Data!$F$2:$F$20000,"Bet"))</f>
        <v/>
      </c>
      <c r="N261" s="35">
        <f>IF($L261="","",SUMIFS(Data!$N$2:$N$20000,Data!$A$2:$A$20000,$L261,Data!$F$2:$F$20000,"Lay"))</f>
        <v/>
      </c>
      <c r="O261" s="35">
        <f>IF($L261="","",M261+N261)</f>
        <v/>
      </c>
      <c r="P261" s="35">
        <f>IF($L261="","",SUMIFS(Data!$N$2:$N$20000,Data!$A$2:$A$20000,"&lt;="&amp;$L261))</f>
        <v/>
      </c>
    </row>
    <row r="262">
      <c r="L262" s="34" t="n"/>
      <c r="M262" s="35">
        <f>IF($L262="","",SUMIFS(Data!$N$2:$N$20000,Data!$A$2:$A$20000,$L262,Data!$F$2:$F$20000,"Bet"))</f>
        <v/>
      </c>
      <c r="N262" s="35">
        <f>IF($L262="","",SUMIFS(Data!$N$2:$N$20000,Data!$A$2:$A$20000,$L262,Data!$F$2:$F$20000,"Lay"))</f>
        <v/>
      </c>
      <c r="O262" s="35">
        <f>IF($L262="","",M262+N262)</f>
        <v/>
      </c>
      <c r="P262" s="35">
        <f>IF($L262="","",SUMIFS(Data!$N$2:$N$20000,Data!$A$2:$A$20000,"&lt;="&amp;$L262))</f>
        <v/>
      </c>
    </row>
    <row r="263">
      <c r="L263" s="34" t="n"/>
      <c r="M263" s="35">
        <f>IF($L263="","",SUMIFS(Data!$N$2:$N$20000,Data!$A$2:$A$20000,$L263,Data!$F$2:$F$20000,"Bet"))</f>
        <v/>
      </c>
      <c r="N263" s="35">
        <f>IF($L263="","",SUMIFS(Data!$N$2:$N$20000,Data!$A$2:$A$20000,$L263,Data!$F$2:$F$20000,"Lay"))</f>
        <v/>
      </c>
      <c r="O263" s="35">
        <f>IF($L263="","",M263+N263)</f>
        <v/>
      </c>
      <c r="P263" s="35">
        <f>IF($L263="","",SUMIFS(Data!$N$2:$N$20000,Data!$A$2:$A$20000,"&lt;="&amp;$L263))</f>
        <v/>
      </c>
    </row>
    <row r="264">
      <c r="L264" s="34" t="n"/>
      <c r="M264" s="35">
        <f>IF($L264="","",SUMIFS(Data!$N$2:$N$20000,Data!$A$2:$A$20000,$L264,Data!$F$2:$F$20000,"Bet"))</f>
        <v/>
      </c>
      <c r="N264" s="35">
        <f>IF($L264="","",SUMIFS(Data!$N$2:$N$20000,Data!$A$2:$A$20000,$L264,Data!$F$2:$F$20000,"Lay"))</f>
        <v/>
      </c>
      <c r="O264" s="35">
        <f>IF($L264="","",M264+N264)</f>
        <v/>
      </c>
      <c r="P264" s="35">
        <f>IF($L264="","",SUMIFS(Data!$N$2:$N$20000,Data!$A$2:$A$20000,"&lt;="&amp;$L264))</f>
        <v/>
      </c>
    </row>
    <row r="265">
      <c r="L265" s="34" t="n"/>
      <c r="M265" s="35">
        <f>IF($L265="","",SUMIFS(Data!$N$2:$N$20000,Data!$A$2:$A$20000,$L265,Data!$F$2:$F$20000,"Bet"))</f>
        <v/>
      </c>
      <c r="N265" s="35">
        <f>IF($L265="","",SUMIFS(Data!$N$2:$N$20000,Data!$A$2:$A$20000,$L265,Data!$F$2:$F$20000,"Lay"))</f>
        <v/>
      </c>
      <c r="O265" s="35">
        <f>IF($L265="","",M265+N265)</f>
        <v/>
      </c>
      <c r="P265" s="35">
        <f>IF($L265="","",SUMIFS(Data!$N$2:$N$20000,Data!$A$2:$A$20000,"&lt;="&amp;$L265))</f>
        <v/>
      </c>
    </row>
    <row r="266">
      <c r="L266" s="34" t="n"/>
      <c r="M266" s="35">
        <f>IF($L266="","",SUMIFS(Data!$N$2:$N$20000,Data!$A$2:$A$20000,$L266,Data!$F$2:$F$20000,"Bet"))</f>
        <v/>
      </c>
      <c r="N266" s="35">
        <f>IF($L266="","",SUMIFS(Data!$N$2:$N$20000,Data!$A$2:$A$20000,$L266,Data!$F$2:$F$20000,"Lay"))</f>
        <v/>
      </c>
      <c r="O266" s="35">
        <f>IF($L266="","",M266+N266)</f>
        <v/>
      </c>
      <c r="P266" s="35">
        <f>IF($L266="","",SUMIFS(Data!$N$2:$N$20000,Data!$A$2:$A$20000,"&lt;="&amp;$L266))</f>
        <v/>
      </c>
    </row>
    <row r="267">
      <c r="L267" s="34" t="n"/>
      <c r="M267" s="35">
        <f>IF($L267="","",SUMIFS(Data!$N$2:$N$20000,Data!$A$2:$A$20000,$L267,Data!$F$2:$F$20000,"Bet"))</f>
        <v/>
      </c>
      <c r="N267" s="35">
        <f>IF($L267="","",SUMIFS(Data!$N$2:$N$20000,Data!$A$2:$A$20000,$L267,Data!$F$2:$F$20000,"Lay"))</f>
        <v/>
      </c>
      <c r="O267" s="35">
        <f>IF($L267="","",M267+N267)</f>
        <v/>
      </c>
      <c r="P267" s="35">
        <f>IF($L267="","",SUMIFS(Data!$N$2:$N$20000,Data!$A$2:$A$20000,"&lt;="&amp;$L267))</f>
        <v/>
      </c>
    </row>
    <row r="268">
      <c r="L268" s="34" t="n"/>
      <c r="M268" s="35">
        <f>IF($L268="","",SUMIFS(Data!$N$2:$N$20000,Data!$A$2:$A$20000,$L268,Data!$F$2:$F$20000,"Bet"))</f>
        <v/>
      </c>
      <c r="N268" s="35">
        <f>IF($L268="","",SUMIFS(Data!$N$2:$N$20000,Data!$A$2:$A$20000,$L268,Data!$F$2:$F$20000,"Lay"))</f>
        <v/>
      </c>
      <c r="O268" s="35">
        <f>IF($L268="","",M268+N268)</f>
        <v/>
      </c>
      <c r="P268" s="35">
        <f>IF($L268="","",SUMIFS(Data!$N$2:$N$20000,Data!$A$2:$A$20000,"&lt;="&amp;$L268))</f>
        <v/>
      </c>
    </row>
    <row r="269">
      <c r="L269" s="34" t="n"/>
      <c r="M269" s="35">
        <f>IF($L269="","",SUMIFS(Data!$N$2:$N$20000,Data!$A$2:$A$20000,$L269,Data!$F$2:$F$20000,"Bet"))</f>
        <v/>
      </c>
      <c r="N269" s="35">
        <f>IF($L269="","",SUMIFS(Data!$N$2:$N$20000,Data!$A$2:$A$20000,$L269,Data!$F$2:$F$20000,"Lay"))</f>
        <v/>
      </c>
      <c r="O269" s="35">
        <f>IF($L269="","",M269+N269)</f>
        <v/>
      </c>
      <c r="P269" s="35">
        <f>IF($L269="","",SUMIFS(Data!$N$2:$N$20000,Data!$A$2:$A$20000,"&lt;="&amp;$L269))</f>
        <v/>
      </c>
    </row>
    <row r="270">
      <c r="L270" s="34" t="n"/>
      <c r="M270" s="35">
        <f>IF($L270="","",SUMIFS(Data!$N$2:$N$20000,Data!$A$2:$A$20000,$L270,Data!$F$2:$F$20000,"Bet"))</f>
        <v/>
      </c>
      <c r="N270" s="35">
        <f>IF($L270="","",SUMIFS(Data!$N$2:$N$20000,Data!$A$2:$A$20000,$L270,Data!$F$2:$F$20000,"Lay"))</f>
        <v/>
      </c>
      <c r="O270" s="35">
        <f>IF($L270="","",M270+N270)</f>
        <v/>
      </c>
      <c r="P270" s="35">
        <f>IF($L270="","",SUMIFS(Data!$N$2:$N$20000,Data!$A$2:$A$20000,"&lt;="&amp;$L270))</f>
        <v/>
      </c>
    </row>
    <row r="271">
      <c r="L271" s="34" t="n"/>
      <c r="M271" s="35">
        <f>IF($L271="","",SUMIFS(Data!$N$2:$N$20000,Data!$A$2:$A$20000,$L271,Data!$F$2:$F$20000,"Bet"))</f>
        <v/>
      </c>
      <c r="N271" s="35">
        <f>IF($L271="","",SUMIFS(Data!$N$2:$N$20000,Data!$A$2:$A$20000,$L271,Data!$F$2:$F$20000,"Lay"))</f>
        <v/>
      </c>
      <c r="O271" s="35">
        <f>IF($L271="","",M271+N271)</f>
        <v/>
      </c>
      <c r="P271" s="35">
        <f>IF($L271="","",SUMIFS(Data!$N$2:$N$20000,Data!$A$2:$A$20000,"&lt;="&amp;$L271))</f>
        <v/>
      </c>
    </row>
    <row r="272">
      <c r="L272" s="34" t="n"/>
      <c r="M272" s="35">
        <f>IF($L272="","",SUMIFS(Data!$N$2:$N$20000,Data!$A$2:$A$20000,$L272,Data!$F$2:$F$20000,"Bet"))</f>
        <v/>
      </c>
      <c r="N272" s="35">
        <f>IF($L272="","",SUMIFS(Data!$N$2:$N$20000,Data!$A$2:$A$20000,$L272,Data!$F$2:$F$20000,"Lay"))</f>
        <v/>
      </c>
      <c r="O272" s="35">
        <f>IF($L272="","",M272+N272)</f>
        <v/>
      </c>
      <c r="P272" s="35">
        <f>IF($L272="","",SUMIFS(Data!$N$2:$N$20000,Data!$A$2:$A$20000,"&lt;="&amp;$L272))</f>
        <v/>
      </c>
    </row>
    <row r="273">
      <c r="L273" s="34" t="n"/>
      <c r="M273" s="35">
        <f>IF($L273="","",SUMIFS(Data!$N$2:$N$20000,Data!$A$2:$A$20000,$L273,Data!$F$2:$F$20000,"Bet"))</f>
        <v/>
      </c>
      <c r="N273" s="35">
        <f>IF($L273="","",SUMIFS(Data!$N$2:$N$20000,Data!$A$2:$A$20000,$L273,Data!$F$2:$F$20000,"Lay"))</f>
        <v/>
      </c>
      <c r="O273" s="35">
        <f>IF($L273="","",M273+N273)</f>
        <v/>
      </c>
      <c r="P273" s="35">
        <f>IF($L273="","",SUMIFS(Data!$N$2:$N$20000,Data!$A$2:$A$20000,"&lt;="&amp;$L273))</f>
        <v/>
      </c>
    </row>
    <row r="274">
      <c r="L274" s="34" t="n"/>
      <c r="M274" s="35">
        <f>IF($L274="","",SUMIFS(Data!$N$2:$N$20000,Data!$A$2:$A$20000,$L274,Data!$F$2:$F$20000,"Bet"))</f>
        <v/>
      </c>
      <c r="N274" s="35">
        <f>IF($L274="","",SUMIFS(Data!$N$2:$N$20000,Data!$A$2:$A$20000,$L274,Data!$F$2:$F$20000,"Lay"))</f>
        <v/>
      </c>
      <c r="O274" s="35">
        <f>IF($L274="","",M274+N274)</f>
        <v/>
      </c>
      <c r="P274" s="35">
        <f>IF($L274="","",SUMIFS(Data!$N$2:$N$20000,Data!$A$2:$A$20000,"&lt;="&amp;$L274))</f>
        <v/>
      </c>
    </row>
    <row r="275">
      <c r="L275" s="34" t="n"/>
      <c r="M275" s="35">
        <f>IF($L275="","",SUMIFS(Data!$N$2:$N$20000,Data!$A$2:$A$20000,$L275,Data!$F$2:$F$20000,"Bet"))</f>
        <v/>
      </c>
      <c r="N275" s="35">
        <f>IF($L275="","",SUMIFS(Data!$N$2:$N$20000,Data!$A$2:$A$20000,$L275,Data!$F$2:$F$20000,"Lay"))</f>
        <v/>
      </c>
      <c r="O275" s="35">
        <f>IF($L275="","",M275+N275)</f>
        <v/>
      </c>
      <c r="P275" s="35">
        <f>IF($L275="","",SUMIFS(Data!$N$2:$N$20000,Data!$A$2:$A$20000,"&lt;="&amp;$L275))</f>
        <v/>
      </c>
    </row>
    <row r="276">
      <c r="L276" s="34" t="n"/>
      <c r="M276" s="35">
        <f>IF($L276="","",SUMIFS(Data!$N$2:$N$20000,Data!$A$2:$A$20000,$L276,Data!$F$2:$F$20000,"Bet"))</f>
        <v/>
      </c>
      <c r="N276" s="35">
        <f>IF($L276="","",SUMIFS(Data!$N$2:$N$20000,Data!$A$2:$A$20000,$L276,Data!$F$2:$F$20000,"Lay"))</f>
        <v/>
      </c>
      <c r="O276" s="35">
        <f>IF($L276="","",M276+N276)</f>
        <v/>
      </c>
      <c r="P276" s="35">
        <f>IF($L276="","",SUMIFS(Data!$N$2:$N$20000,Data!$A$2:$A$20000,"&lt;="&amp;$L276))</f>
        <v/>
      </c>
    </row>
    <row r="277">
      <c r="L277" s="34" t="n"/>
      <c r="M277" s="35">
        <f>IF($L277="","",SUMIFS(Data!$N$2:$N$20000,Data!$A$2:$A$20000,$L277,Data!$F$2:$F$20000,"Bet"))</f>
        <v/>
      </c>
      <c r="N277" s="35">
        <f>IF($L277="","",SUMIFS(Data!$N$2:$N$20000,Data!$A$2:$A$20000,$L277,Data!$F$2:$F$20000,"Lay"))</f>
        <v/>
      </c>
      <c r="O277" s="35">
        <f>IF($L277="","",M277+N277)</f>
        <v/>
      </c>
      <c r="P277" s="35">
        <f>IF($L277="","",SUMIFS(Data!$N$2:$N$20000,Data!$A$2:$A$20000,"&lt;="&amp;$L277))</f>
        <v/>
      </c>
    </row>
    <row r="278">
      <c r="L278" s="34" t="n"/>
      <c r="M278" s="35">
        <f>IF($L278="","",SUMIFS(Data!$N$2:$N$20000,Data!$A$2:$A$20000,$L278,Data!$F$2:$F$20000,"Bet"))</f>
        <v/>
      </c>
      <c r="N278" s="35">
        <f>IF($L278="","",SUMIFS(Data!$N$2:$N$20000,Data!$A$2:$A$20000,$L278,Data!$F$2:$F$20000,"Lay"))</f>
        <v/>
      </c>
      <c r="O278" s="35">
        <f>IF($L278="","",M278+N278)</f>
        <v/>
      </c>
      <c r="P278" s="35">
        <f>IF($L278="","",SUMIFS(Data!$N$2:$N$20000,Data!$A$2:$A$20000,"&lt;="&amp;$L278))</f>
        <v/>
      </c>
    </row>
    <row r="279">
      <c r="L279" s="34" t="n"/>
      <c r="M279" s="35">
        <f>IF($L279="","",SUMIFS(Data!$N$2:$N$20000,Data!$A$2:$A$20000,$L279,Data!$F$2:$F$20000,"Bet"))</f>
        <v/>
      </c>
      <c r="N279" s="35">
        <f>IF($L279="","",SUMIFS(Data!$N$2:$N$20000,Data!$A$2:$A$20000,$L279,Data!$F$2:$F$20000,"Lay"))</f>
        <v/>
      </c>
      <c r="O279" s="35">
        <f>IF($L279="","",M279+N279)</f>
        <v/>
      </c>
      <c r="P279" s="35">
        <f>IF($L279="","",SUMIFS(Data!$N$2:$N$20000,Data!$A$2:$A$20000,"&lt;="&amp;$L279))</f>
        <v/>
      </c>
    </row>
    <row r="280">
      <c r="L280" s="34" t="n"/>
      <c r="M280" s="35">
        <f>IF($L280="","",SUMIFS(Data!$N$2:$N$20000,Data!$A$2:$A$20000,$L280,Data!$F$2:$F$20000,"Bet"))</f>
        <v/>
      </c>
      <c r="N280" s="35">
        <f>IF($L280="","",SUMIFS(Data!$N$2:$N$20000,Data!$A$2:$A$20000,$L280,Data!$F$2:$F$20000,"Lay"))</f>
        <v/>
      </c>
      <c r="O280" s="35">
        <f>IF($L280="","",M280+N280)</f>
        <v/>
      </c>
      <c r="P280" s="35">
        <f>IF($L280="","",SUMIFS(Data!$N$2:$N$20000,Data!$A$2:$A$20000,"&lt;="&amp;$L280))</f>
        <v/>
      </c>
    </row>
    <row r="281">
      <c r="L281" s="34" t="n"/>
      <c r="M281" s="35">
        <f>IF($L281="","",SUMIFS(Data!$N$2:$N$20000,Data!$A$2:$A$20000,$L281,Data!$F$2:$F$20000,"Bet"))</f>
        <v/>
      </c>
      <c r="N281" s="35">
        <f>IF($L281="","",SUMIFS(Data!$N$2:$N$20000,Data!$A$2:$A$20000,$L281,Data!$F$2:$F$20000,"Lay"))</f>
        <v/>
      </c>
      <c r="O281" s="35">
        <f>IF($L281="","",M281+N281)</f>
        <v/>
      </c>
      <c r="P281" s="35">
        <f>IF($L281="","",SUMIFS(Data!$N$2:$N$20000,Data!$A$2:$A$20000,"&lt;="&amp;$L281))</f>
        <v/>
      </c>
    </row>
    <row r="282">
      <c r="L282" s="34" t="n"/>
      <c r="M282" s="35">
        <f>IF($L282="","",SUMIFS(Data!$N$2:$N$20000,Data!$A$2:$A$20000,$L282,Data!$F$2:$F$20000,"Bet"))</f>
        <v/>
      </c>
      <c r="N282" s="35">
        <f>IF($L282="","",SUMIFS(Data!$N$2:$N$20000,Data!$A$2:$A$20000,$L282,Data!$F$2:$F$20000,"Lay"))</f>
        <v/>
      </c>
      <c r="O282" s="35">
        <f>IF($L282="","",M282+N282)</f>
        <v/>
      </c>
      <c r="P282" s="35">
        <f>IF($L282="","",SUMIFS(Data!$N$2:$N$20000,Data!$A$2:$A$20000,"&lt;="&amp;$L282))</f>
        <v/>
      </c>
    </row>
    <row r="283">
      <c r="L283" s="34" t="n"/>
      <c r="M283" s="35">
        <f>IF($L283="","",SUMIFS(Data!$N$2:$N$20000,Data!$A$2:$A$20000,$L283,Data!$F$2:$F$20000,"Bet"))</f>
        <v/>
      </c>
      <c r="N283" s="35">
        <f>IF($L283="","",SUMIFS(Data!$N$2:$N$20000,Data!$A$2:$A$20000,$L283,Data!$F$2:$F$20000,"Lay"))</f>
        <v/>
      </c>
      <c r="O283" s="35">
        <f>IF($L283="","",M283+N283)</f>
        <v/>
      </c>
      <c r="P283" s="35">
        <f>IF($L283="","",SUMIFS(Data!$N$2:$N$20000,Data!$A$2:$A$20000,"&lt;="&amp;$L283))</f>
        <v/>
      </c>
    </row>
    <row r="284">
      <c r="L284" s="34" t="n"/>
      <c r="M284" s="35">
        <f>IF($L284="","",SUMIFS(Data!$N$2:$N$20000,Data!$A$2:$A$20000,$L284,Data!$F$2:$F$20000,"Bet"))</f>
        <v/>
      </c>
      <c r="N284" s="35">
        <f>IF($L284="","",SUMIFS(Data!$N$2:$N$20000,Data!$A$2:$A$20000,$L284,Data!$F$2:$F$20000,"Lay"))</f>
        <v/>
      </c>
      <c r="O284" s="35">
        <f>IF($L284="","",M284+N284)</f>
        <v/>
      </c>
      <c r="P284" s="35">
        <f>IF($L284="","",SUMIFS(Data!$N$2:$N$20000,Data!$A$2:$A$20000,"&lt;="&amp;$L284))</f>
        <v/>
      </c>
    </row>
    <row r="285">
      <c r="L285" s="34" t="n"/>
      <c r="M285" s="35">
        <f>IF($L285="","",SUMIFS(Data!$N$2:$N$20000,Data!$A$2:$A$20000,$L285,Data!$F$2:$F$20000,"Bet"))</f>
        <v/>
      </c>
      <c r="N285" s="35">
        <f>IF($L285="","",SUMIFS(Data!$N$2:$N$20000,Data!$A$2:$A$20000,$L285,Data!$F$2:$F$20000,"Lay"))</f>
        <v/>
      </c>
      <c r="O285" s="35">
        <f>IF($L285="","",M285+N285)</f>
        <v/>
      </c>
      <c r="P285" s="35">
        <f>IF($L285="","",SUMIFS(Data!$N$2:$N$20000,Data!$A$2:$A$20000,"&lt;="&amp;$L285))</f>
        <v/>
      </c>
    </row>
    <row r="286">
      <c r="L286" s="34" t="n"/>
      <c r="M286" s="35">
        <f>IF($L286="","",SUMIFS(Data!$N$2:$N$20000,Data!$A$2:$A$20000,$L286,Data!$F$2:$F$20000,"Bet"))</f>
        <v/>
      </c>
      <c r="N286" s="35">
        <f>IF($L286="","",SUMIFS(Data!$N$2:$N$20000,Data!$A$2:$A$20000,$L286,Data!$F$2:$F$20000,"Lay"))</f>
        <v/>
      </c>
      <c r="O286" s="35">
        <f>IF($L286="","",M286+N286)</f>
        <v/>
      </c>
      <c r="P286" s="35">
        <f>IF($L286="","",SUMIFS(Data!$N$2:$N$20000,Data!$A$2:$A$20000,"&lt;="&amp;$L286))</f>
        <v/>
      </c>
    </row>
    <row r="287">
      <c r="L287" s="34" t="n"/>
      <c r="M287" s="35">
        <f>IF($L287="","",SUMIFS(Data!$N$2:$N$20000,Data!$A$2:$A$20000,$L287,Data!$F$2:$F$20000,"Bet"))</f>
        <v/>
      </c>
      <c r="N287" s="35">
        <f>IF($L287="","",SUMIFS(Data!$N$2:$N$20000,Data!$A$2:$A$20000,$L287,Data!$F$2:$F$20000,"Lay"))</f>
        <v/>
      </c>
      <c r="O287" s="35">
        <f>IF($L287="","",M287+N287)</f>
        <v/>
      </c>
      <c r="P287" s="35">
        <f>IF($L287="","",SUMIFS(Data!$N$2:$N$20000,Data!$A$2:$A$20000,"&lt;="&amp;$L287))</f>
        <v/>
      </c>
    </row>
    <row r="288">
      <c r="L288" s="34" t="n"/>
      <c r="M288" s="35">
        <f>IF($L288="","",SUMIFS(Data!$N$2:$N$20000,Data!$A$2:$A$20000,$L288,Data!$F$2:$F$20000,"Bet"))</f>
        <v/>
      </c>
      <c r="N288" s="35">
        <f>IF($L288="","",SUMIFS(Data!$N$2:$N$20000,Data!$A$2:$A$20000,$L288,Data!$F$2:$F$20000,"Lay"))</f>
        <v/>
      </c>
      <c r="O288" s="35">
        <f>IF($L288="","",M288+N288)</f>
        <v/>
      </c>
      <c r="P288" s="35">
        <f>IF($L288="","",SUMIFS(Data!$N$2:$N$20000,Data!$A$2:$A$20000,"&lt;="&amp;$L288))</f>
        <v/>
      </c>
    </row>
    <row r="289">
      <c r="L289" s="34" t="n"/>
      <c r="M289" s="35">
        <f>IF($L289="","",SUMIFS(Data!$N$2:$N$20000,Data!$A$2:$A$20000,$L289,Data!$F$2:$F$20000,"Bet"))</f>
        <v/>
      </c>
      <c r="N289" s="35">
        <f>IF($L289="","",SUMIFS(Data!$N$2:$N$20000,Data!$A$2:$A$20000,$L289,Data!$F$2:$F$20000,"Lay"))</f>
        <v/>
      </c>
      <c r="O289" s="35">
        <f>IF($L289="","",M289+N289)</f>
        <v/>
      </c>
      <c r="P289" s="35">
        <f>IF($L289="","",SUMIFS(Data!$N$2:$N$20000,Data!$A$2:$A$20000,"&lt;="&amp;$L289))</f>
        <v/>
      </c>
    </row>
    <row r="290">
      <c r="L290" s="34" t="n"/>
      <c r="M290" s="35">
        <f>IF($L290="","",SUMIFS(Data!$N$2:$N$20000,Data!$A$2:$A$20000,$L290,Data!$F$2:$F$20000,"Bet"))</f>
        <v/>
      </c>
      <c r="N290" s="35">
        <f>IF($L290="","",SUMIFS(Data!$N$2:$N$20000,Data!$A$2:$A$20000,$L290,Data!$F$2:$F$20000,"Lay"))</f>
        <v/>
      </c>
      <c r="O290" s="35">
        <f>IF($L290="","",M290+N290)</f>
        <v/>
      </c>
      <c r="P290" s="35">
        <f>IF($L290="","",SUMIFS(Data!$N$2:$N$20000,Data!$A$2:$A$20000,"&lt;="&amp;$L290))</f>
        <v/>
      </c>
    </row>
    <row r="291">
      <c r="L291" s="34" t="n"/>
      <c r="M291" s="35">
        <f>IF($L291="","",SUMIFS(Data!$N$2:$N$20000,Data!$A$2:$A$20000,$L291,Data!$F$2:$F$20000,"Bet"))</f>
        <v/>
      </c>
      <c r="N291" s="35">
        <f>IF($L291="","",SUMIFS(Data!$N$2:$N$20000,Data!$A$2:$A$20000,$L291,Data!$F$2:$F$20000,"Lay"))</f>
        <v/>
      </c>
      <c r="O291" s="35">
        <f>IF($L291="","",M291+N291)</f>
        <v/>
      </c>
      <c r="P291" s="35">
        <f>IF($L291="","",SUMIFS(Data!$N$2:$N$20000,Data!$A$2:$A$20000,"&lt;="&amp;$L291))</f>
        <v/>
      </c>
    </row>
    <row r="292">
      <c r="L292" s="34" t="n"/>
      <c r="M292" s="35">
        <f>IF($L292="","",SUMIFS(Data!$N$2:$N$20000,Data!$A$2:$A$20000,$L292,Data!$F$2:$F$20000,"Bet"))</f>
        <v/>
      </c>
      <c r="N292" s="35">
        <f>IF($L292="","",SUMIFS(Data!$N$2:$N$20000,Data!$A$2:$A$20000,$L292,Data!$F$2:$F$20000,"Lay"))</f>
        <v/>
      </c>
      <c r="O292" s="35">
        <f>IF($L292="","",M292+N292)</f>
        <v/>
      </c>
      <c r="P292" s="35">
        <f>IF($L292="","",SUMIFS(Data!$N$2:$N$20000,Data!$A$2:$A$20000,"&lt;="&amp;$L292))</f>
        <v/>
      </c>
    </row>
    <row r="293">
      <c r="L293" s="34" t="n"/>
      <c r="M293" s="35">
        <f>IF($L293="","",SUMIFS(Data!$N$2:$N$20000,Data!$A$2:$A$20000,$L293,Data!$F$2:$F$20000,"Bet"))</f>
        <v/>
      </c>
      <c r="N293" s="35">
        <f>IF($L293="","",SUMIFS(Data!$N$2:$N$20000,Data!$A$2:$A$20000,$L293,Data!$F$2:$F$20000,"Lay"))</f>
        <v/>
      </c>
      <c r="O293" s="35">
        <f>IF($L293="","",M293+N293)</f>
        <v/>
      </c>
      <c r="P293" s="35">
        <f>IF($L293="","",SUMIFS(Data!$N$2:$N$20000,Data!$A$2:$A$20000,"&lt;="&amp;$L293))</f>
        <v/>
      </c>
    </row>
    <row r="294">
      <c r="L294" s="34" t="n"/>
      <c r="M294" s="35">
        <f>IF($L294="","",SUMIFS(Data!$N$2:$N$20000,Data!$A$2:$A$20000,$L294,Data!$F$2:$F$20000,"Bet"))</f>
        <v/>
      </c>
      <c r="N294" s="35">
        <f>IF($L294="","",SUMIFS(Data!$N$2:$N$20000,Data!$A$2:$A$20000,$L294,Data!$F$2:$F$20000,"Lay"))</f>
        <v/>
      </c>
      <c r="O294" s="35">
        <f>IF($L294="","",M294+N294)</f>
        <v/>
      </c>
      <c r="P294" s="35">
        <f>IF($L294="","",SUMIFS(Data!$N$2:$N$20000,Data!$A$2:$A$20000,"&lt;="&amp;$L294))</f>
        <v/>
      </c>
    </row>
    <row r="295">
      <c r="L295" s="34" t="n"/>
      <c r="M295" s="35">
        <f>IF($L295="","",SUMIFS(Data!$N$2:$N$20000,Data!$A$2:$A$20000,$L295,Data!$F$2:$F$20000,"Bet"))</f>
        <v/>
      </c>
      <c r="N295" s="35">
        <f>IF($L295="","",SUMIFS(Data!$N$2:$N$20000,Data!$A$2:$A$20000,$L295,Data!$F$2:$F$20000,"Lay"))</f>
        <v/>
      </c>
      <c r="O295" s="35">
        <f>IF($L295="","",M295+N295)</f>
        <v/>
      </c>
      <c r="P295" s="35">
        <f>IF($L295="","",SUMIFS(Data!$N$2:$N$20000,Data!$A$2:$A$20000,"&lt;="&amp;$L295))</f>
        <v/>
      </c>
    </row>
    <row r="296">
      <c r="L296" s="34" t="n"/>
      <c r="M296" s="35">
        <f>IF($L296="","",SUMIFS(Data!$N$2:$N$20000,Data!$A$2:$A$20000,$L296,Data!$F$2:$F$20000,"Bet"))</f>
        <v/>
      </c>
      <c r="N296" s="35">
        <f>IF($L296="","",SUMIFS(Data!$N$2:$N$20000,Data!$A$2:$A$20000,$L296,Data!$F$2:$F$20000,"Lay"))</f>
        <v/>
      </c>
      <c r="O296" s="35">
        <f>IF($L296="","",M296+N296)</f>
        <v/>
      </c>
      <c r="P296" s="35">
        <f>IF($L296="","",SUMIFS(Data!$N$2:$N$20000,Data!$A$2:$A$20000,"&lt;="&amp;$L296))</f>
        <v/>
      </c>
    </row>
    <row r="297">
      <c r="L297" s="34" t="n"/>
      <c r="M297" s="35">
        <f>IF($L297="","",SUMIFS(Data!$N$2:$N$20000,Data!$A$2:$A$20000,$L297,Data!$F$2:$F$20000,"Bet"))</f>
        <v/>
      </c>
      <c r="N297" s="35">
        <f>IF($L297="","",SUMIFS(Data!$N$2:$N$20000,Data!$A$2:$A$20000,$L297,Data!$F$2:$F$20000,"Lay"))</f>
        <v/>
      </c>
      <c r="O297" s="35">
        <f>IF($L297="","",M297+N297)</f>
        <v/>
      </c>
      <c r="P297" s="35">
        <f>IF($L297="","",SUMIFS(Data!$N$2:$N$20000,Data!$A$2:$A$20000,"&lt;="&amp;$L297))</f>
        <v/>
      </c>
    </row>
    <row r="298">
      <c r="L298" s="34" t="n"/>
      <c r="M298" s="35">
        <f>IF($L298="","",SUMIFS(Data!$N$2:$N$20000,Data!$A$2:$A$20000,$L298,Data!$F$2:$F$20000,"Bet"))</f>
        <v/>
      </c>
      <c r="N298" s="35">
        <f>IF($L298="","",SUMIFS(Data!$N$2:$N$20000,Data!$A$2:$A$20000,$L298,Data!$F$2:$F$20000,"Lay"))</f>
        <v/>
      </c>
      <c r="O298" s="35">
        <f>IF($L298="","",M298+N298)</f>
        <v/>
      </c>
      <c r="P298" s="35">
        <f>IF($L298="","",SUMIFS(Data!$N$2:$N$20000,Data!$A$2:$A$20000,"&lt;="&amp;$L298))</f>
        <v/>
      </c>
    </row>
    <row r="299">
      <c r="L299" s="34" t="n"/>
      <c r="M299" s="35">
        <f>IF($L299="","",SUMIFS(Data!$N$2:$N$20000,Data!$A$2:$A$20000,$L299,Data!$F$2:$F$20000,"Bet"))</f>
        <v/>
      </c>
      <c r="N299" s="35">
        <f>IF($L299="","",SUMIFS(Data!$N$2:$N$20000,Data!$A$2:$A$20000,$L299,Data!$F$2:$F$20000,"Lay"))</f>
        <v/>
      </c>
      <c r="O299" s="35">
        <f>IF($L299="","",M299+N299)</f>
        <v/>
      </c>
      <c r="P299" s="35">
        <f>IF($L299="","",SUMIFS(Data!$N$2:$N$20000,Data!$A$2:$A$20000,"&lt;="&amp;$L299))</f>
        <v/>
      </c>
    </row>
    <row r="300">
      <c r="L300" s="34" t="n"/>
      <c r="M300" s="35">
        <f>IF($L300="","",SUMIFS(Data!$N$2:$N$20000,Data!$A$2:$A$20000,$L300,Data!$F$2:$F$20000,"Bet"))</f>
        <v/>
      </c>
      <c r="N300" s="35">
        <f>IF($L300="","",SUMIFS(Data!$N$2:$N$20000,Data!$A$2:$A$20000,$L300,Data!$F$2:$F$20000,"Lay"))</f>
        <v/>
      </c>
      <c r="O300" s="35">
        <f>IF($L300="","",M300+N300)</f>
        <v/>
      </c>
      <c r="P300" s="35">
        <f>IF($L300="","",SUMIFS(Data!$N$2:$N$20000,Data!$A$2:$A$20000,"&lt;="&amp;$L300))</f>
        <v/>
      </c>
    </row>
    <row r="301">
      <c r="L301" s="34" t="n"/>
      <c r="M301" s="35">
        <f>IF($L301="","",SUMIFS(Data!$N$2:$N$20000,Data!$A$2:$A$20000,$L301,Data!$F$2:$F$20000,"Bet"))</f>
        <v/>
      </c>
      <c r="N301" s="35">
        <f>IF($L301="","",SUMIFS(Data!$N$2:$N$20000,Data!$A$2:$A$20000,$L301,Data!$F$2:$F$20000,"Lay"))</f>
        <v/>
      </c>
      <c r="O301" s="35">
        <f>IF($L301="","",M301+N301)</f>
        <v/>
      </c>
      <c r="P301" s="35">
        <f>IF($L301="","",SUMIFS(Data!$N$2:$N$20000,Data!$A$2:$A$20000,"&lt;="&amp;$L301))</f>
        <v/>
      </c>
    </row>
    <row r="302">
      <c r="L302" s="34" t="n"/>
      <c r="M302" s="35">
        <f>IF($L302="","",SUMIFS(Data!$N$2:$N$20000,Data!$A$2:$A$20000,$L302,Data!$F$2:$F$20000,"Bet"))</f>
        <v/>
      </c>
      <c r="N302" s="35">
        <f>IF($L302="","",SUMIFS(Data!$N$2:$N$20000,Data!$A$2:$A$20000,$L302,Data!$F$2:$F$20000,"Lay"))</f>
        <v/>
      </c>
      <c r="O302" s="35">
        <f>IF($L302="","",M302+N302)</f>
        <v/>
      </c>
      <c r="P302" s="35">
        <f>IF($L302="","",SUMIFS(Data!$N$2:$N$20000,Data!$A$2:$A$20000,"&lt;="&amp;$L302))</f>
        <v/>
      </c>
    </row>
    <row r="303">
      <c r="L303" s="34" t="n"/>
      <c r="M303" s="35">
        <f>IF($L303="","",SUMIFS(Data!$N$2:$N$20000,Data!$A$2:$A$20000,$L303,Data!$F$2:$F$20000,"Bet"))</f>
        <v/>
      </c>
      <c r="N303" s="35">
        <f>IF($L303="","",SUMIFS(Data!$N$2:$N$20000,Data!$A$2:$A$20000,$L303,Data!$F$2:$F$20000,"Lay"))</f>
        <v/>
      </c>
      <c r="O303" s="35">
        <f>IF($L303="","",M303+N303)</f>
        <v/>
      </c>
      <c r="P303" s="35">
        <f>IF($L303="","",SUMIFS(Data!$N$2:$N$20000,Data!$A$2:$A$20000,"&lt;="&amp;$L303))</f>
        <v/>
      </c>
    </row>
    <row r="304">
      <c r="L304" s="34" t="n"/>
      <c r="M304" s="35">
        <f>IF($L304="","",SUMIFS(Data!$N$2:$N$20000,Data!$A$2:$A$20000,$L304,Data!$F$2:$F$20000,"Bet"))</f>
        <v/>
      </c>
      <c r="N304" s="35">
        <f>IF($L304="","",SUMIFS(Data!$N$2:$N$20000,Data!$A$2:$A$20000,$L304,Data!$F$2:$F$20000,"Lay"))</f>
        <v/>
      </c>
      <c r="O304" s="35">
        <f>IF($L304="","",M304+N304)</f>
        <v/>
      </c>
      <c r="P304" s="35">
        <f>IF($L304="","",SUMIFS(Data!$N$2:$N$20000,Data!$A$2:$A$20000,"&lt;="&amp;$L304))</f>
        <v/>
      </c>
    </row>
    <row r="305">
      <c r="L305" s="34" t="n"/>
      <c r="M305" s="35">
        <f>IF($L305="","",SUMIFS(Data!$N$2:$N$20000,Data!$A$2:$A$20000,$L305,Data!$F$2:$F$20000,"Bet"))</f>
        <v/>
      </c>
      <c r="N305" s="35">
        <f>IF($L305="","",SUMIFS(Data!$N$2:$N$20000,Data!$A$2:$A$20000,$L305,Data!$F$2:$F$20000,"Lay"))</f>
        <v/>
      </c>
      <c r="O305" s="35">
        <f>IF($L305="","",M305+N305)</f>
        <v/>
      </c>
      <c r="P305" s="35">
        <f>IF($L305="","",SUMIFS(Data!$N$2:$N$20000,Data!$A$2:$A$20000,"&lt;="&amp;$L305))</f>
        <v/>
      </c>
    </row>
    <row r="306">
      <c r="L306" s="34" t="n"/>
      <c r="M306" s="35">
        <f>IF($L306="","",SUMIFS(Data!$N$2:$N$20000,Data!$A$2:$A$20000,$L306,Data!$F$2:$F$20000,"Bet"))</f>
        <v/>
      </c>
      <c r="N306" s="35">
        <f>IF($L306="","",SUMIFS(Data!$N$2:$N$20000,Data!$A$2:$A$20000,$L306,Data!$F$2:$F$20000,"Lay"))</f>
        <v/>
      </c>
      <c r="O306" s="35">
        <f>IF($L306="","",M306+N306)</f>
        <v/>
      </c>
      <c r="P306" s="35">
        <f>IF($L306="","",SUMIFS(Data!$N$2:$N$20000,Data!$A$2:$A$20000,"&lt;="&amp;$L306))</f>
        <v/>
      </c>
    </row>
    <row r="307">
      <c r="L307" s="34" t="n"/>
      <c r="M307" s="35">
        <f>IF($L307="","",SUMIFS(Data!$N$2:$N$20000,Data!$A$2:$A$20000,$L307,Data!$F$2:$F$20000,"Bet"))</f>
        <v/>
      </c>
      <c r="N307" s="35">
        <f>IF($L307="","",SUMIFS(Data!$N$2:$N$20000,Data!$A$2:$A$20000,$L307,Data!$F$2:$F$20000,"Lay"))</f>
        <v/>
      </c>
      <c r="O307" s="35">
        <f>IF($L307="","",M307+N307)</f>
        <v/>
      </c>
      <c r="P307" s="35">
        <f>IF($L307="","",SUMIFS(Data!$N$2:$N$20000,Data!$A$2:$A$20000,"&lt;="&amp;$L307))</f>
        <v/>
      </c>
    </row>
    <row r="308">
      <c r="L308" s="34" t="n"/>
      <c r="M308" s="35">
        <f>IF($L308="","",SUMIFS(Data!$N$2:$N$20000,Data!$A$2:$A$20000,$L308,Data!$F$2:$F$20000,"Bet"))</f>
        <v/>
      </c>
      <c r="N308" s="35">
        <f>IF($L308="","",SUMIFS(Data!$N$2:$N$20000,Data!$A$2:$A$20000,$L308,Data!$F$2:$F$20000,"Lay"))</f>
        <v/>
      </c>
      <c r="O308" s="35">
        <f>IF($L308="","",M308+N308)</f>
        <v/>
      </c>
      <c r="P308" s="35">
        <f>IF($L308="","",SUMIFS(Data!$N$2:$N$20000,Data!$A$2:$A$20000,"&lt;="&amp;$L308))</f>
        <v/>
      </c>
    </row>
    <row r="309">
      <c r="L309" s="34" t="n"/>
      <c r="M309" s="35">
        <f>IF($L309="","",SUMIFS(Data!$N$2:$N$20000,Data!$A$2:$A$20000,$L309,Data!$F$2:$F$20000,"Bet"))</f>
        <v/>
      </c>
      <c r="N309" s="35">
        <f>IF($L309="","",SUMIFS(Data!$N$2:$N$20000,Data!$A$2:$A$20000,$L309,Data!$F$2:$F$20000,"Lay"))</f>
        <v/>
      </c>
      <c r="O309" s="35">
        <f>IF($L309="","",M309+N309)</f>
        <v/>
      </c>
      <c r="P309" s="35">
        <f>IF($L309="","",SUMIFS(Data!$N$2:$N$20000,Data!$A$2:$A$20000,"&lt;="&amp;$L309))</f>
        <v/>
      </c>
    </row>
    <row r="310">
      <c r="L310" s="34" t="n"/>
      <c r="M310" s="35">
        <f>IF($L310="","",SUMIFS(Data!$N$2:$N$20000,Data!$A$2:$A$20000,$L310,Data!$F$2:$F$20000,"Bet"))</f>
        <v/>
      </c>
      <c r="N310" s="35">
        <f>IF($L310="","",SUMIFS(Data!$N$2:$N$20000,Data!$A$2:$A$20000,$L310,Data!$F$2:$F$20000,"Lay"))</f>
        <v/>
      </c>
      <c r="O310" s="35">
        <f>IF($L310="","",M310+N310)</f>
        <v/>
      </c>
      <c r="P310" s="35">
        <f>IF($L310="","",SUMIFS(Data!$N$2:$N$20000,Data!$A$2:$A$20000,"&lt;="&amp;$L310))</f>
        <v/>
      </c>
    </row>
    <row r="311">
      <c r="L311" s="34" t="n"/>
      <c r="M311" s="35">
        <f>IF($L311="","",SUMIFS(Data!$N$2:$N$20000,Data!$A$2:$A$20000,$L311,Data!$F$2:$F$20000,"Bet"))</f>
        <v/>
      </c>
      <c r="N311" s="35">
        <f>IF($L311="","",SUMIFS(Data!$N$2:$N$20000,Data!$A$2:$A$20000,$L311,Data!$F$2:$F$20000,"Lay"))</f>
        <v/>
      </c>
      <c r="O311" s="35">
        <f>IF($L311="","",M311+N311)</f>
        <v/>
      </c>
      <c r="P311" s="35">
        <f>IF($L311="","",SUMIFS(Data!$N$2:$N$20000,Data!$A$2:$A$20000,"&lt;="&amp;$L311))</f>
        <v/>
      </c>
    </row>
    <row r="312">
      <c r="L312" s="34" t="n"/>
      <c r="M312" s="35">
        <f>IF($L312="","",SUMIFS(Data!$N$2:$N$20000,Data!$A$2:$A$20000,$L312,Data!$F$2:$F$20000,"Bet"))</f>
        <v/>
      </c>
      <c r="N312" s="35">
        <f>IF($L312="","",SUMIFS(Data!$N$2:$N$20000,Data!$A$2:$A$20000,$L312,Data!$F$2:$F$20000,"Lay"))</f>
        <v/>
      </c>
      <c r="O312" s="35">
        <f>IF($L312="","",M312+N312)</f>
        <v/>
      </c>
      <c r="P312" s="35">
        <f>IF($L312="","",SUMIFS(Data!$N$2:$N$20000,Data!$A$2:$A$20000,"&lt;="&amp;$L312))</f>
        <v/>
      </c>
    </row>
    <row r="313">
      <c r="L313" s="34" t="n"/>
      <c r="M313" s="35">
        <f>IF($L313="","",SUMIFS(Data!$N$2:$N$20000,Data!$A$2:$A$20000,$L313,Data!$F$2:$F$20000,"Bet"))</f>
        <v/>
      </c>
      <c r="N313" s="35">
        <f>IF($L313="","",SUMIFS(Data!$N$2:$N$20000,Data!$A$2:$A$20000,$L313,Data!$F$2:$F$20000,"Lay"))</f>
        <v/>
      </c>
      <c r="O313" s="35">
        <f>IF($L313="","",M313+N313)</f>
        <v/>
      </c>
      <c r="P313" s="35">
        <f>IF($L313="","",SUMIFS(Data!$N$2:$N$20000,Data!$A$2:$A$20000,"&lt;="&amp;$L313))</f>
        <v/>
      </c>
    </row>
    <row r="314">
      <c r="L314" s="34" t="n"/>
      <c r="M314" s="35">
        <f>IF($L314="","",SUMIFS(Data!$N$2:$N$20000,Data!$A$2:$A$20000,$L314,Data!$F$2:$F$20000,"Bet"))</f>
        <v/>
      </c>
      <c r="N314" s="35">
        <f>IF($L314="","",SUMIFS(Data!$N$2:$N$20000,Data!$A$2:$A$20000,$L314,Data!$F$2:$F$20000,"Lay"))</f>
        <v/>
      </c>
      <c r="O314" s="35">
        <f>IF($L314="","",M314+N314)</f>
        <v/>
      </c>
      <c r="P314" s="35">
        <f>IF($L314="","",SUMIFS(Data!$N$2:$N$20000,Data!$A$2:$A$20000,"&lt;="&amp;$L314))</f>
        <v/>
      </c>
    </row>
    <row r="315">
      <c r="L315" s="34" t="n"/>
      <c r="M315" s="35">
        <f>IF($L315="","",SUMIFS(Data!$N$2:$N$20000,Data!$A$2:$A$20000,$L315,Data!$F$2:$F$20000,"Bet"))</f>
        <v/>
      </c>
      <c r="N315" s="35">
        <f>IF($L315="","",SUMIFS(Data!$N$2:$N$20000,Data!$A$2:$A$20000,$L315,Data!$F$2:$F$20000,"Lay"))</f>
        <v/>
      </c>
      <c r="O315" s="35">
        <f>IF($L315="","",M315+N315)</f>
        <v/>
      </c>
      <c r="P315" s="35">
        <f>IF($L315="","",SUMIFS(Data!$N$2:$N$20000,Data!$A$2:$A$20000,"&lt;="&amp;$L315))</f>
        <v/>
      </c>
    </row>
    <row r="316">
      <c r="L316" s="34" t="n"/>
      <c r="M316" s="35">
        <f>IF($L316="","",SUMIFS(Data!$N$2:$N$20000,Data!$A$2:$A$20000,$L316,Data!$F$2:$F$20000,"Bet"))</f>
        <v/>
      </c>
      <c r="N316" s="35">
        <f>IF($L316="","",SUMIFS(Data!$N$2:$N$20000,Data!$A$2:$A$20000,$L316,Data!$F$2:$F$20000,"Lay"))</f>
        <v/>
      </c>
      <c r="O316" s="35">
        <f>IF($L316="","",M316+N316)</f>
        <v/>
      </c>
      <c r="P316" s="35">
        <f>IF($L316="","",SUMIFS(Data!$N$2:$N$20000,Data!$A$2:$A$20000,"&lt;="&amp;$L316))</f>
        <v/>
      </c>
    </row>
    <row r="317">
      <c r="L317" s="34" t="n"/>
      <c r="M317" s="35">
        <f>IF($L317="","",SUMIFS(Data!$N$2:$N$20000,Data!$A$2:$A$20000,$L317,Data!$F$2:$F$20000,"Bet"))</f>
        <v/>
      </c>
      <c r="N317" s="35">
        <f>IF($L317="","",SUMIFS(Data!$N$2:$N$20000,Data!$A$2:$A$20000,$L317,Data!$F$2:$F$20000,"Lay"))</f>
        <v/>
      </c>
      <c r="O317" s="35">
        <f>IF($L317="","",M317+N317)</f>
        <v/>
      </c>
      <c r="P317" s="35">
        <f>IF($L317="","",SUMIFS(Data!$N$2:$N$20000,Data!$A$2:$A$20000,"&lt;="&amp;$L317))</f>
        <v/>
      </c>
    </row>
    <row r="318">
      <c r="L318" s="34" t="n"/>
      <c r="M318" s="35">
        <f>IF($L318="","",SUMIFS(Data!$N$2:$N$20000,Data!$A$2:$A$20000,$L318,Data!$F$2:$F$20000,"Bet"))</f>
        <v/>
      </c>
      <c r="N318" s="35">
        <f>IF($L318="","",SUMIFS(Data!$N$2:$N$20000,Data!$A$2:$A$20000,$L318,Data!$F$2:$F$20000,"Lay"))</f>
        <v/>
      </c>
      <c r="O318" s="35">
        <f>IF($L318="","",M318+N318)</f>
        <v/>
      </c>
      <c r="P318" s="35">
        <f>IF($L318="","",SUMIFS(Data!$N$2:$N$20000,Data!$A$2:$A$20000,"&lt;="&amp;$L318))</f>
        <v/>
      </c>
    </row>
    <row r="319">
      <c r="L319" s="34" t="n"/>
      <c r="M319" s="35">
        <f>IF($L319="","",SUMIFS(Data!$N$2:$N$20000,Data!$A$2:$A$20000,$L319,Data!$F$2:$F$20000,"Bet"))</f>
        <v/>
      </c>
      <c r="N319" s="35">
        <f>IF($L319="","",SUMIFS(Data!$N$2:$N$20000,Data!$A$2:$A$20000,$L319,Data!$F$2:$F$20000,"Lay"))</f>
        <v/>
      </c>
      <c r="O319" s="35">
        <f>IF($L319="","",M319+N319)</f>
        <v/>
      </c>
      <c r="P319" s="35">
        <f>IF($L319="","",SUMIFS(Data!$N$2:$N$20000,Data!$A$2:$A$20000,"&lt;="&amp;$L319))</f>
        <v/>
      </c>
    </row>
    <row r="320">
      <c r="L320" s="34" t="n"/>
      <c r="M320" s="35">
        <f>IF($L320="","",SUMIFS(Data!$N$2:$N$20000,Data!$A$2:$A$20000,$L320,Data!$F$2:$F$20000,"Bet"))</f>
        <v/>
      </c>
      <c r="N320" s="35">
        <f>IF($L320="","",SUMIFS(Data!$N$2:$N$20000,Data!$A$2:$A$20000,$L320,Data!$F$2:$F$20000,"Lay"))</f>
        <v/>
      </c>
      <c r="O320" s="35">
        <f>IF($L320="","",M320+N320)</f>
        <v/>
      </c>
      <c r="P320" s="35">
        <f>IF($L320="","",SUMIFS(Data!$N$2:$N$20000,Data!$A$2:$A$20000,"&lt;="&amp;$L320))</f>
        <v/>
      </c>
    </row>
    <row r="321">
      <c r="L321" s="34" t="n"/>
      <c r="M321" s="35">
        <f>IF($L321="","",SUMIFS(Data!$N$2:$N$20000,Data!$A$2:$A$20000,$L321,Data!$F$2:$F$20000,"Bet"))</f>
        <v/>
      </c>
      <c r="N321" s="35">
        <f>IF($L321="","",SUMIFS(Data!$N$2:$N$20000,Data!$A$2:$A$20000,$L321,Data!$F$2:$F$20000,"Lay"))</f>
        <v/>
      </c>
      <c r="O321" s="35">
        <f>IF($L321="","",M321+N321)</f>
        <v/>
      </c>
      <c r="P321" s="35">
        <f>IF($L321="","",SUMIFS(Data!$N$2:$N$20000,Data!$A$2:$A$20000,"&lt;="&amp;$L321))</f>
        <v/>
      </c>
    </row>
    <row r="322">
      <c r="L322" s="34" t="n"/>
      <c r="M322" s="35">
        <f>IF($L322="","",SUMIFS(Data!$N$2:$N$20000,Data!$A$2:$A$20000,$L322,Data!$F$2:$F$20000,"Bet"))</f>
        <v/>
      </c>
      <c r="N322" s="35">
        <f>IF($L322="","",SUMIFS(Data!$N$2:$N$20000,Data!$A$2:$A$20000,$L322,Data!$F$2:$F$20000,"Lay"))</f>
        <v/>
      </c>
      <c r="O322" s="35">
        <f>IF($L322="","",M322+N322)</f>
        <v/>
      </c>
      <c r="P322" s="35">
        <f>IF($L322="","",SUMIFS(Data!$N$2:$N$20000,Data!$A$2:$A$20000,"&lt;="&amp;$L322))</f>
        <v/>
      </c>
    </row>
    <row r="323">
      <c r="L323" s="34" t="n"/>
      <c r="M323" s="35">
        <f>IF($L323="","",SUMIFS(Data!$N$2:$N$20000,Data!$A$2:$A$20000,$L323,Data!$F$2:$F$20000,"Bet"))</f>
        <v/>
      </c>
      <c r="N323" s="35">
        <f>IF($L323="","",SUMIFS(Data!$N$2:$N$20000,Data!$A$2:$A$20000,$L323,Data!$F$2:$F$20000,"Lay"))</f>
        <v/>
      </c>
      <c r="O323" s="35">
        <f>IF($L323="","",M323+N323)</f>
        <v/>
      </c>
      <c r="P323" s="35">
        <f>IF($L323="","",SUMIFS(Data!$N$2:$N$20000,Data!$A$2:$A$20000,"&lt;="&amp;$L323))</f>
        <v/>
      </c>
    </row>
    <row r="324">
      <c r="L324" s="34" t="n"/>
      <c r="M324" s="35">
        <f>IF($L324="","",SUMIFS(Data!$N$2:$N$20000,Data!$A$2:$A$20000,$L324,Data!$F$2:$F$20000,"Bet"))</f>
        <v/>
      </c>
      <c r="N324" s="35">
        <f>IF($L324="","",SUMIFS(Data!$N$2:$N$20000,Data!$A$2:$A$20000,$L324,Data!$F$2:$F$20000,"Lay"))</f>
        <v/>
      </c>
      <c r="O324" s="35">
        <f>IF($L324="","",M324+N324)</f>
        <v/>
      </c>
      <c r="P324" s="35">
        <f>IF($L324="","",SUMIFS(Data!$N$2:$N$20000,Data!$A$2:$A$20000,"&lt;="&amp;$L324))</f>
        <v/>
      </c>
    </row>
    <row r="325">
      <c r="L325" s="34" t="n"/>
      <c r="M325" s="35">
        <f>IF($L325="","",SUMIFS(Data!$N$2:$N$20000,Data!$A$2:$A$20000,$L325,Data!$F$2:$F$20000,"Bet"))</f>
        <v/>
      </c>
      <c r="N325" s="35">
        <f>IF($L325="","",SUMIFS(Data!$N$2:$N$20000,Data!$A$2:$A$20000,$L325,Data!$F$2:$F$20000,"Lay"))</f>
        <v/>
      </c>
      <c r="O325" s="35">
        <f>IF($L325="","",M325+N325)</f>
        <v/>
      </c>
      <c r="P325" s="35">
        <f>IF($L325="","",SUMIFS(Data!$N$2:$N$20000,Data!$A$2:$A$20000,"&lt;="&amp;$L325))</f>
        <v/>
      </c>
    </row>
    <row r="326">
      <c r="L326" s="34" t="n"/>
      <c r="M326" s="35">
        <f>IF($L326="","",SUMIFS(Data!$N$2:$N$20000,Data!$A$2:$A$20000,$L326,Data!$F$2:$F$20000,"Bet"))</f>
        <v/>
      </c>
      <c r="N326" s="35">
        <f>IF($L326="","",SUMIFS(Data!$N$2:$N$20000,Data!$A$2:$A$20000,$L326,Data!$F$2:$F$20000,"Lay"))</f>
        <v/>
      </c>
      <c r="O326" s="35">
        <f>IF($L326="","",M326+N326)</f>
        <v/>
      </c>
      <c r="P326" s="35">
        <f>IF($L326="","",SUMIFS(Data!$N$2:$N$20000,Data!$A$2:$A$20000,"&lt;="&amp;$L326))</f>
        <v/>
      </c>
    </row>
    <row r="327">
      <c r="L327" s="34" t="n"/>
      <c r="M327" s="35">
        <f>IF($L327="","",SUMIFS(Data!$N$2:$N$20000,Data!$A$2:$A$20000,$L327,Data!$F$2:$F$20000,"Bet"))</f>
        <v/>
      </c>
      <c r="N327" s="35">
        <f>IF($L327="","",SUMIFS(Data!$N$2:$N$20000,Data!$A$2:$A$20000,$L327,Data!$F$2:$F$20000,"Lay"))</f>
        <v/>
      </c>
      <c r="O327" s="35">
        <f>IF($L327="","",M327+N327)</f>
        <v/>
      </c>
      <c r="P327" s="35">
        <f>IF($L327="","",SUMIFS(Data!$N$2:$N$20000,Data!$A$2:$A$20000,"&lt;="&amp;$L327))</f>
        <v/>
      </c>
    </row>
    <row r="328">
      <c r="L328" s="34" t="n"/>
      <c r="M328" s="35">
        <f>IF($L328="","",SUMIFS(Data!$N$2:$N$20000,Data!$A$2:$A$20000,$L328,Data!$F$2:$F$20000,"Bet"))</f>
        <v/>
      </c>
      <c r="N328" s="35">
        <f>IF($L328="","",SUMIFS(Data!$N$2:$N$20000,Data!$A$2:$A$20000,$L328,Data!$F$2:$F$20000,"Lay"))</f>
        <v/>
      </c>
      <c r="O328" s="35">
        <f>IF($L328="","",M328+N328)</f>
        <v/>
      </c>
      <c r="P328" s="35">
        <f>IF($L328="","",SUMIFS(Data!$N$2:$N$20000,Data!$A$2:$A$20000,"&lt;="&amp;$L328))</f>
        <v/>
      </c>
    </row>
    <row r="329">
      <c r="L329" s="34" t="n"/>
      <c r="M329" s="35">
        <f>IF($L329="","",SUMIFS(Data!$N$2:$N$20000,Data!$A$2:$A$20000,$L329,Data!$F$2:$F$20000,"Bet"))</f>
        <v/>
      </c>
      <c r="N329" s="35">
        <f>IF($L329="","",SUMIFS(Data!$N$2:$N$20000,Data!$A$2:$A$20000,$L329,Data!$F$2:$F$20000,"Lay"))</f>
        <v/>
      </c>
      <c r="O329" s="35">
        <f>IF($L329="","",M329+N329)</f>
        <v/>
      </c>
      <c r="P329" s="35">
        <f>IF($L329="","",SUMIFS(Data!$N$2:$N$20000,Data!$A$2:$A$20000,"&lt;="&amp;$L329))</f>
        <v/>
      </c>
    </row>
    <row r="330">
      <c r="L330" s="34" t="n"/>
      <c r="M330" s="35">
        <f>IF($L330="","",SUMIFS(Data!$N$2:$N$20000,Data!$A$2:$A$20000,$L330,Data!$F$2:$F$20000,"Bet"))</f>
        <v/>
      </c>
      <c r="N330" s="35">
        <f>IF($L330="","",SUMIFS(Data!$N$2:$N$20000,Data!$A$2:$A$20000,$L330,Data!$F$2:$F$20000,"Lay"))</f>
        <v/>
      </c>
      <c r="O330" s="35">
        <f>IF($L330="","",M330+N330)</f>
        <v/>
      </c>
      <c r="P330" s="35">
        <f>IF($L330="","",SUMIFS(Data!$N$2:$N$20000,Data!$A$2:$A$20000,"&lt;="&amp;$L330))</f>
        <v/>
      </c>
    </row>
    <row r="331">
      <c r="L331" s="34" t="n"/>
      <c r="M331" s="35">
        <f>IF($L331="","",SUMIFS(Data!$N$2:$N$20000,Data!$A$2:$A$20000,$L331,Data!$F$2:$F$20000,"Bet"))</f>
        <v/>
      </c>
      <c r="N331" s="35">
        <f>IF($L331="","",SUMIFS(Data!$N$2:$N$20000,Data!$A$2:$A$20000,$L331,Data!$F$2:$F$20000,"Lay"))</f>
        <v/>
      </c>
      <c r="O331" s="35">
        <f>IF($L331="","",M331+N331)</f>
        <v/>
      </c>
      <c r="P331" s="35">
        <f>IF($L331="","",SUMIFS(Data!$N$2:$N$20000,Data!$A$2:$A$20000,"&lt;="&amp;$L331))</f>
        <v/>
      </c>
    </row>
    <row r="332">
      <c r="L332" s="34" t="n"/>
      <c r="M332" s="35">
        <f>IF($L332="","",SUMIFS(Data!$N$2:$N$20000,Data!$A$2:$A$20000,$L332,Data!$F$2:$F$20000,"Bet"))</f>
        <v/>
      </c>
      <c r="N332" s="35">
        <f>IF($L332="","",SUMIFS(Data!$N$2:$N$20000,Data!$A$2:$A$20000,$L332,Data!$F$2:$F$20000,"Lay"))</f>
        <v/>
      </c>
      <c r="O332" s="35">
        <f>IF($L332="","",M332+N332)</f>
        <v/>
      </c>
      <c r="P332" s="35">
        <f>IF($L332="","",SUMIFS(Data!$N$2:$N$20000,Data!$A$2:$A$20000,"&lt;="&amp;$L332))</f>
        <v/>
      </c>
    </row>
    <row r="333">
      <c r="L333" s="34" t="n"/>
      <c r="M333" s="35">
        <f>IF($L333="","",SUMIFS(Data!$N$2:$N$20000,Data!$A$2:$A$20000,$L333,Data!$F$2:$F$20000,"Bet"))</f>
        <v/>
      </c>
      <c r="N333" s="35">
        <f>IF($L333="","",SUMIFS(Data!$N$2:$N$20000,Data!$A$2:$A$20000,$L333,Data!$F$2:$F$20000,"Lay"))</f>
        <v/>
      </c>
      <c r="O333" s="35">
        <f>IF($L333="","",M333+N333)</f>
        <v/>
      </c>
      <c r="P333" s="35">
        <f>IF($L333="","",SUMIFS(Data!$N$2:$N$20000,Data!$A$2:$A$20000,"&lt;="&amp;$L333))</f>
        <v/>
      </c>
    </row>
    <row r="334">
      <c r="L334" s="34" t="n"/>
      <c r="M334" s="35">
        <f>IF($L334="","",SUMIFS(Data!$N$2:$N$20000,Data!$A$2:$A$20000,$L334,Data!$F$2:$F$20000,"Bet"))</f>
        <v/>
      </c>
      <c r="N334" s="35">
        <f>IF($L334="","",SUMIFS(Data!$N$2:$N$20000,Data!$A$2:$A$20000,$L334,Data!$F$2:$F$20000,"Lay"))</f>
        <v/>
      </c>
      <c r="O334" s="35">
        <f>IF($L334="","",M334+N334)</f>
        <v/>
      </c>
      <c r="P334" s="35">
        <f>IF($L334="","",SUMIFS(Data!$N$2:$N$20000,Data!$A$2:$A$20000,"&lt;="&amp;$L334))</f>
        <v/>
      </c>
    </row>
    <row r="335">
      <c r="L335" s="34" t="n"/>
      <c r="M335" s="35">
        <f>IF($L335="","",SUMIFS(Data!$N$2:$N$20000,Data!$A$2:$A$20000,$L335,Data!$F$2:$F$20000,"Bet"))</f>
        <v/>
      </c>
      <c r="N335" s="35">
        <f>IF($L335="","",SUMIFS(Data!$N$2:$N$20000,Data!$A$2:$A$20000,$L335,Data!$F$2:$F$20000,"Lay"))</f>
        <v/>
      </c>
      <c r="O335" s="35">
        <f>IF($L335="","",M335+N335)</f>
        <v/>
      </c>
      <c r="P335" s="35">
        <f>IF($L335="","",SUMIFS(Data!$N$2:$N$20000,Data!$A$2:$A$20000,"&lt;="&amp;$L335))</f>
        <v/>
      </c>
    </row>
    <row r="336">
      <c r="L336" s="34" t="n"/>
      <c r="M336" s="35">
        <f>IF($L336="","",SUMIFS(Data!$N$2:$N$20000,Data!$A$2:$A$20000,$L336,Data!$F$2:$F$20000,"Bet"))</f>
        <v/>
      </c>
      <c r="N336" s="35">
        <f>IF($L336="","",SUMIFS(Data!$N$2:$N$20000,Data!$A$2:$A$20000,$L336,Data!$F$2:$F$20000,"Lay"))</f>
        <v/>
      </c>
      <c r="O336" s="35">
        <f>IF($L336="","",M336+N336)</f>
        <v/>
      </c>
      <c r="P336" s="35">
        <f>IF($L336="","",SUMIFS(Data!$N$2:$N$20000,Data!$A$2:$A$20000,"&lt;="&amp;$L336))</f>
        <v/>
      </c>
    </row>
    <row r="337">
      <c r="L337" s="34" t="n"/>
      <c r="M337" s="35">
        <f>IF($L337="","",SUMIFS(Data!$N$2:$N$20000,Data!$A$2:$A$20000,$L337,Data!$F$2:$F$20000,"Bet"))</f>
        <v/>
      </c>
      <c r="N337" s="35">
        <f>IF($L337="","",SUMIFS(Data!$N$2:$N$20000,Data!$A$2:$A$20000,$L337,Data!$F$2:$F$20000,"Lay"))</f>
        <v/>
      </c>
      <c r="O337" s="35">
        <f>IF($L337="","",M337+N337)</f>
        <v/>
      </c>
      <c r="P337" s="35">
        <f>IF($L337="","",SUMIFS(Data!$N$2:$N$20000,Data!$A$2:$A$20000,"&lt;="&amp;$L337))</f>
        <v/>
      </c>
    </row>
    <row r="338">
      <c r="L338" s="34" t="n"/>
      <c r="M338" s="35">
        <f>IF($L338="","",SUMIFS(Data!$N$2:$N$20000,Data!$A$2:$A$20000,$L338,Data!$F$2:$F$20000,"Bet"))</f>
        <v/>
      </c>
      <c r="N338" s="35">
        <f>IF($L338="","",SUMIFS(Data!$N$2:$N$20000,Data!$A$2:$A$20000,$L338,Data!$F$2:$F$20000,"Lay"))</f>
        <v/>
      </c>
      <c r="O338" s="35">
        <f>IF($L338="","",M338+N338)</f>
        <v/>
      </c>
      <c r="P338" s="35">
        <f>IF($L338="","",SUMIFS(Data!$N$2:$N$20000,Data!$A$2:$A$20000,"&lt;="&amp;$L338))</f>
        <v/>
      </c>
    </row>
    <row r="339">
      <c r="L339" s="34" t="n"/>
      <c r="M339" s="35">
        <f>IF($L339="","",SUMIFS(Data!$N$2:$N$20000,Data!$A$2:$A$20000,$L339,Data!$F$2:$F$20000,"Bet"))</f>
        <v/>
      </c>
      <c r="N339" s="35">
        <f>IF($L339="","",SUMIFS(Data!$N$2:$N$20000,Data!$A$2:$A$20000,$L339,Data!$F$2:$F$20000,"Lay"))</f>
        <v/>
      </c>
      <c r="O339" s="35">
        <f>IF($L339="","",M339+N339)</f>
        <v/>
      </c>
      <c r="P339" s="35">
        <f>IF($L339="","",SUMIFS(Data!$N$2:$N$20000,Data!$A$2:$A$20000,"&lt;="&amp;$L339))</f>
        <v/>
      </c>
    </row>
    <row r="340">
      <c r="L340" s="34" t="n"/>
      <c r="M340" s="35">
        <f>IF($L340="","",SUMIFS(Data!$N$2:$N$20000,Data!$A$2:$A$20000,$L340,Data!$F$2:$F$20000,"Bet"))</f>
        <v/>
      </c>
      <c r="N340" s="35">
        <f>IF($L340="","",SUMIFS(Data!$N$2:$N$20000,Data!$A$2:$A$20000,$L340,Data!$F$2:$F$20000,"Lay"))</f>
        <v/>
      </c>
      <c r="O340" s="35">
        <f>IF($L340="","",M340+N340)</f>
        <v/>
      </c>
      <c r="P340" s="35">
        <f>IF($L340="","",SUMIFS(Data!$N$2:$N$20000,Data!$A$2:$A$20000,"&lt;="&amp;$L340))</f>
        <v/>
      </c>
    </row>
    <row r="341">
      <c r="L341" s="34" t="n"/>
      <c r="M341" s="35">
        <f>IF($L341="","",SUMIFS(Data!$N$2:$N$20000,Data!$A$2:$A$20000,$L341,Data!$F$2:$F$20000,"Bet"))</f>
        <v/>
      </c>
      <c r="N341" s="35">
        <f>IF($L341="","",SUMIFS(Data!$N$2:$N$20000,Data!$A$2:$A$20000,$L341,Data!$F$2:$F$20000,"Lay"))</f>
        <v/>
      </c>
      <c r="O341" s="35">
        <f>IF($L341="","",M341+N341)</f>
        <v/>
      </c>
      <c r="P341" s="35">
        <f>IF($L341="","",SUMIFS(Data!$N$2:$N$20000,Data!$A$2:$A$20000,"&lt;="&amp;$L341))</f>
        <v/>
      </c>
    </row>
    <row r="342">
      <c r="L342" s="34" t="n"/>
      <c r="M342" s="35">
        <f>IF($L342="","",SUMIFS(Data!$N$2:$N$20000,Data!$A$2:$A$20000,$L342,Data!$F$2:$F$20000,"Bet"))</f>
        <v/>
      </c>
      <c r="N342" s="35">
        <f>IF($L342="","",SUMIFS(Data!$N$2:$N$20000,Data!$A$2:$A$20000,$L342,Data!$F$2:$F$20000,"Lay"))</f>
        <v/>
      </c>
      <c r="O342" s="35">
        <f>IF($L342="","",M342+N342)</f>
        <v/>
      </c>
      <c r="P342" s="35">
        <f>IF($L342="","",SUMIFS(Data!$N$2:$N$20000,Data!$A$2:$A$20000,"&lt;="&amp;$L342))</f>
        <v/>
      </c>
    </row>
    <row r="343">
      <c r="L343" s="34" t="n"/>
      <c r="M343" s="35">
        <f>IF($L343="","",SUMIFS(Data!$N$2:$N$20000,Data!$A$2:$A$20000,$L343,Data!$F$2:$F$20000,"Bet"))</f>
        <v/>
      </c>
      <c r="N343" s="35">
        <f>IF($L343="","",SUMIFS(Data!$N$2:$N$20000,Data!$A$2:$A$20000,$L343,Data!$F$2:$F$20000,"Lay"))</f>
        <v/>
      </c>
      <c r="O343" s="35">
        <f>IF($L343="","",M343+N343)</f>
        <v/>
      </c>
      <c r="P343" s="35">
        <f>IF($L343="","",SUMIFS(Data!$N$2:$N$20000,Data!$A$2:$A$20000,"&lt;="&amp;$L343))</f>
        <v/>
      </c>
    </row>
    <row r="344">
      <c r="L344" s="34" t="n"/>
      <c r="M344" s="35">
        <f>IF($L344="","",SUMIFS(Data!$N$2:$N$20000,Data!$A$2:$A$20000,$L344,Data!$F$2:$F$20000,"Bet"))</f>
        <v/>
      </c>
      <c r="N344" s="35">
        <f>IF($L344="","",SUMIFS(Data!$N$2:$N$20000,Data!$A$2:$A$20000,$L344,Data!$F$2:$F$20000,"Lay"))</f>
        <v/>
      </c>
      <c r="O344" s="35">
        <f>IF($L344="","",M344+N344)</f>
        <v/>
      </c>
      <c r="P344" s="35">
        <f>IF($L344="","",SUMIFS(Data!$N$2:$N$20000,Data!$A$2:$A$20000,"&lt;="&amp;$L344))</f>
        <v/>
      </c>
    </row>
    <row r="345">
      <c r="L345" s="34" t="n"/>
      <c r="M345" s="35">
        <f>IF($L345="","",SUMIFS(Data!$N$2:$N$20000,Data!$A$2:$A$20000,$L345,Data!$F$2:$F$20000,"Bet"))</f>
        <v/>
      </c>
      <c r="N345" s="35">
        <f>IF($L345="","",SUMIFS(Data!$N$2:$N$20000,Data!$A$2:$A$20000,$L345,Data!$F$2:$F$20000,"Lay"))</f>
        <v/>
      </c>
      <c r="O345" s="35">
        <f>IF($L345="","",M345+N345)</f>
        <v/>
      </c>
      <c r="P345" s="35">
        <f>IF($L345="","",SUMIFS(Data!$N$2:$N$20000,Data!$A$2:$A$20000,"&lt;="&amp;$L345))</f>
        <v/>
      </c>
    </row>
    <row r="346">
      <c r="L346" s="34" t="n"/>
      <c r="M346" s="35">
        <f>IF($L346="","",SUMIFS(Data!$N$2:$N$20000,Data!$A$2:$A$20000,$L346,Data!$F$2:$F$20000,"Bet"))</f>
        <v/>
      </c>
      <c r="N346" s="35">
        <f>IF($L346="","",SUMIFS(Data!$N$2:$N$20000,Data!$A$2:$A$20000,$L346,Data!$F$2:$F$20000,"Lay"))</f>
        <v/>
      </c>
      <c r="O346" s="35">
        <f>IF($L346="","",M346+N346)</f>
        <v/>
      </c>
      <c r="P346" s="35">
        <f>IF($L346="","",SUMIFS(Data!$N$2:$N$20000,Data!$A$2:$A$20000,"&lt;="&amp;$L346))</f>
        <v/>
      </c>
    </row>
    <row r="347">
      <c r="L347" s="34" t="n"/>
      <c r="M347" s="35">
        <f>IF($L347="","",SUMIFS(Data!$N$2:$N$20000,Data!$A$2:$A$20000,$L347,Data!$F$2:$F$20000,"Bet"))</f>
        <v/>
      </c>
      <c r="N347" s="35">
        <f>IF($L347="","",SUMIFS(Data!$N$2:$N$20000,Data!$A$2:$A$20000,$L347,Data!$F$2:$F$20000,"Lay"))</f>
        <v/>
      </c>
      <c r="O347" s="35">
        <f>IF($L347="","",M347+N347)</f>
        <v/>
      </c>
      <c r="P347" s="35">
        <f>IF($L347="","",SUMIFS(Data!$N$2:$N$20000,Data!$A$2:$A$20000,"&lt;="&amp;$L347))</f>
        <v/>
      </c>
    </row>
    <row r="348">
      <c r="L348" s="34" t="n"/>
      <c r="M348" s="35">
        <f>IF($L348="","",SUMIFS(Data!$N$2:$N$20000,Data!$A$2:$A$20000,$L348,Data!$F$2:$F$20000,"Bet"))</f>
        <v/>
      </c>
      <c r="N348" s="35">
        <f>IF($L348="","",SUMIFS(Data!$N$2:$N$20000,Data!$A$2:$A$20000,$L348,Data!$F$2:$F$20000,"Lay"))</f>
        <v/>
      </c>
      <c r="O348" s="35">
        <f>IF($L348="","",M348+N348)</f>
        <v/>
      </c>
      <c r="P348" s="35">
        <f>IF($L348="","",SUMIFS(Data!$N$2:$N$20000,Data!$A$2:$A$20000,"&lt;="&amp;$L348))</f>
        <v/>
      </c>
    </row>
    <row r="349">
      <c r="L349" s="34" t="n"/>
      <c r="M349" s="35">
        <f>IF($L349="","",SUMIFS(Data!$N$2:$N$20000,Data!$A$2:$A$20000,$L349,Data!$F$2:$F$20000,"Bet"))</f>
        <v/>
      </c>
      <c r="N349" s="35">
        <f>IF($L349="","",SUMIFS(Data!$N$2:$N$20000,Data!$A$2:$A$20000,$L349,Data!$F$2:$F$20000,"Lay"))</f>
        <v/>
      </c>
      <c r="O349" s="35">
        <f>IF($L349="","",M349+N349)</f>
        <v/>
      </c>
      <c r="P349" s="35">
        <f>IF($L349="","",SUMIFS(Data!$N$2:$N$20000,Data!$A$2:$A$20000,"&lt;="&amp;$L349))</f>
        <v/>
      </c>
    </row>
    <row r="350">
      <c r="L350" s="34" t="n"/>
      <c r="M350" s="35">
        <f>IF($L350="","",SUMIFS(Data!$N$2:$N$20000,Data!$A$2:$A$20000,$L350,Data!$F$2:$F$20000,"Bet"))</f>
        <v/>
      </c>
      <c r="N350" s="35">
        <f>IF($L350="","",SUMIFS(Data!$N$2:$N$20000,Data!$A$2:$A$20000,$L350,Data!$F$2:$F$20000,"Lay"))</f>
        <v/>
      </c>
      <c r="O350" s="35">
        <f>IF($L350="","",M350+N350)</f>
        <v/>
      </c>
      <c r="P350" s="35">
        <f>IF($L350="","",SUMIFS(Data!$N$2:$N$20000,Data!$A$2:$A$20000,"&lt;="&amp;$L350))</f>
        <v/>
      </c>
    </row>
    <row r="351">
      <c r="L351" s="34" t="n"/>
      <c r="M351" s="35">
        <f>IF($L351="","",SUMIFS(Data!$N$2:$N$20000,Data!$A$2:$A$20000,$L351,Data!$F$2:$F$20000,"Bet"))</f>
        <v/>
      </c>
      <c r="N351" s="35">
        <f>IF($L351="","",SUMIFS(Data!$N$2:$N$20000,Data!$A$2:$A$20000,$L351,Data!$F$2:$F$20000,"Lay"))</f>
        <v/>
      </c>
      <c r="O351" s="35">
        <f>IF($L351="","",M351+N351)</f>
        <v/>
      </c>
      <c r="P351" s="35">
        <f>IF($L351="","",SUMIFS(Data!$N$2:$N$20000,Data!$A$2:$A$20000,"&lt;="&amp;$L351))</f>
        <v/>
      </c>
    </row>
    <row r="352">
      <c r="L352" s="34" t="n"/>
      <c r="M352" s="35">
        <f>IF($L352="","",SUMIFS(Data!$N$2:$N$20000,Data!$A$2:$A$20000,$L352,Data!$F$2:$F$20000,"Bet"))</f>
        <v/>
      </c>
      <c r="N352" s="35">
        <f>IF($L352="","",SUMIFS(Data!$N$2:$N$20000,Data!$A$2:$A$20000,$L352,Data!$F$2:$F$20000,"Lay"))</f>
        <v/>
      </c>
      <c r="O352" s="35">
        <f>IF($L352="","",M352+N352)</f>
        <v/>
      </c>
      <c r="P352" s="35">
        <f>IF($L352="","",SUMIFS(Data!$N$2:$N$20000,Data!$A$2:$A$20000,"&lt;="&amp;$L352))</f>
        <v/>
      </c>
    </row>
    <row r="353">
      <c r="L353" s="34" t="n"/>
      <c r="M353" s="35">
        <f>IF($L353="","",SUMIFS(Data!$N$2:$N$20000,Data!$A$2:$A$20000,$L353,Data!$F$2:$F$20000,"Bet"))</f>
        <v/>
      </c>
      <c r="N353" s="35">
        <f>IF($L353="","",SUMIFS(Data!$N$2:$N$20000,Data!$A$2:$A$20000,$L353,Data!$F$2:$F$20000,"Lay"))</f>
        <v/>
      </c>
      <c r="O353" s="35">
        <f>IF($L353="","",M353+N353)</f>
        <v/>
      </c>
      <c r="P353" s="35">
        <f>IF($L353="","",SUMIFS(Data!$N$2:$N$20000,Data!$A$2:$A$20000,"&lt;="&amp;$L353))</f>
        <v/>
      </c>
    </row>
    <row r="354">
      <c r="L354" s="34" t="n"/>
      <c r="M354" s="35">
        <f>IF($L354="","",SUMIFS(Data!$N$2:$N$20000,Data!$A$2:$A$20000,$L354,Data!$F$2:$F$20000,"Bet"))</f>
        <v/>
      </c>
      <c r="N354" s="35">
        <f>IF($L354="","",SUMIFS(Data!$N$2:$N$20000,Data!$A$2:$A$20000,$L354,Data!$F$2:$F$20000,"Lay"))</f>
        <v/>
      </c>
      <c r="O354" s="35">
        <f>IF($L354="","",M354+N354)</f>
        <v/>
      </c>
      <c r="P354" s="35">
        <f>IF($L354="","",SUMIFS(Data!$N$2:$N$20000,Data!$A$2:$A$20000,"&lt;="&amp;$L354))</f>
        <v/>
      </c>
    </row>
    <row r="355">
      <c r="L355" s="34" t="n"/>
      <c r="M355" s="35">
        <f>IF($L355="","",SUMIFS(Data!$N$2:$N$20000,Data!$A$2:$A$20000,$L355,Data!$F$2:$F$20000,"Bet"))</f>
        <v/>
      </c>
      <c r="N355" s="35">
        <f>IF($L355="","",SUMIFS(Data!$N$2:$N$20000,Data!$A$2:$A$20000,$L355,Data!$F$2:$F$20000,"Lay"))</f>
        <v/>
      </c>
      <c r="O355" s="35">
        <f>IF($L355="","",M355+N355)</f>
        <v/>
      </c>
      <c r="P355" s="35">
        <f>IF($L355="","",SUMIFS(Data!$N$2:$N$20000,Data!$A$2:$A$20000,"&lt;="&amp;$L355))</f>
        <v/>
      </c>
    </row>
    <row r="356">
      <c r="L356" s="34" t="n"/>
      <c r="M356" s="35">
        <f>IF($L356="","",SUMIFS(Data!$N$2:$N$20000,Data!$A$2:$A$20000,$L356,Data!$F$2:$F$20000,"Bet"))</f>
        <v/>
      </c>
      <c r="N356" s="35">
        <f>IF($L356="","",SUMIFS(Data!$N$2:$N$20000,Data!$A$2:$A$20000,$L356,Data!$F$2:$F$20000,"Lay"))</f>
        <v/>
      </c>
      <c r="O356" s="35">
        <f>IF($L356="","",M356+N356)</f>
        <v/>
      </c>
      <c r="P356" s="35">
        <f>IF($L356="","",SUMIFS(Data!$N$2:$N$20000,Data!$A$2:$A$20000,"&lt;="&amp;$L356))</f>
        <v/>
      </c>
    </row>
    <row r="357">
      <c r="L357" s="34" t="n"/>
      <c r="M357" s="35">
        <f>IF($L357="","",SUMIFS(Data!$N$2:$N$20000,Data!$A$2:$A$20000,$L357,Data!$F$2:$F$20000,"Bet"))</f>
        <v/>
      </c>
      <c r="N357" s="35">
        <f>IF($L357="","",SUMIFS(Data!$N$2:$N$20000,Data!$A$2:$A$20000,$L357,Data!$F$2:$F$20000,"Lay"))</f>
        <v/>
      </c>
      <c r="O357" s="35">
        <f>IF($L357="","",M357+N357)</f>
        <v/>
      </c>
      <c r="P357" s="35">
        <f>IF($L357="","",SUMIFS(Data!$N$2:$N$20000,Data!$A$2:$A$20000,"&lt;="&amp;$L357))</f>
        <v/>
      </c>
    </row>
    <row r="358">
      <c r="L358" s="34" t="n"/>
      <c r="M358" s="35">
        <f>IF($L358="","",SUMIFS(Data!$N$2:$N$20000,Data!$A$2:$A$20000,$L358,Data!$F$2:$F$20000,"Bet"))</f>
        <v/>
      </c>
      <c r="N358" s="35">
        <f>IF($L358="","",SUMIFS(Data!$N$2:$N$20000,Data!$A$2:$A$20000,$L358,Data!$F$2:$F$20000,"Lay"))</f>
        <v/>
      </c>
      <c r="O358" s="35">
        <f>IF($L358="","",M358+N358)</f>
        <v/>
      </c>
      <c r="P358" s="35">
        <f>IF($L358="","",SUMIFS(Data!$N$2:$N$20000,Data!$A$2:$A$20000,"&lt;="&amp;$L358))</f>
        <v/>
      </c>
    </row>
    <row r="359">
      <c r="L359" s="34" t="n"/>
      <c r="M359" s="35">
        <f>IF($L359="","",SUMIFS(Data!$N$2:$N$20000,Data!$A$2:$A$20000,$L359,Data!$F$2:$F$20000,"Bet"))</f>
        <v/>
      </c>
      <c r="N359" s="35">
        <f>IF($L359="","",SUMIFS(Data!$N$2:$N$20000,Data!$A$2:$A$20000,$L359,Data!$F$2:$F$20000,"Lay"))</f>
        <v/>
      </c>
      <c r="O359" s="35">
        <f>IF($L359="","",M359+N359)</f>
        <v/>
      </c>
      <c r="P359" s="35">
        <f>IF($L359="","",SUMIFS(Data!$N$2:$N$20000,Data!$A$2:$A$20000,"&lt;="&amp;$L359))</f>
        <v/>
      </c>
    </row>
    <row r="360">
      <c r="L360" s="34" t="n"/>
      <c r="M360" s="35">
        <f>IF($L360="","",SUMIFS(Data!$N$2:$N$20000,Data!$A$2:$A$20000,$L360,Data!$F$2:$F$20000,"Bet"))</f>
        <v/>
      </c>
      <c r="N360" s="35">
        <f>IF($L360="","",SUMIFS(Data!$N$2:$N$20000,Data!$A$2:$A$20000,$L360,Data!$F$2:$F$20000,"Lay"))</f>
        <v/>
      </c>
      <c r="O360" s="35">
        <f>IF($L360="","",M360+N360)</f>
        <v/>
      </c>
      <c r="P360" s="35">
        <f>IF($L360="","",SUMIFS(Data!$N$2:$N$20000,Data!$A$2:$A$20000,"&lt;="&amp;$L360))</f>
        <v/>
      </c>
    </row>
    <row r="361">
      <c r="L361" s="34" t="n"/>
      <c r="M361" s="35">
        <f>IF($L361="","",SUMIFS(Data!$N$2:$N$20000,Data!$A$2:$A$20000,$L361,Data!$F$2:$F$20000,"Bet"))</f>
        <v/>
      </c>
      <c r="N361" s="35">
        <f>IF($L361="","",SUMIFS(Data!$N$2:$N$20000,Data!$A$2:$A$20000,$L361,Data!$F$2:$F$20000,"Lay"))</f>
        <v/>
      </c>
      <c r="O361" s="35">
        <f>IF($L361="","",M361+N361)</f>
        <v/>
      </c>
      <c r="P361" s="35">
        <f>IF($L361="","",SUMIFS(Data!$N$2:$N$20000,Data!$A$2:$A$20000,"&lt;="&amp;$L361))</f>
        <v/>
      </c>
    </row>
    <row r="362">
      <c r="L362" s="34" t="n"/>
      <c r="M362" s="35">
        <f>IF($L362="","",SUMIFS(Data!$N$2:$N$20000,Data!$A$2:$A$20000,$L362,Data!$F$2:$F$20000,"Bet"))</f>
        <v/>
      </c>
      <c r="N362" s="35">
        <f>IF($L362="","",SUMIFS(Data!$N$2:$N$20000,Data!$A$2:$A$20000,$L362,Data!$F$2:$F$20000,"Lay"))</f>
        <v/>
      </c>
      <c r="O362" s="35">
        <f>IF($L362="","",M362+N362)</f>
        <v/>
      </c>
      <c r="P362" s="35">
        <f>IF($L362="","",SUMIFS(Data!$N$2:$N$20000,Data!$A$2:$A$20000,"&lt;="&amp;$L362))</f>
        <v/>
      </c>
    </row>
    <row r="363">
      <c r="L363" s="34" t="n"/>
      <c r="M363" s="35">
        <f>IF($L363="","",SUMIFS(Data!$N$2:$N$20000,Data!$A$2:$A$20000,$L363,Data!$F$2:$F$20000,"Bet"))</f>
        <v/>
      </c>
      <c r="N363" s="35">
        <f>IF($L363="","",SUMIFS(Data!$N$2:$N$20000,Data!$A$2:$A$20000,$L363,Data!$F$2:$F$20000,"Lay"))</f>
        <v/>
      </c>
      <c r="O363" s="35">
        <f>IF($L363="","",M363+N363)</f>
        <v/>
      </c>
      <c r="P363" s="35">
        <f>IF($L363="","",SUMIFS(Data!$N$2:$N$20000,Data!$A$2:$A$20000,"&lt;="&amp;$L363))</f>
        <v/>
      </c>
    </row>
    <row r="364">
      <c r="L364" s="34" t="n"/>
      <c r="M364" s="35">
        <f>IF($L364="","",SUMIFS(Data!$N$2:$N$20000,Data!$A$2:$A$20000,$L364,Data!$F$2:$F$20000,"Bet"))</f>
        <v/>
      </c>
      <c r="N364" s="35">
        <f>IF($L364="","",SUMIFS(Data!$N$2:$N$20000,Data!$A$2:$A$20000,$L364,Data!$F$2:$F$20000,"Lay"))</f>
        <v/>
      </c>
      <c r="O364" s="35">
        <f>IF($L364="","",M364+N364)</f>
        <v/>
      </c>
      <c r="P364" s="35">
        <f>IF($L364="","",SUMIFS(Data!$N$2:$N$20000,Data!$A$2:$A$20000,"&lt;="&amp;$L364))</f>
        <v/>
      </c>
    </row>
    <row r="365">
      <c r="L365" s="34" t="n"/>
      <c r="M365" s="35">
        <f>IF($L365="","",SUMIFS(Data!$N$2:$N$20000,Data!$A$2:$A$20000,$L365,Data!$F$2:$F$20000,"Bet"))</f>
        <v/>
      </c>
      <c r="N365" s="35">
        <f>IF($L365="","",SUMIFS(Data!$N$2:$N$20000,Data!$A$2:$A$20000,$L365,Data!$F$2:$F$20000,"Lay"))</f>
        <v/>
      </c>
      <c r="O365" s="35">
        <f>IF($L365="","",M365+N365)</f>
        <v/>
      </c>
      <c r="P365" s="35">
        <f>IF($L365="","",SUMIFS(Data!$N$2:$N$20000,Data!$A$2:$A$20000,"&lt;="&amp;$L365))</f>
        <v/>
      </c>
    </row>
    <row r="366">
      <c r="L366" s="34" t="n"/>
      <c r="M366" s="35">
        <f>IF($L366="","",SUMIFS(Data!$N$2:$N$20000,Data!$A$2:$A$20000,$L366,Data!$F$2:$F$20000,"Bet"))</f>
        <v/>
      </c>
      <c r="N366" s="35">
        <f>IF($L366="","",SUMIFS(Data!$N$2:$N$20000,Data!$A$2:$A$20000,$L366,Data!$F$2:$F$20000,"Lay"))</f>
        <v/>
      </c>
      <c r="O366" s="35">
        <f>IF($L366="","",M366+N366)</f>
        <v/>
      </c>
      <c r="P366" s="35">
        <f>IF($L366="","",SUMIFS(Data!$N$2:$N$20000,Data!$A$2:$A$20000,"&lt;="&amp;$L366))</f>
        <v/>
      </c>
    </row>
    <row r="367">
      <c r="L367" s="34" t="n"/>
      <c r="M367" s="35">
        <f>IF($L367="","",SUMIFS(Data!$N$2:$N$20000,Data!$A$2:$A$20000,$L367,Data!$F$2:$F$20000,"Bet"))</f>
        <v/>
      </c>
      <c r="N367" s="35">
        <f>IF($L367="","",SUMIFS(Data!$N$2:$N$20000,Data!$A$2:$A$20000,$L367,Data!$F$2:$F$20000,"Lay"))</f>
        <v/>
      </c>
      <c r="O367" s="35">
        <f>IF($L367="","",M367+N367)</f>
        <v/>
      </c>
      <c r="P367" s="35">
        <f>IF($L367="","",SUMIFS(Data!$N$2:$N$20000,Data!$A$2:$A$20000,"&lt;="&amp;$L367))</f>
        <v/>
      </c>
    </row>
    <row r="368">
      <c r="L368" s="34" t="n"/>
      <c r="M368" s="35">
        <f>IF($L368="","",SUMIFS(Data!$N$2:$N$20000,Data!$A$2:$A$20000,$L368,Data!$F$2:$F$20000,"Bet"))</f>
        <v/>
      </c>
      <c r="N368" s="35">
        <f>IF($L368="","",SUMIFS(Data!$N$2:$N$20000,Data!$A$2:$A$20000,$L368,Data!$F$2:$F$20000,"Lay"))</f>
        <v/>
      </c>
      <c r="O368" s="35">
        <f>IF($L368="","",M368+N368)</f>
        <v/>
      </c>
      <c r="P368" s="35">
        <f>IF($L368="","",SUMIFS(Data!$N$2:$N$20000,Data!$A$2:$A$20000,"&lt;="&amp;$L368))</f>
        <v/>
      </c>
    </row>
    <row r="369">
      <c r="L369" s="34" t="n"/>
      <c r="M369" s="35">
        <f>IF($L369="","",SUMIFS(Data!$N$2:$N$20000,Data!$A$2:$A$20000,$L369,Data!$F$2:$F$20000,"Bet"))</f>
        <v/>
      </c>
      <c r="N369" s="35">
        <f>IF($L369="","",SUMIFS(Data!$N$2:$N$20000,Data!$A$2:$A$20000,$L369,Data!$F$2:$F$20000,"Lay"))</f>
        <v/>
      </c>
      <c r="O369" s="35">
        <f>IF($L369="","",M369+N369)</f>
        <v/>
      </c>
      <c r="P369" s="35">
        <f>IF($L369="","",SUMIFS(Data!$N$2:$N$20000,Data!$A$2:$A$20000,"&lt;="&amp;$L369))</f>
        <v/>
      </c>
    </row>
    <row r="370">
      <c r="L370" s="34" t="n"/>
      <c r="M370" s="35">
        <f>IF($L370="","",SUMIFS(Data!$N$2:$N$20000,Data!$A$2:$A$20000,$L370,Data!$F$2:$F$20000,"Bet"))</f>
        <v/>
      </c>
      <c r="N370" s="35">
        <f>IF($L370="","",SUMIFS(Data!$N$2:$N$20000,Data!$A$2:$A$20000,$L370,Data!$F$2:$F$20000,"Lay"))</f>
        <v/>
      </c>
      <c r="O370" s="35">
        <f>IF($L370="","",M370+N370)</f>
        <v/>
      </c>
      <c r="P370" s="35">
        <f>IF($L370="","",SUMIFS(Data!$N$2:$N$20000,Data!$A$2:$A$20000,"&lt;="&amp;$L370))</f>
        <v/>
      </c>
    </row>
    <row r="371">
      <c r="L371" s="34" t="n"/>
      <c r="M371" s="35">
        <f>IF($L371="","",SUMIFS(Data!$N$2:$N$20000,Data!$A$2:$A$20000,$L371,Data!$F$2:$F$20000,"Bet"))</f>
        <v/>
      </c>
      <c r="N371" s="35">
        <f>IF($L371="","",SUMIFS(Data!$N$2:$N$20000,Data!$A$2:$A$20000,$L371,Data!$F$2:$F$20000,"Lay"))</f>
        <v/>
      </c>
      <c r="O371" s="35">
        <f>IF($L371="","",M371+N371)</f>
        <v/>
      </c>
      <c r="P371" s="35">
        <f>IF($L371="","",SUMIFS(Data!$N$2:$N$20000,Data!$A$2:$A$20000,"&lt;="&amp;$L371))</f>
        <v/>
      </c>
    </row>
    <row r="372">
      <c r="L372" s="34" t="n"/>
      <c r="M372" s="35">
        <f>IF($L372="","",SUMIFS(Data!$N$2:$N$20000,Data!$A$2:$A$20000,$L372,Data!$F$2:$F$20000,"Bet"))</f>
        <v/>
      </c>
      <c r="N372" s="35">
        <f>IF($L372="","",SUMIFS(Data!$N$2:$N$20000,Data!$A$2:$A$20000,$L372,Data!$F$2:$F$20000,"Lay"))</f>
        <v/>
      </c>
      <c r="O372" s="35">
        <f>IF($L372="","",M372+N372)</f>
        <v/>
      </c>
      <c r="P372" s="35">
        <f>IF($L372="","",SUMIFS(Data!$N$2:$N$20000,Data!$A$2:$A$20000,"&lt;="&amp;$L372))</f>
        <v/>
      </c>
    </row>
    <row r="373">
      <c r="L373" s="34" t="n"/>
      <c r="M373" s="35">
        <f>IF($L373="","",SUMIFS(Data!$N$2:$N$20000,Data!$A$2:$A$20000,$L373,Data!$F$2:$F$20000,"Bet"))</f>
        <v/>
      </c>
      <c r="N373" s="35">
        <f>IF($L373="","",SUMIFS(Data!$N$2:$N$20000,Data!$A$2:$A$20000,$L373,Data!$F$2:$F$20000,"Lay"))</f>
        <v/>
      </c>
      <c r="O373" s="35">
        <f>IF($L373="","",M373+N373)</f>
        <v/>
      </c>
      <c r="P373" s="35">
        <f>IF($L373="","",SUMIFS(Data!$N$2:$N$20000,Data!$A$2:$A$20000,"&lt;="&amp;$L373))</f>
        <v/>
      </c>
    </row>
    <row r="374">
      <c r="L374" s="34" t="n"/>
      <c r="M374" s="35">
        <f>IF($L374="","",SUMIFS(Data!$N$2:$N$20000,Data!$A$2:$A$20000,$L374,Data!$F$2:$F$20000,"Bet"))</f>
        <v/>
      </c>
      <c r="N374" s="35">
        <f>IF($L374="","",SUMIFS(Data!$N$2:$N$20000,Data!$A$2:$A$20000,$L374,Data!$F$2:$F$20000,"Lay"))</f>
        <v/>
      </c>
      <c r="O374" s="35">
        <f>IF($L374="","",M374+N374)</f>
        <v/>
      </c>
      <c r="P374" s="35">
        <f>IF($L374="","",SUMIFS(Data!$N$2:$N$20000,Data!$A$2:$A$20000,"&lt;="&amp;$L374))</f>
        <v/>
      </c>
    </row>
    <row r="375">
      <c r="L375" s="34" t="n"/>
      <c r="M375" s="35">
        <f>IF($L375="","",SUMIFS(Data!$N$2:$N$20000,Data!$A$2:$A$20000,$L375,Data!$F$2:$F$20000,"Bet"))</f>
        <v/>
      </c>
      <c r="N375" s="35">
        <f>IF($L375="","",SUMIFS(Data!$N$2:$N$20000,Data!$A$2:$A$20000,$L375,Data!$F$2:$F$20000,"Lay"))</f>
        <v/>
      </c>
      <c r="O375" s="35">
        <f>IF($L375="","",M375+N375)</f>
        <v/>
      </c>
      <c r="P375" s="35">
        <f>IF($L375="","",SUMIFS(Data!$N$2:$N$20000,Data!$A$2:$A$20000,"&lt;="&amp;$L375))</f>
        <v/>
      </c>
    </row>
    <row r="376">
      <c r="L376" s="34" t="n"/>
      <c r="M376" s="35">
        <f>IF($L376="","",SUMIFS(Data!$N$2:$N$20000,Data!$A$2:$A$20000,$L376,Data!$F$2:$F$20000,"Bet"))</f>
        <v/>
      </c>
      <c r="N376" s="35">
        <f>IF($L376="","",SUMIFS(Data!$N$2:$N$20000,Data!$A$2:$A$20000,$L376,Data!$F$2:$F$20000,"Lay"))</f>
        <v/>
      </c>
      <c r="O376" s="35">
        <f>IF($L376="","",M376+N376)</f>
        <v/>
      </c>
      <c r="P376" s="35">
        <f>IF($L376="","",SUMIFS(Data!$N$2:$N$20000,Data!$A$2:$A$20000,"&lt;="&amp;$L376))</f>
        <v/>
      </c>
    </row>
    <row r="377">
      <c r="L377" s="34" t="n"/>
      <c r="M377" s="35">
        <f>IF($L377="","",SUMIFS(Data!$N$2:$N$20000,Data!$A$2:$A$20000,$L377,Data!$F$2:$F$20000,"Bet"))</f>
        <v/>
      </c>
      <c r="N377" s="35">
        <f>IF($L377="","",SUMIFS(Data!$N$2:$N$20000,Data!$A$2:$A$20000,$L377,Data!$F$2:$F$20000,"Lay"))</f>
        <v/>
      </c>
      <c r="O377" s="35">
        <f>IF($L377="","",M377+N377)</f>
        <v/>
      </c>
      <c r="P377" s="35">
        <f>IF($L377="","",SUMIFS(Data!$N$2:$N$20000,Data!$A$2:$A$20000,"&lt;="&amp;$L377))</f>
        <v/>
      </c>
    </row>
    <row r="378">
      <c r="L378" s="34" t="n"/>
      <c r="M378" s="35">
        <f>IF($L378="","",SUMIFS(Data!$N$2:$N$20000,Data!$A$2:$A$20000,$L378,Data!$F$2:$F$20000,"Bet"))</f>
        <v/>
      </c>
      <c r="N378" s="35">
        <f>IF($L378="","",SUMIFS(Data!$N$2:$N$20000,Data!$A$2:$A$20000,$L378,Data!$F$2:$F$20000,"Lay"))</f>
        <v/>
      </c>
      <c r="O378" s="35">
        <f>IF($L378="","",M378+N378)</f>
        <v/>
      </c>
      <c r="P378" s="35">
        <f>IF($L378="","",SUMIFS(Data!$N$2:$N$20000,Data!$A$2:$A$20000,"&lt;="&amp;$L378))</f>
        <v/>
      </c>
    </row>
    <row r="379">
      <c r="L379" s="34" t="n"/>
      <c r="M379" s="35">
        <f>IF($L379="","",SUMIFS(Data!$N$2:$N$20000,Data!$A$2:$A$20000,$L379,Data!$F$2:$F$20000,"Bet"))</f>
        <v/>
      </c>
      <c r="N379" s="35">
        <f>IF($L379="","",SUMIFS(Data!$N$2:$N$20000,Data!$A$2:$A$20000,$L379,Data!$F$2:$F$20000,"Lay"))</f>
        <v/>
      </c>
      <c r="O379" s="35">
        <f>IF($L379="","",M379+N379)</f>
        <v/>
      </c>
      <c r="P379" s="35">
        <f>IF($L379="","",SUMIFS(Data!$N$2:$N$20000,Data!$A$2:$A$20000,"&lt;="&amp;$L379))</f>
        <v/>
      </c>
    </row>
    <row r="380">
      <c r="L380" s="34" t="n"/>
      <c r="M380" s="35">
        <f>IF($L380="","",SUMIFS(Data!$N$2:$N$20000,Data!$A$2:$A$20000,$L380,Data!$F$2:$F$20000,"Bet"))</f>
        <v/>
      </c>
      <c r="N380" s="35">
        <f>IF($L380="","",SUMIFS(Data!$N$2:$N$20000,Data!$A$2:$A$20000,$L380,Data!$F$2:$F$20000,"Lay"))</f>
        <v/>
      </c>
      <c r="O380" s="35">
        <f>IF($L380="","",M380+N380)</f>
        <v/>
      </c>
      <c r="P380" s="35">
        <f>IF($L380="","",SUMIFS(Data!$N$2:$N$20000,Data!$A$2:$A$20000,"&lt;="&amp;$L380))</f>
        <v/>
      </c>
    </row>
    <row r="381">
      <c r="L381" s="34" t="n"/>
      <c r="M381" s="35">
        <f>IF($L381="","",SUMIFS(Data!$N$2:$N$20000,Data!$A$2:$A$20000,$L381,Data!$F$2:$F$20000,"Bet"))</f>
        <v/>
      </c>
      <c r="N381" s="35">
        <f>IF($L381="","",SUMIFS(Data!$N$2:$N$20000,Data!$A$2:$A$20000,$L381,Data!$F$2:$F$20000,"Lay"))</f>
        <v/>
      </c>
      <c r="O381" s="35">
        <f>IF($L381="","",M381+N381)</f>
        <v/>
      </c>
      <c r="P381" s="35">
        <f>IF($L381="","",SUMIFS(Data!$N$2:$N$20000,Data!$A$2:$A$20000,"&lt;="&amp;$L381))</f>
        <v/>
      </c>
    </row>
    <row r="382">
      <c r="L382" s="34" t="n"/>
      <c r="M382" s="35">
        <f>IF($L382="","",SUMIFS(Data!$N$2:$N$20000,Data!$A$2:$A$20000,$L382,Data!$F$2:$F$20000,"Bet"))</f>
        <v/>
      </c>
      <c r="N382" s="35">
        <f>IF($L382="","",SUMIFS(Data!$N$2:$N$20000,Data!$A$2:$A$20000,$L382,Data!$F$2:$F$20000,"Lay"))</f>
        <v/>
      </c>
      <c r="O382" s="35">
        <f>IF($L382="","",M382+N382)</f>
        <v/>
      </c>
      <c r="P382" s="35">
        <f>IF($L382="","",SUMIFS(Data!$N$2:$N$20000,Data!$A$2:$A$20000,"&lt;="&amp;$L382))</f>
        <v/>
      </c>
    </row>
    <row r="383">
      <c r="L383" s="34" t="n"/>
      <c r="M383" s="35">
        <f>IF($L383="","",SUMIFS(Data!$N$2:$N$20000,Data!$A$2:$A$20000,$L383,Data!$F$2:$F$20000,"Bet"))</f>
        <v/>
      </c>
      <c r="N383" s="35">
        <f>IF($L383="","",SUMIFS(Data!$N$2:$N$20000,Data!$A$2:$A$20000,$L383,Data!$F$2:$F$20000,"Lay"))</f>
        <v/>
      </c>
      <c r="O383" s="35">
        <f>IF($L383="","",M383+N383)</f>
        <v/>
      </c>
      <c r="P383" s="35">
        <f>IF($L383="","",SUMIFS(Data!$N$2:$N$20000,Data!$A$2:$A$20000,"&lt;="&amp;$L383))</f>
        <v/>
      </c>
    </row>
    <row r="384">
      <c r="L384" s="34" t="n"/>
      <c r="M384" s="35">
        <f>IF($L384="","",SUMIFS(Data!$N$2:$N$20000,Data!$A$2:$A$20000,$L384,Data!$F$2:$F$20000,"Bet"))</f>
        <v/>
      </c>
      <c r="N384" s="35">
        <f>IF($L384="","",SUMIFS(Data!$N$2:$N$20000,Data!$A$2:$A$20000,$L384,Data!$F$2:$F$20000,"Lay"))</f>
        <v/>
      </c>
      <c r="O384" s="35">
        <f>IF($L384="","",M384+N384)</f>
        <v/>
      </c>
      <c r="P384" s="35">
        <f>IF($L384="","",SUMIFS(Data!$N$2:$N$20000,Data!$A$2:$A$20000,"&lt;="&amp;$L384))</f>
        <v/>
      </c>
    </row>
    <row r="385">
      <c r="L385" s="34" t="n"/>
      <c r="M385" s="35">
        <f>IF($L385="","",SUMIFS(Data!$N$2:$N$20000,Data!$A$2:$A$20000,$L385,Data!$F$2:$F$20000,"Bet"))</f>
        <v/>
      </c>
      <c r="N385" s="35">
        <f>IF($L385="","",SUMIFS(Data!$N$2:$N$20000,Data!$A$2:$A$20000,$L385,Data!$F$2:$F$20000,"Lay"))</f>
        <v/>
      </c>
      <c r="O385" s="35">
        <f>IF($L385="","",M385+N385)</f>
        <v/>
      </c>
      <c r="P385" s="35">
        <f>IF($L385="","",SUMIFS(Data!$N$2:$N$20000,Data!$A$2:$A$20000,"&lt;="&amp;$L385))</f>
        <v/>
      </c>
    </row>
    <row r="386">
      <c r="L386" s="34" t="n"/>
      <c r="M386" s="35">
        <f>IF($L386="","",SUMIFS(Data!$N$2:$N$20000,Data!$A$2:$A$20000,$L386,Data!$F$2:$F$20000,"Bet"))</f>
        <v/>
      </c>
      <c r="N386" s="35">
        <f>IF($L386="","",SUMIFS(Data!$N$2:$N$20000,Data!$A$2:$A$20000,$L386,Data!$F$2:$F$20000,"Lay"))</f>
        <v/>
      </c>
      <c r="O386" s="35">
        <f>IF($L386="","",M386+N386)</f>
        <v/>
      </c>
      <c r="P386" s="35">
        <f>IF($L386="","",SUMIFS(Data!$N$2:$N$20000,Data!$A$2:$A$20000,"&lt;="&amp;$L386))</f>
        <v/>
      </c>
    </row>
    <row r="387">
      <c r="L387" s="34" t="n"/>
      <c r="M387" s="35">
        <f>IF($L387="","",SUMIFS(Data!$N$2:$N$20000,Data!$A$2:$A$20000,$L387,Data!$F$2:$F$20000,"Bet"))</f>
        <v/>
      </c>
      <c r="N387" s="35">
        <f>IF($L387="","",SUMIFS(Data!$N$2:$N$20000,Data!$A$2:$A$20000,$L387,Data!$F$2:$F$20000,"Lay"))</f>
        <v/>
      </c>
      <c r="O387" s="35">
        <f>IF($L387="","",M387+N387)</f>
        <v/>
      </c>
      <c r="P387" s="35">
        <f>IF($L387="","",SUMIFS(Data!$N$2:$N$20000,Data!$A$2:$A$20000,"&lt;="&amp;$L387))</f>
        <v/>
      </c>
    </row>
    <row r="388">
      <c r="L388" s="34" t="n"/>
      <c r="M388" s="35">
        <f>IF($L388="","",SUMIFS(Data!$N$2:$N$20000,Data!$A$2:$A$20000,$L388,Data!$F$2:$F$20000,"Bet"))</f>
        <v/>
      </c>
      <c r="N388" s="35">
        <f>IF($L388="","",SUMIFS(Data!$N$2:$N$20000,Data!$A$2:$A$20000,$L388,Data!$F$2:$F$20000,"Lay"))</f>
        <v/>
      </c>
      <c r="O388" s="35">
        <f>IF($L388="","",M388+N388)</f>
        <v/>
      </c>
      <c r="P388" s="35">
        <f>IF($L388="","",SUMIFS(Data!$N$2:$N$20000,Data!$A$2:$A$20000,"&lt;="&amp;$L388))</f>
        <v/>
      </c>
    </row>
    <row r="389">
      <c r="L389" s="34" t="n"/>
      <c r="M389" s="35">
        <f>IF($L389="","",SUMIFS(Data!$N$2:$N$20000,Data!$A$2:$A$20000,$L389,Data!$F$2:$F$20000,"Bet"))</f>
        <v/>
      </c>
      <c r="N389" s="35">
        <f>IF($L389="","",SUMIFS(Data!$N$2:$N$20000,Data!$A$2:$A$20000,$L389,Data!$F$2:$F$20000,"Lay"))</f>
        <v/>
      </c>
      <c r="O389" s="35">
        <f>IF($L389="","",M389+N389)</f>
        <v/>
      </c>
      <c r="P389" s="35">
        <f>IF($L389="","",SUMIFS(Data!$N$2:$N$20000,Data!$A$2:$A$20000,"&lt;="&amp;$L389))</f>
        <v/>
      </c>
    </row>
    <row r="390">
      <c r="L390" s="34" t="n"/>
      <c r="M390" s="35">
        <f>IF($L390="","",SUMIFS(Data!$N$2:$N$20000,Data!$A$2:$A$20000,$L390,Data!$F$2:$F$20000,"Bet"))</f>
        <v/>
      </c>
      <c r="N390" s="35">
        <f>IF($L390="","",SUMIFS(Data!$N$2:$N$20000,Data!$A$2:$A$20000,$L390,Data!$F$2:$F$20000,"Lay"))</f>
        <v/>
      </c>
      <c r="O390" s="35">
        <f>IF($L390="","",M390+N390)</f>
        <v/>
      </c>
      <c r="P390" s="35">
        <f>IF($L390="","",SUMIFS(Data!$N$2:$N$20000,Data!$A$2:$A$20000,"&lt;="&amp;$L390))</f>
        <v/>
      </c>
    </row>
    <row r="391">
      <c r="L391" s="34" t="n"/>
      <c r="M391" s="35">
        <f>IF($L391="","",SUMIFS(Data!$N$2:$N$20000,Data!$A$2:$A$20000,$L391,Data!$F$2:$F$20000,"Bet"))</f>
        <v/>
      </c>
      <c r="N391" s="35">
        <f>IF($L391="","",SUMIFS(Data!$N$2:$N$20000,Data!$A$2:$A$20000,$L391,Data!$F$2:$F$20000,"Lay"))</f>
        <v/>
      </c>
      <c r="O391" s="35">
        <f>IF($L391="","",M391+N391)</f>
        <v/>
      </c>
      <c r="P391" s="35">
        <f>IF($L391="","",SUMIFS(Data!$N$2:$N$20000,Data!$A$2:$A$20000,"&lt;="&amp;$L391))</f>
        <v/>
      </c>
    </row>
    <row r="392">
      <c r="L392" s="34" t="n"/>
      <c r="M392" s="35">
        <f>IF($L392="","",SUMIFS(Data!$N$2:$N$20000,Data!$A$2:$A$20000,$L392,Data!$F$2:$F$20000,"Bet"))</f>
        <v/>
      </c>
      <c r="N392" s="35">
        <f>IF($L392="","",SUMIFS(Data!$N$2:$N$20000,Data!$A$2:$A$20000,$L392,Data!$F$2:$F$20000,"Lay"))</f>
        <v/>
      </c>
      <c r="O392" s="35">
        <f>IF($L392="","",M392+N392)</f>
        <v/>
      </c>
      <c r="P392" s="35">
        <f>IF($L392="","",SUMIFS(Data!$N$2:$N$20000,Data!$A$2:$A$20000,"&lt;="&amp;$L392))</f>
        <v/>
      </c>
    </row>
    <row r="393">
      <c r="L393" s="34" t="n"/>
      <c r="M393" s="35">
        <f>IF($L393="","",SUMIFS(Data!$N$2:$N$20000,Data!$A$2:$A$20000,$L393,Data!$F$2:$F$20000,"Bet"))</f>
        <v/>
      </c>
      <c r="N393" s="35">
        <f>IF($L393="","",SUMIFS(Data!$N$2:$N$20000,Data!$A$2:$A$20000,$L393,Data!$F$2:$F$20000,"Lay"))</f>
        <v/>
      </c>
      <c r="O393" s="35">
        <f>IF($L393="","",M393+N393)</f>
        <v/>
      </c>
      <c r="P393" s="35">
        <f>IF($L393="","",SUMIFS(Data!$N$2:$N$20000,Data!$A$2:$A$20000,"&lt;="&amp;$L393))</f>
        <v/>
      </c>
    </row>
    <row r="394">
      <c r="L394" s="34" t="n"/>
      <c r="M394" s="35">
        <f>IF($L394="","",SUMIFS(Data!$N$2:$N$20000,Data!$A$2:$A$20000,$L394,Data!$F$2:$F$20000,"Bet"))</f>
        <v/>
      </c>
      <c r="N394" s="35">
        <f>IF($L394="","",SUMIFS(Data!$N$2:$N$20000,Data!$A$2:$A$20000,$L394,Data!$F$2:$F$20000,"Lay"))</f>
        <v/>
      </c>
      <c r="O394" s="35">
        <f>IF($L394="","",M394+N394)</f>
        <v/>
      </c>
      <c r="P394" s="35">
        <f>IF($L394="","",SUMIFS(Data!$N$2:$N$20000,Data!$A$2:$A$20000,"&lt;="&amp;$L394))</f>
        <v/>
      </c>
    </row>
    <row r="395">
      <c r="L395" s="34" t="n"/>
      <c r="M395" s="35">
        <f>IF($L395="","",SUMIFS(Data!$N$2:$N$20000,Data!$A$2:$A$20000,$L395,Data!$F$2:$F$20000,"Bet"))</f>
        <v/>
      </c>
      <c r="N395" s="35">
        <f>IF($L395="","",SUMIFS(Data!$N$2:$N$20000,Data!$A$2:$A$20000,$L395,Data!$F$2:$F$20000,"Lay"))</f>
        <v/>
      </c>
      <c r="O395" s="35">
        <f>IF($L395="","",M395+N395)</f>
        <v/>
      </c>
      <c r="P395" s="35">
        <f>IF($L395="","",SUMIFS(Data!$N$2:$N$20000,Data!$A$2:$A$20000,"&lt;="&amp;$L395))</f>
        <v/>
      </c>
    </row>
    <row r="396">
      <c r="L396" s="34" t="n"/>
      <c r="M396" s="35">
        <f>IF($L396="","",SUMIFS(Data!$N$2:$N$20000,Data!$A$2:$A$20000,$L396,Data!$F$2:$F$20000,"Bet"))</f>
        <v/>
      </c>
      <c r="N396" s="35">
        <f>IF($L396="","",SUMIFS(Data!$N$2:$N$20000,Data!$A$2:$A$20000,$L396,Data!$F$2:$F$20000,"Lay"))</f>
        <v/>
      </c>
      <c r="O396" s="35">
        <f>IF($L396="","",M396+N396)</f>
        <v/>
      </c>
      <c r="P396" s="35">
        <f>IF($L396="","",SUMIFS(Data!$N$2:$N$20000,Data!$A$2:$A$20000,"&lt;="&amp;$L396))</f>
        <v/>
      </c>
    </row>
    <row r="397">
      <c r="L397" s="34" t="n"/>
      <c r="M397" s="35">
        <f>IF($L397="","",SUMIFS(Data!$N$2:$N$20000,Data!$A$2:$A$20000,$L397,Data!$F$2:$F$20000,"Bet"))</f>
        <v/>
      </c>
      <c r="N397" s="35">
        <f>IF($L397="","",SUMIFS(Data!$N$2:$N$20000,Data!$A$2:$A$20000,$L397,Data!$F$2:$F$20000,"Lay"))</f>
        <v/>
      </c>
      <c r="O397" s="35">
        <f>IF($L397="","",M397+N397)</f>
        <v/>
      </c>
      <c r="P397" s="35">
        <f>IF($L397="","",SUMIFS(Data!$N$2:$N$20000,Data!$A$2:$A$20000,"&lt;="&amp;$L397))</f>
        <v/>
      </c>
    </row>
    <row r="398">
      <c r="L398" s="34" t="n"/>
      <c r="M398" s="35">
        <f>IF($L398="","",SUMIFS(Data!$N$2:$N$20000,Data!$A$2:$A$20000,$L398,Data!$F$2:$F$20000,"Bet"))</f>
        <v/>
      </c>
      <c r="N398" s="35">
        <f>IF($L398="","",SUMIFS(Data!$N$2:$N$20000,Data!$A$2:$A$20000,$L398,Data!$F$2:$F$20000,"Lay"))</f>
        <v/>
      </c>
      <c r="O398" s="35">
        <f>IF($L398="","",M398+N398)</f>
        <v/>
      </c>
      <c r="P398" s="35">
        <f>IF($L398="","",SUMIFS(Data!$N$2:$N$20000,Data!$A$2:$A$20000,"&lt;="&amp;$L398))</f>
        <v/>
      </c>
    </row>
    <row r="399">
      <c r="L399" s="34" t="n"/>
      <c r="M399" s="35">
        <f>IF($L399="","",SUMIFS(Data!$N$2:$N$20000,Data!$A$2:$A$20000,$L399,Data!$F$2:$F$20000,"Bet"))</f>
        <v/>
      </c>
      <c r="N399" s="35">
        <f>IF($L399="","",SUMIFS(Data!$N$2:$N$20000,Data!$A$2:$A$20000,$L399,Data!$F$2:$F$20000,"Lay"))</f>
        <v/>
      </c>
      <c r="O399" s="35">
        <f>IF($L399="","",M399+N399)</f>
        <v/>
      </c>
      <c r="P399" s="35">
        <f>IF($L399="","",SUMIFS(Data!$N$2:$N$20000,Data!$A$2:$A$20000,"&lt;="&amp;$L399))</f>
        <v/>
      </c>
    </row>
    <row r="400">
      <c r="L400" s="34" t="n"/>
      <c r="M400" s="35">
        <f>IF($L400="","",SUMIFS(Data!$N$2:$N$20000,Data!$A$2:$A$20000,$L400,Data!$F$2:$F$20000,"Bet"))</f>
        <v/>
      </c>
      <c r="N400" s="35">
        <f>IF($L400="","",SUMIFS(Data!$N$2:$N$20000,Data!$A$2:$A$20000,$L400,Data!$F$2:$F$20000,"Lay"))</f>
        <v/>
      </c>
      <c r="O400" s="35">
        <f>IF($L400="","",M400+N400)</f>
        <v/>
      </c>
      <c r="P400" s="35">
        <f>IF($L400="","",SUMIFS(Data!$N$2:$N$20000,Data!$A$2:$A$20000,"&lt;="&amp;$L400))</f>
        <v/>
      </c>
    </row>
    <row r="401">
      <c r="L401" s="34" t="n"/>
      <c r="M401" s="35">
        <f>IF($L401="","",SUMIFS(Data!$N$2:$N$20000,Data!$A$2:$A$20000,$L401,Data!$F$2:$F$20000,"Bet"))</f>
        <v/>
      </c>
      <c r="N401" s="35">
        <f>IF($L401="","",SUMIFS(Data!$N$2:$N$20000,Data!$A$2:$A$20000,$L401,Data!$F$2:$F$20000,"Lay"))</f>
        <v/>
      </c>
      <c r="O401" s="35">
        <f>IF($L401="","",M401+N401)</f>
        <v/>
      </c>
      <c r="P401" s="35">
        <f>IF($L401="","",SUMIFS(Data!$N$2:$N$20000,Data!$A$2:$A$20000,"&lt;="&amp;$L401))</f>
        <v/>
      </c>
    </row>
    <row r="402">
      <c r="L402" s="34" t="n"/>
      <c r="M402" s="35">
        <f>IF($L402="","",SUMIFS(Data!$N$2:$N$20000,Data!$A$2:$A$20000,$L402,Data!$F$2:$F$20000,"Bet"))</f>
        <v/>
      </c>
      <c r="N402" s="35">
        <f>IF($L402="","",SUMIFS(Data!$N$2:$N$20000,Data!$A$2:$A$20000,$L402,Data!$F$2:$F$20000,"Lay"))</f>
        <v/>
      </c>
      <c r="O402" s="35">
        <f>IF($L402="","",M402+N402)</f>
        <v/>
      </c>
      <c r="P402" s="35">
        <f>IF($L402="","",SUMIFS(Data!$N$2:$N$20000,Data!$A$2:$A$20000,"&lt;="&amp;$L402))</f>
        <v/>
      </c>
    </row>
    <row r="403">
      <c r="L403" s="34" t="n"/>
      <c r="M403" s="35">
        <f>IF($L403="","",SUMIFS(Data!$N$2:$N$20000,Data!$A$2:$A$20000,$L403,Data!$F$2:$F$20000,"Bet"))</f>
        <v/>
      </c>
      <c r="N403" s="35">
        <f>IF($L403="","",SUMIFS(Data!$N$2:$N$20000,Data!$A$2:$A$20000,$L403,Data!$F$2:$F$20000,"Lay"))</f>
        <v/>
      </c>
      <c r="O403" s="35">
        <f>IF($L403="","",M403+N403)</f>
        <v/>
      </c>
      <c r="P403" s="35">
        <f>IF($L403="","",SUMIFS(Data!$N$2:$N$20000,Data!$A$2:$A$20000,"&lt;="&amp;$L403))</f>
        <v/>
      </c>
    </row>
    <row r="404">
      <c r="L404" s="34" t="n"/>
      <c r="M404" s="35">
        <f>IF($L404="","",SUMIFS(Data!$N$2:$N$20000,Data!$A$2:$A$20000,$L404,Data!$F$2:$F$20000,"Bet"))</f>
        <v/>
      </c>
      <c r="N404" s="35">
        <f>IF($L404="","",SUMIFS(Data!$N$2:$N$20000,Data!$A$2:$A$20000,$L404,Data!$F$2:$F$20000,"Lay"))</f>
        <v/>
      </c>
      <c r="O404" s="35">
        <f>IF($L404="","",M404+N404)</f>
        <v/>
      </c>
      <c r="P404" s="35">
        <f>IF($L404="","",SUMIFS(Data!$N$2:$N$20000,Data!$A$2:$A$20000,"&lt;="&amp;$L404))</f>
        <v/>
      </c>
    </row>
    <row r="405">
      <c r="L405" s="34" t="n"/>
      <c r="M405" s="35">
        <f>IF($L405="","",SUMIFS(Data!$N$2:$N$20000,Data!$A$2:$A$20000,$L405,Data!$F$2:$F$20000,"Bet"))</f>
        <v/>
      </c>
      <c r="N405" s="35">
        <f>IF($L405="","",SUMIFS(Data!$N$2:$N$20000,Data!$A$2:$A$20000,$L405,Data!$F$2:$F$20000,"Lay"))</f>
        <v/>
      </c>
      <c r="O405" s="35">
        <f>IF($L405="","",M405+N405)</f>
        <v/>
      </c>
      <c r="P405" s="35">
        <f>IF($L405="","",SUMIFS(Data!$N$2:$N$20000,Data!$A$2:$A$20000,"&lt;="&amp;$L405))</f>
        <v/>
      </c>
    </row>
    <row r="406">
      <c r="L406" s="34" t="n"/>
      <c r="M406" s="35">
        <f>IF($L406="","",SUMIFS(Data!$N$2:$N$20000,Data!$A$2:$A$20000,$L406,Data!$F$2:$F$20000,"Bet"))</f>
        <v/>
      </c>
      <c r="N406" s="35">
        <f>IF($L406="","",SUMIFS(Data!$N$2:$N$20000,Data!$A$2:$A$20000,$L406,Data!$F$2:$F$20000,"Lay"))</f>
        <v/>
      </c>
      <c r="O406" s="35">
        <f>IF($L406="","",M406+N406)</f>
        <v/>
      </c>
      <c r="P406" s="35">
        <f>IF($L406="","",SUMIFS(Data!$N$2:$N$20000,Data!$A$2:$A$20000,"&lt;="&amp;$L406))</f>
        <v/>
      </c>
    </row>
    <row r="407">
      <c r="L407" s="34" t="n"/>
      <c r="M407" s="35">
        <f>IF($L407="","",SUMIFS(Data!$N$2:$N$20000,Data!$A$2:$A$20000,$L407,Data!$F$2:$F$20000,"Bet"))</f>
        <v/>
      </c>
      <c r="N407" s="35">
        <f>IF($L407="","",SUMIFS(Data!$N$2:$N$20000,Data!$A$2:$A$20000,$L407,Data!$F$2:$F$20000,"Lay"))</f>
        <v/>
      </c>
      <c r="O407" s="35">
        <f>IF($L407="","",M407+N407)</f>
        <v/>
      </c>
      <c r="P407" s="35">
        <f>IF($L407="","",SUMIFS(Data!$N$2:$N$20000,Data!$A$2:$A$20000,"&lt;="&amp;$L407))</f>
        <v/>
      </c>
    </row>
    <row r="408">
      <c r="L408" s="34" t="n"/>
      <c r="M408" s="35">
        <f>IF($L408="","",SUMIFS(Data!$N$2:$N$20000,Data!$A$2:$A$20000,$L408,Data!$F$2:$F$20000,"Bet"))</f>
        <v/>
      </c>
      <c r="N408" s="35">
        <f>IF($L408="","",SUMIFS(Data!$N$2:$N$20000,Data!$A$2:$A$20000,$L408,Data!$F$2:$F$20000,"Lay"))</f>
        <v/>
      </c>
      <c r="O408" s="35">
        <f>IF($L408="","",M408+N408)</f>
        <v/>
      </c>
      <c r="P408" s="35">
        <f>IF($L408="","",SUMIFS(Data!$N$2:$N$20000,Data!$A$2:$A$20000,"&lt;="&amp;$L408))</f>
        <v/>
      </c>
    </row>
    <row r="409">
      <c r="L409" s="34" t="n"/>
      <c r="M409" s="35">
        <f>IF($L409="","",SUMIFS(Data!$N$2:$N$20000,Data!$A$2:$A$20000,$L409,Data!$F$2:$F$20000,"Bet"))</f>
        <v/>
      </c>
      <c r="N409" s="35">
        <f>IF($L409="","",SUMIFS(Data!$N$2:$N$20000,Data!$A$2:$A$20000,$L409,Data!$F$2:$F$20000,"Lay"))</f>
        <v/>
      </c>
      <c r="O409" s="35">
        <f>IF($L409="","",M409+N409)</f>
        <v/>
      </c>
      <c r="P409" s="35">
        <f>IF($L409="","",SUMIFS(Data!$N$2:$N$20000,Data!$A$2:$A$20000,"&lt;="&amp;$L409))</f>
        <v/>
      </c>
    </row>
    <row r="410">
      <c r="L410" s="34" t="n"/>
      <c r="M410" s="35">
        <f>IF($L410="","",SUMIFS(Data!$N$2:$N$20000,Data!$A$2:$A$20000,$L410,Data!$F$2:$F$20000,"Bet"))</f>
        <v/>
      </c>
      <c r="N410" s="35">
        <f>IF($L410="","",SUMIFS(Data!$N$2:$N$20000,Data!$A$2:$A$20000,$L410,Data!$F$2:$F$20000,"Lay"))</f>
        <v/>
      </c>
      <c r="O410" s="35">
        <f>IF($L410="","",M410+N410)</f>
        <v/>
      </c>
      <c r="P410" s="35">
        <f>IF($L410="","",SUMIFS(Data!$N$2:$N$20000,Data!$A$2:$A$20000,"&lt;="&amp;$L410))</f>
        <v/>
      </c>
    </row>
    <row r="411">
      <c r="L411" s="34" t="n"/>
      <c r="M411" s="35">
        <f>IF($L411="","",SUMIFS(Data!$N$2:$N$20000,Data!$A$2:$A$20000,$L411,Data!$F$2:$F$20000,"Bet"))</f>
        <v/>
      </c>
      <c r="N411" s="35">
        <f>IF($L411="","",SUMIFS(Data!$N$2:$N$20000,Data!$A$2:$A$20000,$L411,Data!$F$2:$F$20000,"Lay"))</f>
        <v/>
      </c>
      <c r="O411" s="35">
        <f>IF($L411="","",M411+N411)</f>
        <v/>
      </c>
      <c r="P411" s="35">
        <f>IF($L411="","",SUMIFS(Data!$N$2:$N$20000,Data!$A$2:$A$20000,"&lt;="&amp;$L411))</f>
        <v/>
      </c>
    </row>
    <row r="412">
      <c r="L412" s="34" t="n"/>
      <c r="M412" s="35">
        <f>IF($L412="","",SUMIFS(Data!$N$2:$N$20000,Data!$A$2:$A$20000,$L412,Data!$F$2:$F$20000,"Bet"))</f>
        <v/>
      </c>
      <c r="N412" s="35">
        <f>IF($L412="","",SUMIFS(Data!$N$2:$N$20000,Data!$A$2:$A$20000,$L412,Data!$F$2:$F$20000,"Lay"))</f>
        <v/>
      </c>
      <c r="O412" s="35">
        <f>IF($L412="","",M412+N412)</f>
        <v/>
      </c>
      <c r="P412" s="35">
        <f>IF($L412="","",SUMIFS(Data!$N$2:$N$20000,Data!$A$2:$A$20000,"&lt;="&amp;$L412))</f>
        <v/>
      </c>
    </row>
    <row r="413">
      <c r="L413" s="34" t="n"/>
      <c r="M413" s="35">
        <f>IF($L413="","",SUMIFS(Data!$N$2:$N$20000,Data!$A$2:$A$20000,$L413,Data!$F$2:$F$20000,"Bet"))</f>
        <v/>
      </c>
      <c r="N413" s="35">
        <f>IF($L413="","",SUMIFS(Data!$N$2:$N$20000,Data!$A$2:$A$20000,$L413,Data!$F$2:$F$20000,"Lay"))</f>
        <v/>
      </c>
      <c r="O413" s="35">
        <f>IF($L413="","",M413+N413)</f>
        <v/>
      </c>
      <c r="P413" s="35">
        <f>IF($L413="","",SUMIFS(Data!$N$2:$N$20000,Data!$A$2:$A$20000,"&lt;="&amp;$L413))</f>
        <v/>
      </c>
    </row>
    <row r="414">
      <c r="L414" s="34" t="n"/>
      <c r="M414" s="35">
        <f>IF($L414="","",SUMIFS(Data!$N$2:$N$20000,Data!$A$2:$A$20000,$L414,Data!$F$2:$F$20000,"Bet"))</f>
        <v/>
      </c>
      <c r="N414" s="35">
        <f>IF($L414="","",SUMIFS(Data!$N$2:$N$20000,Data!$A$2:$A$20000,$L414,Data!$F$2:$F$20000,"Lay"))</f>
        <v/>
      </c>
      <c r="O414" s="35">
        <f>IF($L414="","",M414+N414)</f>
        <v/>
      </c>
      <c r="P414" s="35">
        <f>IF($L414="","",SUMIFS(Data!$N$2:$N$20000,Data!$A$2:$A$20000,"&lt;="&amp;$L414))</f>
        <v/>
      </c>
    </row>
    <row r="415">
      <c r="L415" s="34" t="n"/>
      <c r="M415" s="35">
        <f>IF($L415="","",SUMIFS(Data!$N$2:$N$20000,Data!$A$2:$A$20000,$L415,Data!$F$2:$F$20000,"Bet"))</f>
        <v/>
      </c>
      <c r="N415" s="35">
        <f>IF($L415="","",SUMIFS(Data!$N$2:$N$20000,Data!$A$2:$A$20000,$L415,Data!$F$2:$F$20000,"Lay"))</f>
        <v/>
      </c>
      <c r="O415" s="35">
        <f>IF($L415="","",M415+N415)</f>
        <v/>
      </c>
      <c r="P415" s="35">
        <f>IF($L415="","",SUMIFS(Data!$N$2:$N$20000,Data!$A$2:$A$20000,"&lt;="&amp;$L415))</f>
        <v/>
      </c>
    </row>
    <row r="416">
      <c r="L416" s="34" t="n"/>
      <c r="M416" s="35">
        <f>IF($L416="","",SUMIFS(Data!$N$2:$N$20000,Data!$A$2:$A$20000,$L416,Data!$F$2:$F$20000,"Bet"))</f>
        <v/>
      </c>
      <c r="N416" s="35">
        <f>IF($L416="","",SUMIFS(Data!$N$2:$N$20000,Data!$A$2:$A$20000,$L416,Data!$F$2:$F$20000,"Lay"))</f>
        <v/>
      </c>
      <c r="O416" s="35">
        <f>IF($L416="","",M416+N416)</f>
        <v/>
      </c>
      <c r="P416" s="35">
        <f>IF($L416="","",SUMIFS(Data!$N$2:$N$20000,Data!$A$2:$A$20000,"&lt;="&amp;$L416))</f>
        <v/>
      </c>
    </row>
    <row r="417">
      <c r="L417" s="34" t="n"/>
      <c r="M417" s="35">
        <f>IF($L417="","",SUMIFS(Data!$N$2:$N$20000,Data!$A$2:$A$20000,$L417,Data!$F$2:$F$20000,"Bet"))</f>
        <v/>
      </c>
      <c r="N417" s="35">
        <f>IF($L417="","",SUMIFS(Data!$N$2:$N$20000,Data!$A$2:$A$20000,$L417,Data!$F$2:$F$20000,"Lay"))</f>
        <v/>
      </c>
      <c r="O417" s="35">
        <f>IF($L417="","",M417+N417)</f>
        <v/>
      </c>
      <c r="P417" s="35">
        <f>IF($L417="","",SUMIFS(Data!$N$2:$N$20000,Data!$A$2:$A$20000,"&lt;="&amp;$L417))</f>
        <v/>
      </c>
    </row>
    <row r="418">
      <c r="L418" s="34" t="n"/>
      <c r="M418" s="35">
        <f>IF($L418="","",SUMIFS(Data!$N$2:$N$20000,Data!$A$2:$A$20000,$L418,Data!$F$2:$F$20000,"Bet"))</f>
        <v/>
      </c>
      <c r="N418" s="35">
        <f>IF($L418="","",SUMIFS(Data!$N$2:$N$20000,Data!$A$2:$A$20000,$L418,Data!$F$2:$F$20000,"Lay"))</f>
        <v/>
      </c>
      <c r="O418" s="35">
        <f>IF($L418="","",M418+N418)</f>
        <v/>
      </c>
      <c r="P418" s="35">
        <f>IF($L418="","",SUMIFS(Data!$N$2:$N$20000,Data!$A$2:$A$20000,"&lt;="&amp;$L418))</f>
        <v/>
      </c>
    </row>
    <row r="419">
      <c r="L419" s="34" t="n"/>
      <c r="M419" s="35">
        <f>IF($L419="","",SUMIFS(Data!$N$2:$N$20000,Data!$A$2:$A$20000,$L419,Data!$F$2:$F$20000,"Bet"))</f>
        <v/>
      </c>
      <c r="N419" s="35">
        <f>IF($L419="","",SUMIFS(Data!$N$2:$N$20000,Data!$A$2:$A$20000,$L419,Data!$F$2:$F$20000,"Lay"))</f>
        <v/>
      </c>
      <c r="O419" s="35">
        <f>IF($L419="","",M419+N419)</f>
        <v/>
      </c>
      <c r="P419" s="35">
        <f>IF($L419="","",SUMIFS(Data!$N$2:$N$20000,Data!$A$2:$A$20000,"&lt;="&amp;$L419))</f>
        <v/>
      </c>
    </row>
    <row r="420">
      <c r="L420" s="34" t="n"/>
      <c r="M420" s="35">
        <f>IF($L420="","",SUMIFS(Data!$N$2:$N$20000,Data!$A$2:$A$20000,$L420,Data!$F$2:$F$20000,"Bet"))</f>
        <v/>
      </c>
      <c r="N420" s="35">
        <f>IF($L420="","",SUMIFS(Data!$N$2:$N$20000,Data!$A$2:$A$20000,$L420,Data!$F$2:$F$20000,"Lay"))</f>
        <v/>
      </c>
      <c r="O420" s="35">
        <f>IF($L420="","",M420+N420)</f>
        <v/>
      </c>
      <c r="P420" s="35">
        <f>IF($L420="","",SUMIFS(Data!$N$2:$N$20000,Data!$A$2:$A$20000,"&lt;="&amp;$L420))</f>
        <v/>
      </c>
    </row>
    <row r="421">
      <c r="L421" s="34" t="n"/>
      <c r="M421" s="35">
        <f>IF($L421="","",SUMIFS(Data!$N$2:$N$20000,Data!$A$2:$A$20000,$L421,Data!$F$2:$F$20000,"Bet"))</f>
        <v/>
      </c>
      <c r="N421" s="35">
        <f>IF($L421="","",SUMIFS(Data!$N$2:$N$20000,Data!$A$2:$A$20000,$L421,Data!$F$2:$F$20000,"Lay"))</f>
        <v/>
      </c>
      <c r="O421" s="35">
        <f>IF($L421="","",M421+N421)</f>
        <v/>
      </c>
      <c r="P421" s="35">
        <f>IF($L421="","",SUMIFS(Data!$N$2:$N$20000,Data!$A$2:$A$20000,"&lt;="&amp;$L421))</f>
        <v/>
      </c>
    </row>
    <row r="422">
      <c r="L422" s="34" t="n"/>
      <c r="M422" s="35">
        <f>IF($L422="","",SUMIFS(Data!$N$2:$N$20000,Data!$A$2:$A$20000,$L422,Data!$F$2:$F$20000,"Bet"))</f>
        <v/>
      </c>
      <c r="N422" s="35">
        <f>IF($L422="","",SUMIFS(Data!$N$2:$N$20000,Data!$A$2:$A$20000,$L422,Data!$F$2:$F$20000,"Lay"))</f>
        <v/>
      </c>
      <c r="O422" s="35">
        <f>IF($L422="","",M422+N422)</f>
        <v/>
      </c>
      <c r="P422" s="35">
        <f>IF($L422="","",SUMIFS(Data!$N$2:$N$20000,Data!$A$2:$A$20000,"&lt;="&amp;$L422))</f>
        <v/>
      </c>
    </row>
    <row r="423">
      <c r="L423" s="34" t="n"/>
      <c r="M423" s="35">
        <f>IF($L423="","",SUMIFS(Data!$N$2:$N$20000,Data!$A$2:$A$20000,$L423,Data!$F$2:$F$20000,"Bet"))</f>
        <v/>
      </c>
      <c r="N423" s="35">
        <f>IF($L423="","",SUMIFS(Data!$N$2:$N$20000,Data!$A$2:$A$20000,$L423,Data!$F$2:$F$20000,"Lay"))</f>
        <v/>
      </c>
      <c r="O423" s="35">
        <f>IF($L423="","",M423+N423)</f>
        <v/>
      </c>
      <c r="P423" s="35">
        <f>IF($L423="","",SUMIFS(Data!$N$2:$N$20000,Data!$A$2:$A$20000,"&lt;="&amp;$L423))</f>
        <v/>
      </c>
    </row>
    <row r="424">
      <c r="L424" s="34" t="n"/>
      <c r="M424" s="35">
        <f>IF($L424="","",SUMIFS(Data!$N$2:$N$20000,Data!$A$2:$A$20000,$L424,Data!$F$2:$F$20000,"Bet"))</f>
        <v/>
      </c>
      <c r="N424" s="35">
        <f>IF($L424="","",SUMIFS(Data!$N$2:$N$20000,Data!$A$2:$A$20000,$L424,Data!$F$2:$F$20000,"Lay"))</f>
        <v/>
      </c>
      <c r="O424" s="35">
        <f>IF($L424="","",M424+N424)</f>
        <v/>
      </c>
      <c r="P424" s="35">
        <f>IF($L424="","",SUMIFS(Data!$N$2:$N$20000,Data!$A$2:$A$20000,"&lt;="&amp;$L424))</f>
        <v/>
      </c>
    </row>
    <row r="425">
      <c r="L425" s="34" t="n"/>
      <c r="M425" s="35">
        <f>IF($L425="","",SUMIFS(Data!$N$2:$N$20000,Data!$A$2:$A$20000,$L425,Data!$F$2:$F$20000,"Bet"))</f>
        <v/>
      </c>
      <c r="N425" s="35">
        <f>IF($L425="","",SUMIFS(Data!$N$2:$N$20000,Data!$A$2:$A$20000,$L425,Data!$F$2:$F$20000,"Lay"))</f>
        <v/>
      </c>
      <c r="O425" s="35">
        <f>IF($L425="","",M425+N425)</f>
        <v/>
      </c>
      <c r="P425" s="35">
        <f>IF($L425="","",SUMIFS(Data!$N$2:$N$20000,Data!$A$2:$A$20000,"&lt;="&amp;$L425))</f>
        <v/>
      </c>
    </row>
    <row r="426">
      <c r="L426" s="34" t="n"/>
      <c r="M426" s="35">
        <f>IF($L426="","",SUMIFS(Data!$N$2:$N$20000,Data!$A$2:$A$20000,$L426,Data!$F$2:$F$20000,"Bet"))</f>
        <v/>
      </c>
      <c r="N426" s="35">
        <f>IF($L426="","",SUMIFS(Data!$N$2:$N$20000,Data!$A$2:$A$20000,$L426,Data!$F$2:$F$20000,"Lay"))</f>
        <v/>
      </c>
      <c r="O426" s="35">
        <f>IF($L426="","",M426+N426)</f>
        <v/>
      </c>
      <c r="P426" s="35">
        <f>IF($L426="","",SUMIFS(Data!$N$2:$N$20000,Data!$A$2:$A$20000,"&lt;="&amp;$L426))</f>
        <v/>
      </c>
    </row>
    <row r="427">
      <c r="L427" s="34" t="n"/>
      <c r="M427" s="35">
        <f>IF($L427="","",SUMIFS(Data!$N$2:$N$20000,Data!$A$2:$A$20000,$L427,Data!$F$2:$F$20000,"Bet"))</f>
        <v/>
      </c>
      <c r="N427" s="35">
        <f>IF($L427="","",SUMIFS(Data!$N$2:$N$20000,Data!$A$2:$A$20000,$L427,Data!$F$2:$F$20000,"Lay"))</f>
        <v/>
      </c>
      <c r="O427" s="35">
        <f>IF($L427="","",M427+N427)</f>
        <v/>
      </c>
      <c r="P427" s="35">
        <f>IF($L427="","",SUMIFS(Data!$N$2:$N$20000,Data!$A$2:$A$20000,"&lt;="&amp;$L427))</f>
        <v/>
      </c>
    </row>
    <row r="428">
      <c r="L428" s="34" t="n"/>
      <c r="M428" s="35">
        <f>IF($L428="","",SUMIFS(Data!$N$2:$N$20000,Data!$A$2:$A$20000,$L428,Data!$F$2:$F$20000,"Bet"))</f>
        <v/>
      </c>
      <c r="N428" s="35">
        <f>IF($L428="","",SUMIFS(Data!$N$2:$N$20000,Data!$A$2:$A$20000,$L428,Data!$F$2:$F$20000,"Lay"))</f>
        <v/>
      </c>
      <c r="O428" s="35">
        <f>IF($L428="","",M428+N428)</f>
        <v/>
      </c>
      <c r="P428" s="35">
        <f>IF($L428="","",SUMIFS(Data!$N$2:$N$20000,Data!$A$2:$A$20000,"&lt;="&amp;$L428))</f>
        <v/>
      </c>
    </row>
    <row r="429">
      <c r="L429" s="34" t="n"/>
      <c r="M429" s="35">
        <f>IF($L429="","",SUMIFS(Data!$N$2:$N$20000,Data!$A$2:$A$20000,$L429,Data!$F$2:$F$20000,"Bet"))</f>
        <v/>
      </c>
      <c r="N429" s="35">
        <f>IF($L429="","",SUMIFS(Data!$N$2:$N$20000,Data!$A$2:$A$20000,$L429,Data!$F$2:$F$20000,"Lay"))</f>
        <v/>
      </c>
      <c r="O429" s="35">
        <f>IF($L429="","",M429+N429)</f>
        <v/>
      </c>
      <c r="P429" s="35">
        <f>IF($L429="","",SUMIFS(Data!$N$2:$N$20000,Data!$A$2:$A$20000,"&lt;="&amp;$L429))</f>
        <v/>
      </c>
    </row>
    <row r="430">
      <c r="L430" s="34" t="n"/>
      <c r="M430" s="35">
        <f>IF($L430="","",SUMIFS(Data!$N$2:$N$20000,Data!$A$2:$A$20000,$L430,Data!$F$2:$F$20000,"Bet"))</f>
        <v/>
      </c>
      <c r="N430" s="35">
        <f>IF($L430="","",SUMIFS(Data!$N$2:$N$20000,Data!$A$2:$A$20000,$L430,Data!$F$2:$F$20000,"Lay"))</f>
        <v/>
      </c>
      <c r="O430" s="35">
        <f>IF($L430="","",M430+N430)</f>
        <v/>
      </c>
      <c r="P430" s="35">
        <f>IF($L430="","",SUMIFS(Data!$N$2:$N$20000,Data!$A$2:$A$20000,"&lt;="&amp;$L430))</f>
        <v/>
      </c>
    </row>
  </sheetData>
  <mergeCells count="3">
    <mergeCell ref="H7:J8"/>
    <mergeCell ref="B7:D8"/>
    <mergeCell ref="E7:G8"/>
  </mergeCells>
  <conditionalFormatting sqref="E7">
    <cfRule type="cellIs" priority="1" operator="lessThan" dxfId="0">
      <formula>0</formula>
    </cfRule>
  </conditionalFormatting>
  <conditionalFormatting sqref="H7">
    <cfRule type="cellIs" priority="2" operator="lessThan" dxfId="0">
      <formula>0</formula>
    </cfRule>
  </conditionalFormatting>
  <conditionalFormatting sqref="F16:F18">
    <cfRule type="cellIs" priority="3" operator="greaterThan" dxfId="1">
      <formula>0.0001</formula>
    </cfRule>
    <cfRule type="cellIs" priority="4" operator="lessThan" dxfId="0">
      <formula>-0.0001</formula>
    </cfRule>
  </conditionalFormatting>
  <conditionalFormatting sqref="H16:H18">
    <cfRule type="cellIs" priority="5" operator="greaterThan" dxfId="1">
      <formula>0.0001</formula>
    </cfRule>
    <cfRule type="cellIs" priority="6" operator="lessThan" dxfId="0">
      <formula>-0.0001</formula>
    </cfRule>
  </conditionalFormatting>
  <conditionalFormatting sqref="F22:F25">
    <cfRule type="cellIs" priority="7" operator="greaterThan" dxfId="1">
      <formula>0.0001</formula>
    </cfRule>
    <cfRule type="cellIs" priority="8" operator="lessThan" dxfId="0">
      <formula>-0.0001</formula>
    </cfRule>
  </conditionalFormatting>
  <conditionalFormatting sqref="H22:H25">
    <cfRule type="cellIs" priority="9" operator="greaterThan" dxfId="1">
      <formula>0.0001</formula>
    </cfRule>
    <cfRule type="cellIs" priority="10" operator="lessThan" dxfId="0">
      <formula>-0.0001</formula>
    </cfRule>
  </conditionalFormatting>
  <conditionalFormatting sqref="F29:F40">
    <cfRule type="cellIs" priority="11" operator="greaterThan" dxfId="1">
      <formula>0.0001</formula>
    </cfRule>
    <cfRule type="cellIs" priority="12" operator="lessThan" dxfId="0">
      <formula>-0.0001</formula>
    </cfRule>
  </conditionalFormatting>
  <conditionalFormatting sqref="H29:H40">
    <cfRule type="cellIs" priority="13" operator="greaterThan" dxfId="1">
      <formula>0.0001</formula>
    </cfRule>
    <cfRule type="cellIs" priority="14" operator="lessThan" dxfId="0">
      <formula>-0.0001</formula>
    </cfRule>
  </conditionalFormatting>
  <conditionalFormatting sqref="M31:P430">
    <cfRule type="cellIs" priority="15" operator="greaterThan" dxfId="1">
      <formula>0.0001</formula>
    </cfRule>
    <cfRule type="cellIs" priority="16" operator="lessThan" dxfId="0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161A"/>
    <outlinePr summaryBelow="1" summaryRight="1"/>
    <pageSetUpPr/>
  </sheetPr>
  <dimension ref="A1:O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style="36" min="1" max="1"/>
    <col width="20" customWidth="1" style="37" min="2" max="2"/>
    <col width="8" customWidth="1" style="15" min="3" max="3"/>
    <col width="7" customWidth="1" style="15" min="4" max="4"/>
    <col width="24" customWidth="1" style="14" min="5" max="5"/>
    <col width="8" customWidth="1" style="38" min="6" max="6"/>
    <col width="10" customWidth="1" style="38" min="7" max="7"/>
    <col width="11" customWidth="1" style="39" min="8" max="8"/>
    <col width="11" customWidth="1" style="39" min="9" max="9"/>
    <col width="10" customWidth="1" style="16" min="10" max="10"/>
    <col width="11" customWidth="1" style="40" min="11" max="11"/>
    <col width="11" customWidth="1" style="15" min="12" max="12"/>
    <col width="10" customWidth="1" style="38" min="13" max="13"/>
    <col width="13" customWidth="1" style="17" min="14" max="14"/>
    <col width="13" customWidth="1" style="18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All calls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3">
        <f>"Since "&amp;TEXT(MIN(Data!A2:A20000),"d mmm yyyy")&amp;". Updates hourly."</f>
        <v/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4" customHeight="1">
      <c r="A5" s="13" t="inlineStr">
        <is>
          <t>Date</t>
        </is>
      </c>
      <c r="B5" s="26" t="inlineStr">
        <is>
          <t>Track</t>
        </is>
      </c>
      <c r="C5" s="13" t="inlineStr">
        <is>
          <t>Race</t>
        </is>
      </c>
      <c r="D5" s="13" t="inlineStr">
        <is>
          <t>No.</t>
        </is>
      </c>
      <c r="E5" s="26" t="inlineStr">
        <is>
          <t>Horse</t>
        </is>
      </c>
      <c r="F5" s="13" t="inlineStr">
        <is>
          <t>Call</t>
        </is>
      </c>
      <c r="G5" s="13" t="inlineStr">
        <is>
          <t>Tag</t>
        </is>
      </c>
      <c r="H5" s="13" t="inlineStr">
        <is>
          <t>Rated $</t>
        </is>
      </c>
      <c r="I5" s="13" t="inlineStr">
        <is>
          <t>Price $</t>
        </is>
      </c>
      <c r="J5" s="13" t="inlineStr">
        <is>
          <t>Edge</t>
        </is>
      </c>
      <c r="K5" s="13" t="inlineStr">
        <is>
          <t>Stake (u)</t>
        </is>
      </c>
      <c r="L5" s="13" t="inlineStr">
        <is>
          <t>Finish</t>
        </is>
      </c>
      <c r="M5" s="13" t="inlineStr">
        <is>
          <t>Result</t>
        </is>
      </c>
      <c r="N5" s="13" t="inlineStr">
        <is>
          <t>Profit (u)</t>
        </is>
      </c>
      <c r="O5" s="13" t="inlineStr">
        <is>
          <t>Liability (u)</t>
        </is>
      </c>
    </row>
    <row r="6">
      <c r="A6" s="41">
        <f>IFERROR(QUERY(Data!A2:O20000,"select * where Col1 is not null order by Col1 desc, Col2, Col3",0),"Loading results")</f>
        <v/>
      </c>
    </row>
  </sheetData>
  <conditionalFormatting sqref="A6:O3000">
    <cfRule type="expression" priority="1" dxfId="2">
      <formula>AND($A6&lt;&gt;"",ISEVEN(ROW()))</formula>
    </cfRule>
  </conditionalFormatting>
  <conditionalFormatting sqref="G6:G3000">
    <cfRule type="cellIs" priority="2" operator="equal" dxfId="3">
      <formula>"Prime"</formula>
    </cfRule>
    <cfRule type="cellIs" priority="3" operator="equal" dxfId="4">
      <formula>"Bet"</formula>
    </cfRule>
    <cfRule type="cellIs" priority="4" operator="equal" dxfId="5">
      <formula>"Way"</formula>
    </cfRule>
    <cfRule type="cellIs" priority="5" operator="equal" dxfId="6">
      <formula>"Lay"</formula>
    </cfRule>
  </conditionalFormatting>
  <conditionalFormatting sqref="F6:F3000">
    <cfRule type="cellIs" priority="6" operator="equal" dxfId="7">
      <formula>"Bet"</formula>
    </cfRule>
    <cfRule type="cellIs" priority="7" operator="equal" dxfId="0">
      <formula>"Lay"</formula>
    </cfRule>
  </conditionalFormatting>
  <conditionalFormatting sqref="M6:M3000">
    <cfRule type="cellIs" priority="8" operator="equal" dxfId="1">
      <formula>"Win"</formula>
    </cfRule>
    <cfRule type="cellIs" priority="9" operator="equal" dxfId="0">
      <formula>"Loss"</formula>
    </cfRule>
  </conditionalFormatting>
  <conditionalFormatting sqref="N6:N3000">
    <cfRule type="cellIs" priority="10" operator="greaterThan" dxfId="1">
      <formula>0.0001</formula>
    </cfRule>
    <cfRule type="cellIs" priority="11" operator="lessThan" dxfId="0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6FD6"/>
    <outlinePr summaryBelow="1" summaryRight="1"/>
    <pageSetUpPr/>
  </sheetPr>
  <dimension ref="A1:O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style="36" min="1" max="1"/>
    <col width="20" customWidth="1" style="37" min="2" max="2"/>
    <col width="8" customWidth="1" style="15" min="3" max="3"/>
    <col width="7" customWidth="1" style="15" min="4" max="4"/>
    <col width="24" customWidth="1" style="14" min="5" max="5"/>
    <col width="8" customWidth="1" style="38" min="6" max="6"/>
    <col width="10" customWidth="1" style="38" min="7" max="7"/>
    <col width="11" customWidth="1" style="39" min="8" max="8"/>
    <col width="11" customWidth="1" style="39" min="9" max="9"/>
    <col width="10" customWidth="1" style="16" min="10" max="10"/>
    <col width="11" customWidth="1" style="40" min="11" max="11"/>
    <col width="11" customWidth="1" style="15" min="12" max="12"/>
    <col width="10" customWidth="1" style="38" min="13" max="13"/>
    <col width="13" customWidth="1" style="17" min="14" max="14"/>
    <col width="13" customWidth="1" style="18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Bets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3">
        <f>"Since "&amp;TEXT(MIN(Data!A2:A20000),"d mmm yyyy")&amp;". Updates hourly."</f>
        <v/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4" customHeight="1">
      <c r="A5" s="13" t="inlineStr">
        <is>
          <t>Date</t>
        </is>
      </c>
      <c r="B5" s="26" t="inlineStr">
        <is>
          <t>Track</t>
        </is>
      </c>
      <c r="C5" s="13" t="inlineStr">
        <is>
          <t>Race</t>
        </is>
      </c>
      <c r="D5" s="13" t="inlineStr">
        <is>
          <t>No.</t>
        </is>
      </c>
      <c r="E5" s="26" t="inlineStr">
        <is>
          <t>Horse</t>
        </is>
      </c>
      <c r="F5" s="13" t="inlineStr">
        <is>
          <t>Call</t>
        </is>
      </c>
      <c r="G5" s="13" t="inlineStr">
        <is>
          <t>Tag</t>
        </is>
      </c>
      <c r="H5" s="13" t="inlineStr">
        <is>
          <t>Rated $</t>
        </is>
      </c>
      <c r="I5" s="13" t="inlineStr">
        <is>
          <t>Price $</t>
        </is>
      </c>
      <c r="J5" s="13" t="inlineStr">
        <is>
          <t>Edge</t>
        </is>
      </c>
      <c r="K5" s="13" t="inlineStr">
        <is>
          <t>Stake (u)</t>
        </is>
      </c>
      <c r="L5" s="13" t="inlineStr">
        <is>
          <t>Finish</t>
        </is>
      </c>
      <c r="M5" s="13" t="inlineStr">
        <is>
          <t>Result</t>
        </is>
      </c>
      <c r="N5" s="13" t="inlineStr">
        <is>
          <t>Profit (u)</t>
        </is>
      </c>
      <c r="O5" s="13" t="inlineStr">
        <is>
          <t>Liability (u)</t>
        </is>
      </c>
    </row>
    <row r="6">
      <c r="A6" s="41">
        <f>IFERROR(QUERY(Data!A2:O20000,"select * where Col1 is not null and Col6 = 'Bet' order by Col1 desc, Col2, Col3",0),"Loading results")</f>
        <v/>
      </c>
    </row>
  </sheetData>
  <conditionalFormatting sqref="A6:O3000">
    <cfRule type="expression" priority="1" dxfId="2">
      <formula>AND($A6&lt;&gt;"",ISEVEN(ROW()))</formula>
    </cfRule>
  </conditionalFormatting>
  <conditionalFormatting sqref="G6:G3000">
    <cfRule type="cellIs" priority="2" operator="equal" dxfId="3">
      <formula>"Prime"</formula>
    </cfRule>
    <cfRule type="cellIs" priority="3" operator="equal" dxfId="4">
      <formula>"Bet"</formula>
    </cfRule>
    <cfRule type="cellIs" priority="4" operator="equal" dxfId="5">
      <formula>"Way"</formula>
    </cfRule>
    <cfRule type="cellIs" priority="5" operator="equal" dxfId="6">
      <formula>"Lay"</formula>
    </cfRule>
  </conditionalFormatting>
  <conditionalFormatting sqref="F6:F3000">
    <cfRule type="cellIs" priority="6" operator="equal" dxfId="7">
      <formula>"Bet"</formula>
    </cfRule>
    <cfRule type="cellIs" priority="7" operator="equal" dxfId="0">
      <formula>"Lay"</formula>
    </cfRule>
  </conditionalFormatting>
  <conditionalFormatting sqref="M6:M3000">
    <cfRule type="cellIs" priority="8" operator="equal" dxfId="1">
      <formula>"Win"</formula>
    </cfRule>
    <cfRule type="cellIs" priority="9" operator="equal" dxfId="0">
      <formula>"Loss"</formula>
    </cfRule>
  </conditionalFormatting>
  <conditionalFormatting sqref="N6:N3000">
    <cfRule type="cellIs" priority="10" operator="greaterThan" dxfId="1">
      <formula>0.0001</formula>
    </cfRule>
    <cfRule type="cellIs" priority="11" operator="lessThan" dxfId="0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3636"/>
    <outlinePr summaryBelow="1" summaryRight="1"/>
    <pageSetUpPr/>
  </sheetPr>
  <dimension ref="A1:O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style="36" min="1" max="1"/>
    <col width="20" customWidth="1" style="37" min="2" max="2"/>
    <col width="8" customWidth="1" style="15" min="3" max="3"/>
    <col width="7" customWidth="1" style="15" min="4" max="4"/>
    <col width="24" customWidth="1" style="14" min="5" max="5"/>
    <col width="8" customWidth="1" style="38" min="6" max="6"/>
    <col width="10" customWidth="1" style="38" min="7" max="7"/>
    <col width="11" customWidth="1" style="39" min="8" max="8"/>
    <col width="11" customWidth="1" style="39" min="9" max="9"/>
    <col width="10" customWidth="1" style="16" min="10" max="10"/>
    <col width="11" customWidth="1" style="40" min="11" max="11"/>
    <col width="11" customWidth="1" style="15" min="12" max="12"/>
    <col width="10" customWidth="1" style="38" min="13" max="13"/>
    <col width="13" customWidth="1" style="17" min="14" max="14"/>
    <col width="13" customWidth="1" style="18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Lays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3">
        <f>"Since "&amp;TEXT(MIN(Data!A2:A20000),"d mmm yyyy")&amp;". Updates hourly."</f>
        <v/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4" customHeight="1">
      <c r="A5" s="13" t="inlineStr">
        <is>
          <t>Date</t>
        </is>
      </c>
      <c r="B5" s="26" t="inlineStr">
        <is>
          <t>Track</t>
        </is>
      </c>
      <c r="C5" s="13" t="inlineStr">
        <is>
          <t>Race</t>
        </is>
      </c>
      <c r="D5" s="13" t="inlineStr">
        <is>
          <t>No.</t>
        </is>
      </c>
      <c r="E5" s="26" t="inlineStr">
        <is>
          <t>Horse</t>
        </is>
      </c>
      <c r="F5" s="13" t="inlineStr">
        <is>
          <t>Call</t>
        </is>
      </c>
      <c r="G5" s="13" t="inlineStr">
        <is>
          <t>Tag</t>
        </is>
      </c>
      <c r="H5" s="13" t="inlineStr">
        <is>
          <t>Rated $</t>
        </is>
      </c>
      <c r="I5" s="13" t="inlineStr">
        <is>
          <t>Price $</t>
        </is>
      </c>
      <c r="J5" s="13" t="inlineStr">
        <is>
          <t>Edge</t>
        </is>
      </c>
      <c r="K5" s="13" t="inlineStr">
        <is>
          <t>Stake (u)</t>
        </is>
      </c>
      <c r="L5" s="13" t="inlineStr">
        <is>
          <t>Finish</t>
        </is>
      </c>
      <c r="M5" s="13" t="inlineStr">
        <is>
          <t>Result</t>
        </is>
      </c>
      <c r="N5" s="13" t="inlineStr">
        <is>
          <t>Profit (u)</t>
        </is>
      </c>
      <c r="O5" s="13" t="inlineStr">
        <is>
          <t>Liability (u)</t>
        </is>
      </c>
    </row>
    <row r="6">
      <c r="A6" s="41">
        <f>IFERROR(QUERY(Data!A2:O20000,"select * where Col1 is not null and Col6 = 'Lay' order by Col1 desc, Col2, Col3",0),"Loading results")</f>
        <v/>
      </c>
    </row>
  </sheetData>
  <conditionalFormatting sqref="A6:O3000">
    <cfRule type="expression" priority="1" dxfId="2">
      <formula>AND($A6&lt;&gt;"",ISEVEN(ROW()))</formula>
    </cfRule>
  </conditionalFormatting>
  <conditionalFormatting sqref="G6:G3000">
    <cfRule type="cellIs" priority="2" operator="equal" dxfId="3">
      <formula>"Prime"</formula>
    </cfRule>
    <cfRule type="cellIs" priority="3" operator="equal" dxfId="4">
      <formula>"Bet"</formula>
    </cfRule>
    <cfRule type="cellIs" priority="4" operator="equal" dxfId="5">
      <formula>"Way"</formula>
    </cfRule>
    <cfRule type="cellIs" priority="5" operator="equal" dxfId="6">
      <formula>"Lay"</formula>
    </cfRule>
  </conditionalFormatting>
  <conditionalFormatting sqref="F6:F3000">
    <cfRule type="cellIs" priority="6" operator="equal" dxfId="7">
      <formula>"Bet"</formula>
    </cfRule>
    <cfRule type="cellIs" priority="7" operator="equal" dxfId="0">
      <formula>"Lay"</formula>
    </cfRule>
  </conditionalFormatting>
  <conditionalFormatting sqref="M6:M3000">
    <cfRule type="cellIs" priority="8" operator="equal" dxfId="1">
      <formula>"Win"</formula>
    </cfRule>
    <cfRule type="cellIs" priority="9" operator="equal" dxfId="0">
      <formula>"Loss"</formula>
    </cfRule>
  </conditionalFormatting>
  <conditionalFormatting sqref="N6:N3000">
    <cfRule type="cellIs" priority="10" operator="greaterThan" dxfId="1">
      <formula>0.0001</formula>
    </cfRule>
    <cfRule type="cellIs" priority="11" operator="lessThan" dxfId="0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A9AEA4"/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>
        <f>IMPORTDATA("https://theoverlay.com.au/api/results.csv")</f>
        <v/>
      </c>
      <c r="Q1" s="11" t="inlineStr">
        <is>
          <t>Pulled from theoverlay.com.au/api/results.csv, refreshed by Google about hourly. Do not type in this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2026-10-02T00:07:10Z</dcterms:created>
  <dcterms:modified xsi:type="dcterms:W3CDTF">2026-10-02T00:07:10Z</dcterms:modified>
</cp:coreProperties>
</file>