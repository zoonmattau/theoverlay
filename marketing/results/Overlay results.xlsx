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Calls" sheetId="2" state="visible" r:id="rId2"/>
    <sheet name="Bets" sheetId="3" state="visible" r:id="rId3"/>
    <sheet name="Lays" sheetId="4" state="visible" r:id="rId4"/>
  </sheets>
  <definedNames>
    <definedName name="_xlnm._FilterDatabase" localSheetId="1" hidden="1">'All Calls'!$A$5:$O$790</definedName>
    <definedName name="_xlnm._FilterDatabase" localSheetId="2" hidden="1">'Bets'!$A$5:$O$278</definedName>
    <definedName name="_xlnm._FilterDatabase" localSheetId="3" hidden="1">'Lays'!$A$5:$O$517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d mmm yyyy"/>
    <numFmt numFmtId="166" formatCode="$0.00"/>
    <numFmt numFmtId="167" formatCode="0.0%"/>
    <numFmt numFmtId="168" formatCode="0.0#"/>
    <numFmt numFmtId="169" formatCode="+0.00;-0.00;0.00"/>
    <numFmt numFmtId="170" formatCode="+0.0&quot;u&quot;;-0.0&quot;u&quot;;0.0&quot;u&quot;"/>
    <numFmt numFmtId="171" formatCode="+0.0%;-0.0%;0.0%"/>
    <numFmt numFmtId="172" formatCode="d mmm"/>
    <numFmt numFmtId="173" formatCode="ddd d mmm"/>
  </numFmts>
  <fonts count="22">
    <font>
      <name val="Calibri"/>
      <family val="2"/>
      <color theme="1"/>
      <sz val="11"/>
      <scheme val="minor"/>
    </font>
    <font>
      <name val="Arial"/>
      <b val="1"/>
      <color rgb="00F5F7F2"/>
      <sz val="16"/>
    </font>
    <font>
      <name val="Arial"/>
      <color rgb="00C6F24E"/>
      <sz val="10"/>
    </font>
    <font>
      <name val="Arial"/>
      <b val="1"/>
      <color rgb="00C6F24E"/>
      <sz val="10"/>
    </font>
    <font>
      <name val="Arial"/>
      <color rgb="0014161A"/>
    </font>
    <font>
      <name val="Arial"/>
      <b val="1"/>
      <color rgb="0014161A"/>
    </font>
    <font>
      <name val="Arial"/>
      <b val="1"/>
      <color rgb="001F6FD6"/>
    </font>
    <font>
      <name val="Arial"/>
      <b val="1"/>
      <color rgb="001F6FD6"/>
      <sz val="9"/>
    </font>
    <font>
      <name val="Arial"/>
      <b val="1"/>
      <color rgb="00D93636"/>
    </font>
    <font>
      <name val="Arial"/>
      <b val="1"/>
      <color rgb="00D93636"/>
      <sz val="9"/>
    </font>
    <font>
      <name val="Arial"/>
      <b val="1"/>
      <color rgb="006F9A12"/>
    </font>
    <font>
      <name val="Arial"/>
      <b val="1"/>
      <color rgb="0014161A"/>
      <sz val="9"/>
    </font>
    <font>
      <name val="Arial"/>
      <b val="1"/>
      <color rgb="00A9AEA4"/>
    </font>
    <font>
      <name val="Arial"/>
      <b val="1"/>
      <color rgb="00C6F24E"/>
    </font>
    <font>
      <name val="Arial"/>
      <b val="1"/>
      <color rgb="00F5F7F2"/>
    </font>
    <font>
      <name val="Arial"/>
      <b val="1"/>
      <color rgb="00C6F24E"/>
      <sz val="9"/>
    </font>
    <font>
      <name val="Arial"/>
      <b val="1"/>
      <color rgb="00C6F24E"/>
      <sz val="24"/>
    </font>
    <font>
      <name val="Arial"/>
      <color rgb="00A9AEA4"/>
      <sz val="9"/>
    </font>
    <font>
      <name val="Arial"/>
      <b val="1"/>
      <color rgb="006B716A"/>
      <sz val="9"/>
    </font>
    <font>
      <name val="Arial"/>
      <b val="1"/>
      <color rgb="0014161A"/>
      <sz val="24"/>
    </font>
    <font>
      <name val="Arial"/>
      <color rgb="006B716A"/>
      <sz val="9"/>
    </font>
    <font>
      <name val="Arial"/>
      <b val="1"/>
      <color rgb="006F9A12"/>
      <sz val="11"/>
    </font>
  </fonts>
  <fills count="8">
    <fill>
      <patternFill/>
    </fill>
    <fill>
      <patternFill patternType="gray125"/>
    </fill>
    <fill>
      <patternFill patternType="solid">
        <fgColor rgb="0014161A"/>
      </patternFill>
    </fill>
    <fill>
      <patternFill patternType="solid">
        <fgColor rgb="00DCEBFF"/>
      </patternFill>
    </fill>
    <fill>
      <patternFill patternType="solid">
        <fgColor rgb="00F7F8F5"/>
      </patternFill>
    </fill>
    <fill>
      <patternFill patternType="solid">
        <fgColor rgb="00FFE1E1"/>
      </patternFill>
    </fill>
    <fill>
      <patternFill patternType="solid">
        <fgColor rgb="00C6F24E"/>
      </patternFill>
    </fill>
    <fill>
      <patternFill patternType="solid">
        <fgColor rgb="00EEF5FF"/>
      </patternFill>
    </fill>
  </fills>
  <borders count="2">
    <border>
      <left/>
      <right/>
      <top/>
      <bottom/>
      <diagonal/>
    </border>
    <border>
      <bottom style="thin">
        <color rgb="00DFE3DB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right" vertical="bottom"/>
    </xf>
    <xf numFmtId="0" fontId="2" fillId="2" borderId="0" applyAlignment="1" pivotButton="0" quotePrefix="0" xfId="0">
      <alignment horizontal="right" vertical="top"/>
    </xf>
    <xf numFmtId="0" fontId="15" fillId="2" borderId="0" pivotButton="0" quotePrefix="0" xfId="0"/>
    <xf numFmtId="0" fontId="18" fillId="4" borderId="0" pivotButton="0" quotePrefix="0" xfId="0"/>
    <xf numFmtId="0" fontId="0" fillId="4" borderId="0" pivotButton="0" quotePrefix="0" xfId="0"/>
    <xf numFmtId="170" fontId="16" fillId="2" borderId="0" applyAlignment="1" pivotButton="0" quotePrefix="0" xfId="0">
      <alignment horizontal="left" vertical="center"/>
    </xf>
    <xf numFmtId="170" fontId="19" fillId="4" borderId="0" applyAlignment="1" pivotButton="0" quotePrefix="0" xfId="0">
      <alignment horizontal="left" vertical="center"/>
    </xf>
    <xf numFmtId="0" fontId="17" fillId="2" borderId="0" pivotButton="0" quotePrefix="0" xfId="0"/>
    <xf numFmtId="0" fontId="20" fillId="4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9" fontId="5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71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9" fontId="5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71" fontId="4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172" fontId="5" fillId="0" borderId="1" applyAlignment="1" pivotButton="0" quotePrefix="0" xfId="0">
      <alignment horizontal="left" vertical="center"/>
    </xf>
    <xf numFmtId="172" fontId="5" fillId="4" borderId="1" applyAlignment="1" pivotButton="0" quotePrefix="0" xfId="0">
      <alignment horizontal="left" vertical="center"/>
    </xf>
    <xf numFmtId="173" fontId="4" fillId="0" borderId="1" applyAlignment="1" pivotButton="0" quotePrefix="0" xfId="0">
      <alignment horizontal="left" vertical="center"/>
    </xf>
    <xf numFmtId="169" fontId="4" fillId="0" borderId="1" applyAlignment="1" pivotButton="0" quotePrefix="0" xfId="0">
      <alignment horizontal="center" vertical="center"/>
    </xf>
    <xf numFmtId="173" fontId="4" fillId="4" borderId="1" applyAlignment="1" pivotButton="0" quotePrefix="0" xfId="0">
      <alignment horizontal="left" vertical="center"/>
    </xf>
    <xf numFmtId="169" fontId="4" fillId="4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166" fontId="4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169" fontId="13" fillId="2" borderId="0" applyAlignment="1" pivotButton="0" quotePrefix="0" xfId="0">
      <alignment horizontal="center"/>
    </xf>
    <xf numFmtId="2" fontId="14" fillId="2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name val="Arial"/>
        <b val="1"/>
        <color rgb="00D93636"/>
        <sz val="24"/>
      </font>
    </dxf>
    <dxf>
      <font>
        <name val="Arial"/>
        <b val="1"/>
        <color rgb="006F9A12"/>
      </font>
    </dxf>
    <dxf>
      <font>
        <name val="Arial"/>
        <b val="1"/>
        <color rgb="00D9363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Running profit (units)</a:t>
            </a:r>
          </a:p>
        </rich>
      </tx>
    </title>
    <plotArea>
      <lineChart>
        <grouping val="standard"/>
        <ser>
          <idx val="0"/>
          <order val="0"/>
          <tx>
            <strRef>
              <f>'Overview'!F35</f>
            </strRef>
          </tx>
          <spPr>
            <a:ln w="32000">
              <a:solidFill>
                <a:srgbClr val="6F9A1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'Overview'!$A$36:$A$57</f>
            </numRef>
          </cat>
          <val>
            <numRef>
              <f>'Overview'!$F$36:$F$57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 mmm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+0;-0;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152400</colOff>
      <row>0</row>
      <rowOff>400050</rowOff>
    </from>
    <ext cx="2000250" cy="5048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152400</colOff>
      <row>0</row>
      <rowOff>400050</rowOff>
    </from>
    <ext cx="2000250" cy="504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152400</colOff>
      <row>0</row>
      <rowOff>400050</rowOff>
    </from>
    <ext cx="2000250" cy="504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152400</colOff>
      <row>0</row>
      <rowOff>400050</rowOff>
    </from>
    <ext cx="2000250" cy="504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C6F24E"/>
    <outlinePr summaryBelow="1" summaryRight="1"/>
    <pageSetUpPr/>
  </sheetPr>
  <dimension ref="A1:J5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2" t="inlineStr">
        <is>
          <t>Results</t>
        </is>
      </c>
    </row>
    <row r="3" ht="3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3" t="inlineStr">
        <is>
          <t>11 Sep to 2 Oct 2026</t>
        </is>
      </c>
    </row>
    <row r="4" ht="22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6" ht="20" customHeight="1">
      <c r="B6" s="4" t="inlineStr">
        <is>
          <t>ALL CALLS</t>
        </is>
      </c>
      <c r="C6" s="1" t="n"/>
      <c r="D6" s="1" t="n"/>
      <c r="E6" s="5" t="inlineStr">
        <is>
          <t>BETS</t>
        </is>
      </c>
      <c r="F6" s="6" t="n"/>
      <c r="G6" s="6" t="n"/>
      <c r="H6" s="5" t="inlineStr">
        <is>
          <t>LAYS</t>
        </is>
      </c>
      <c r="I6" s="6" t="n"/>
      <c r="J6" s="6" t="n"/>
    </row>
    <row r="7" ht="20" customHeight="1">
      <c r="B7" s="7">
        <f>SUM('All Calls'!$N$6:$N$790)</f>
        <v/>
      </c>
      <c r="E7" s="8">
        <f>SUMIFS('All Calls'!$N$6:$N$790,'All Calls'!$F$6:$F$790,"Bet")</f>
        <v/>
      </c>
      <c r="H7" s="8">
        <f>SUMIFS('All Calls'!$N$6:$N$790,'All Calls'!$F$6:$F$790,"Lay")</f>
        <v/>
      </c>
    </row>
    <row r="8" ht="20" customHeight="1"/>
    <row r="9" ht="20" customHeight="1">
      <c r="B9" s="9">
        <f>COUNTIFS('All Calls'!$M$6:$M$790,"Win")+COUNTIFS('All Calls'!$M$6:$M$790,"Loss")&amp;" settled, "&amp;TEXT(COUNTIFS('All Calls'!$M$6:$M$790,"Win")/(COUNTIFS('All Calls'!$M$6:$M$790,"Win")+COUNTIFS('All Calls'!$M$6:$M$790,"Loss")),"0%")&amp;" strike, "&amp;TEXT(IF(SUM('All Calls'!$O$6:$O$790)=0,0,B7/SUM('All Calls'!$O$6:$O$790)),"+0.0%;-0.0%")&amp;" ROI"</f>
        <v/>
      </c>
      <c r="C9" s="1" t="n"/>
      <c r="D9" s="1" t="n"/>
      <c r="E9" s="10">
        <f>COUNTIFS('All Calls'!$M$6:$M$790,"Win",'All Calls'!$F$6:$F$790,"Bet")+COUNTIFS('All Calls'!$M$6:$M$790,"Loss",'All Calls'!$F$6:$F$790,"Bet")&amp;" settled, "&amp;TEXT(COUNTIFS('All Calls'!$M$6:$M$790,"Win",'All Calls'!$F$6:$F$790,"Bet")/(COUNTIFS('All Calls'!$M$6:$M$790,"Win",'All Calls'!$F$6:$F$790,"Bet")+COUNTIFS('All Calls'!$M$6:$M$790,"Loss",'All Calls'!$F$6:$F$790,"Bet")),"0%")&amp;" strike, "&amp;TEXT(IF(SUMIFS('All Calls'!$O$6:$O$790,'All Calls'!$F$6:$F$790,"Bet")=0,0,E7/SUMIFS('All Calls'!$O$6:$O$790,'All Calls'!$F$6:$F$790,"Bet")),"+0.0%;-0.0%")&amp;" ROI"</f>
        <v/>
      </c>
      <c r="F9" s="6" t="n"/>
      <c r="G9" s="6" t="n"/>
      <c r="H9" s="10">
        <f>COUNTIFS('All Calls'!$M$6:$M$790,"Win",'All Calls'!$F$6:$F$790,"Lay")+COUNTIFS('All Calls'!$M$6:$M$790,"Loss",'All Calls'!$F$6:$F$790,"Lay")&amp;" settled, "&amp;TEXT(COUNTIFS('All Calls'!$M$6:$M$790,"Win",'All Calls'!$F$6:$F$790,"Lay")/(COUNTIFS('All Calls'!$M$6:$M$790,"Win",'All Calls'!$F$6:$F$790,"Lay")+COUNTIFS('All Calls'!$M$6:$M$790,"Loss",'All Calls'!$F$6:$F$790,"Lay")),"0%")&amp;" strike, "&amp;TEXT(IF(SUMIFS('All Calls'!$O$6:$O$790,'All Calls'!$F$6:$F$790,"Lay")=0,0,H7/SUMIFS('All Calls'!$O$6:$O$790,'All Calls'!$F$6:$F$790,"Lay")),"+0.0%;-0.0%")&amp;" ROI"</f>
        <v/>
      </c>
      <c r="I9" s="6" t="n"/>
      <c r="J9" s="6" t="n"/>
    </row>
    <row r="11">
      <c r="A11" s="11" t="inlineStr">
        <is>
          <t>Level stakes: one unit a call, a tenth on a Way. Bets settle at the best of fixed odds, SP and BSP; lays at the shortest lay price or BSP.</t>
        </is>
      </c>
    </row>
    <row r="12">
      <c r="A12" s="11" t="inlineStr">
        <is>
          <t>A lay wins one unit when the horse loses and risks the price less one. ROI is profit over units at risk. Scratchings and abandoned races are void.</t>
        </is>
      </c>
    </row>
    <row r="13">
      <c r="A13" s="11" t="inlineStr">
        <is>
          <t>Bets at $10 or more from 11 to 15 Sep are excluded: our ratings over-priced long shots until the 15 Sep fix.</t>
        </is>
      </c>
    </row>
    <row r="14" ht="22" customHeight="1">
      <c r="A14" s="12" t="inlineStr">
        <is>
          <t>BY CALL</t>
        </is>
      </c>
    </row>
    <row r="15" ht="24" customHeight="1">
      <c r="A15" s="13" t="inlineStr"/>
      <c r="B15" s="13" t="inlineStr">
        <is>
          <t>Calls</t>
        </is>
      </c>
      <c r="C15" s="13" t="inlineStr">
        <is>
          <t>Won</t>
        </is>
      </c>
      <c r="D15" s="13" t="inlineStr">
        <is>
          <t>Lost</t>
        </is>
      </c>
      <c r="E15" s="13" t="inlineStr">
        <is>
          <t>Void</t>
        </is>
      </c>
      <c r="F15" s="13" t="inlineStr">
        <is>
          <t>Pending</t>
        </is>
      </c>
      <c r="G15" s="13" t="inlineStr">
        <is>
          <t>Strike</t>
        </is>
      </c>
      <c r="H15" s="13" t="inlineStr">
        <is>
          <t>Profit (u)</t>
        </is>
      </c>
      <c r="I15" s="13" t="inlineStr">
        <is>
          <t>At risk (u)</t>
        </is>
      </c>
      <c r="J15" s="13" t="inlineStr">
        <is>
          <t>ROI</t>
        </is>
      </c>
    </row>
    <row r="16" ht="20" customHeight="1">
      <c r="A16" s="14" t="inlineStr">
        <is>
          <t>All calls</t>
        </is>
      </c>
      <c r="B16" s="15">
        <f>COUNTIFS('All Calls'!$M$6:$M$790,"&lt;&gt;")</f>
        <v/>
      </c>
      <c r="C16" s="15">
        <f>COUNTIFS('All Calls'!$M$6:$M$790,"Win")</f>
        <v/>
      </c>
      <c r="D16" s="15">
        <f>COUNTIFS('All Calls'!$M$6:$M$790,"Loss")</f>
        <v/>
      </c>
      <c r="E16" s="15">
        <f>COUNTIFS('All Calls'!$M$6:$M$790,"Void")</f>
        <v/>
      </c>
      <c r="F16" s="15">
        <f>COUNTIFS('All Calls'!$M$6:$M$790,"Pending")</f>
        <v/>
      </c>
      <c r="G16" s="16">
        <f>IF(C16+D16=0,"",C16/(C16+D16))</f>
        <v/>
      </c>
      <c r="H16" s="17">
        <f>SUM('All Calls'!$N$6:$N$790)</f>
        <v/>
      </c>
      <c r="I16" s="18">
        <f>SUM('All Calls'!$O$6:$O$790)</f>
        <v/>
      </c>
      <c r="J16" s="19">
        <f>IF(I16=0,"",H16/I16)</f>
        <v/>
      </c>
    </row>
    <row r="17" ht="20" customHeight="1">
      <c r="A17" s="20" t="inlineStr">
        <is>
          <t>Bets</t>
        </is>
      </c>
      <c r="B17" s="21">
        <f>COUNTIFS('All Calls'!$M$6:$M$790,"&lt;&gt;",'All Calls'!$F$6:$F$790,"Bet")</f>
        <v/>
      </c>
      <c r="C17" s="21">
        <f>COUNTIFS('All Calls'!$M$6:$M$790,"Win",'All Calls'!$F$6:$F$790,"Bet")</f>
        <v/>
      </c>
      <c r="D17" s="21">
        <f>COUNTIFS('All Calls'!$M$6:$M$790,"Loss",'All Calls'!$F$6:$F$790,"Bet")</f>
        <v/>
      </c>
      <c r="E17" s="21">
        <f>COUNTIFS('All Calls'!$M$6:$M$790,"Void",'All Calls'!$F$6:$F$790,"Bet")</f>
        <v/>
      </c>
      <c r="F17" s="21">
        <f>COUNTIFS('All Calls'!$M$6:$M$790,"Pending",'All Calls'!$F$6:$F$790,"Bet")</f>
        <v/>
      </c>
      <c r="G17" s="22">
        <f>IF(C17+D17=0,"",C17/(C17+D17))</f>
        <v/>
      </c>
      <c r="H17" s="23">
        <f>SUMIFS('All Calls'!$N$6:$N$790,'All Calls'!$F$6:$F$790,"Bet")</f>
        <v/>
      </c>
      <c r="I17" s="24">
        <f>SUMIFS('All Calls'!$O$6:$O$790,'All Calls'!$F$6:$F$790,"Bet")</f>
        <v/>
      </c>
      <c r="J17" s="25">
        <f>IF(I17=0,"",H17/I17)</f>
        <v/>
      </c>
    </row>
    <row r="18" ht="20" customHeight="1">
      <c r="A18" s="14" t="inlineStr">
        <is>
          <t>Lays</t>
        </is>
      </c>
      <c r="B18" s="15">
        <f>COUNTIFS('All Calls'!$M$6:$M$790,"&lt;&gt;",'All Calls'!$F$6:$F$790,"Lay")</f>
        <v/>
      </c>
      <c r="C18" s="15">
        <f>COUNTIFS('All Calls'!$M$6:$M$790,"Win",'All Calls'!$F$6:$F$790,"Lay")</f>
        <v/>
      </c>
      <c r="D18" s="15">
        <f>COUNTIFS('All Calls'!$M$6:$M$790,"Loss",'All Calls'!$F$6:$F$790,"Lay")</f>
        <v/>
      </c>
      <c r="E18" s="15">
        <f>COUNTIFS('All Calls'!$M$6:$M$790,"Void",'All Calls'!$F$6:$F$790,"Lay")</f>
        <v/>
      </c>
      <c r="F18" s="15">
        <f>COUNTIFS('All Calls'!$M$6:$M$790,"Pending",'All Calls'!$F$6:$F$790,"Lay")</f>
        <v/>
      </c>
      <c r="G18" s="16">
        <f>IF(C18+D18=0,"",C18/(C18+D18))</f>
        <v/>
      </c>
      <c r="H18" s="17">
        <f>SUMIFS('All Calls'!$N$6:$N$790,'All Calls'!$F$6:$F$790,"Lay")</f>
        <v/>
      </c>
      <c r="I18" s="18">
        <f>SUMIFS('All Calls'!$O$6:$O$790,'All Calls'!$F$6:$F$790,"Lay")</f>
        <v/>
      </c>
      <c r="J18" s="19">
        <f>IF(I18=0,"",H18/I18)</f>
        <v/>
      </c>
    </row>
    <row r="20" ht="22" customHeight="1">
      <c r="A20" s="12" t="inlineStr">
        <is>
          <t>BY TAG</t>
        </is>
      </c>
    </row>
    <row r="21" ht="24" customHeight="1">
      <c r="A21" s="26" t="inlineStr">
        <is>
          <t>Tag</t>
        </is>
      </c>
      <c r="B21" s="13" t="inlineStr">
        <is>
          <t>Calls</t>
        </is>
      </c>
      <c r="C21" s="13" t="inlineStr">
        <is>
          <t>Won</t>
        </is>
      </c>
      <c r="D21" s="13" t="inlineStr">
        <is>
          <t>Lost</t>
        </is>
      </c>
      <c r="E21" s="13" t="inlineStr">
        <is>
          <t>Void</t>
        </is>
      </c>
      <c r="F21" s="13" t="inlineStr">
        <is>
          <t>Pending</t>
        </is>
      </c>
      <c r="G21" s="13" t="inlineStr">
        <is>
          <t>Strike</t>
        </is>
      </c>
      <c r="H21" s="13" t="inlineStr">
        <is>
          <t>Profit (u)</t>
        </is>
      </c>
      <c r="I21" s="13" t="inlineStr">
        <is>
          <t>At risk (u)</t>
        </is>
      </c>
      <c r="J21" s="13" t="inlineStr">
        <is>
          <t>ROI</t>
        </is>
      </c>
    </row>
    <row r="22" ht="20" customHeight="1">
      <c r="A22" s="27" t="inlineStr">
        <is>
          <t>Prime</t>
        </is>
      </c>
      <c r="B22" s="15">
        <f>COUNTIFS('All Calls'!$M$6:$M$790,"&lt;&gt;",'All Calls'!$G$6:$G$790,"Prime")</f>
        <v/>
      </c>
      <c r="C22" s="15">
        <f>COUNTIFS('All Calls'!$M$6:$M$790,"Win",'All Calls'!$G$6:$G$790,"Prime")</f>
        <v/>
      </c>
      <c r="D22" s="15">
        <f>COUNTIFS('All Calls'!$M$6:$M$790,"Loss",'All Calls'!$G$6:$G$790,"Prime")</f>
        <v/>
      </c>
      <c r="E22" s="15">
        <f>COUNTIFS('All Calls'!$M$6:$M$790,"Void",'All Calls'!$G$6:$G$790,"Prime")</f>
        <v/>
      </c>
      <c r="F22" s="15">
        <f>COUNTIFS('All Calls'!$M$6:$M$790,"Pending",'All Calls'!$G$6:$G$790,"Prime")</f>
        <v/>
      </c>
      <c r="G22" s="16">
        <f>IF(C22+D22=0,"",C22/(C22+D22))</f>
        <v/>
      </c>
      <c r="H22" s="17">
        <f>SUMIFS('All Calls'!$N$6:$N$790,'All Calls'!$G$6:$G$790,"Prime")</f>
        <v/>
      </c>
      <c r="I22" s="18">
        <f>SUMIFS('All Calls'!$O$6:$O$790,'All Calls'!$G$6:$G$790,"Prime")</f>
        <v/>
      </c>
      <c r="J22" s="19">
        <f>IF(I22=0,"",H22/I22)</f>
        <v/>
      </c>
    </row>
    <row r="23" ht="20" customHeight="1">
      <c r="A23" s="28" t="inlineStr">
        <is>
          <t>Bet</t>
        </is>
      </c>
      <c r="B23" s="21">
        <f>COUNTIFS('All Calls'!$M$6:$M$790,"&lt;&gt;",'All Calls'!$G$6:$G$790,"Bet")</f>
        <v/>
      </c>
      <c r="C23" s="21">
        <f>COUNTIFS('All Calls'!$M$6:$M$790,"Win",'All Calls'!$G$6:$G$790,"Bet")</f>
        <v/>
      </c>
      <c r="D23" s="21">
        <f>COUNTIFS('All Calls'!$M$6:$M$790,"Loss",'All Calls'!$G$6:$G$790,"Bet")</f>
        <v/>
      </c>
      <c r="E23" s="21">
        <f>COUNTIFS('All Calls'!$M$6:$M$790,"Void",'All Calls'!$G$6:$G$790,"Bet")</f>
        <v/>
      </c>
      <c r="F23" s="21">
        <f>COUNTIFS('All Calls'!$M$6:$M$790,"Pending",'All Calls'!$G$6:$G$790,"Bet")</f>
        <v/>
      </c>
      <c r="G23" s="22">
        <f>IF(C23+D23=0,"",C23/(C23+D23))</f>
        <v/>
      </c>
      <c r="H23" s="23">
        <f>SUMIFS('All Calls'!$N$6:$N$790,'All Calls'!$G$6:$G$790,"Bet")</f>
        <v/>
      </c>
      <c r="I23" s="24">
        <f>SUMIFS('All Calls'!$O$6:$O$790,'All Calls'!$G$6:$G$790,"Bet")</f>
        <v/>
      </c>
      <c r="J23" s="25">
        <f>IF(I23=0,"",H23/I23)</f>
        <v/>
      </c>
    </row>
    <row r="24" ht="20" customHeight="1">
      <c r="A24" s="29" t="inlineStr">
        <is>
          <t>Way</t>
        </is>
      </c>
      <c r="B24" s="15">
        <f>COUNTIFS('All Calls'!$M$6:$M$790,"&lt;&gt;",'All Calls'!$G$6:$G$790,"Way")</f>
        <v/>
      </c>
      <c r="C24" s="15">
        <f>COUNTIFS('All Calls'!$M$6:$M$790,"Win",'All Calls'!$G$6:$G$790,"Way")</f>
        <v/>
      </c>
      <c r="D24" s="15">
        <f>COUNTIFS('All Calls'!$M$6:$M$790,"Loss",'All Calls'!$G$6:$G$790,"Way")</f>
        <v/>
      </c>
      <c r="E24" s="15">
        <f>COUNTIFS('All Calls'!$M$6:$M$790,"Void",'All Calls'!$G$6:$G$790,"Way")</f>
        <v/>
      </c>
      <c r="F24" s="15">
        <f>COUNTIFS('All Calls'!$M$6:$M$790,"Pending",'All Calls'!$G$6:$G$790,"Way")</f>
        <v/>
      </c>
      <c r="G24" s="16">
        <f>IF(C24+D24=0,"",C24/(C24+D24))</f>
        <v/>
      </c>
      <c r="H24" s="17">
        <f>SUMIFS('All Calls'!$N$6:$N$790,'All Calls'!$G$6:$G$790,"Way")</f>
        <v/>
      </c>
      <c r="I24" s="18">
        <f>SUMIFS('All Calls'!$O$6:$O$790,'All Calls'!$G$6:$G$790,"Way")</f>
        <v/>
      </c>
      <c r="J24" s="19">
        <f>IF(I24=0,"",H24/I24)</f>
        <v/>
      </c>
    </row>
    <row r="25" ht="20" customHeight="1">
      <c r="A25" s="30" t="inlineStr">
        <is>
          <t>Lay</t>
        </is>
      </c>
      <c r="B25" s="21">
        <f>COUNTIFS('All Calls'!$M$6:$M$790,"&lt;&gt;",'All Calls'!$G$6:$G$790,"Lay")</f>
        <v/>
      </c>
      <c r="C25" s="21">
        <f>COUNTIFS('All Calls'!$M$6:$M$790,"Win",'All Calls'!$G$6:$G$790,"Lay")</f>
        <v/>
      </c>
      <c r="D25" s="21">
        <f>COUNTIFS('All Calls'!$M$6:$M$790,"Loss",'All Calls'!$G$6:$G$790,"Lay")</f>
        <v/>
      </c>
      <c r="E25" s="21">
        <f>COUNTIFS('All Calls'!$M$6:$M$790,"Void",'All Calls'!$G$6:$G$790,"Lay")</f>
        <v/>
      </c>
      <c r="F25" s="21">
        <f>COUNTIFS('All Calls'!$M$6:$M$790,"Pending",'All Calls'!$G$6:$G$790,"Lay")</f>
        <v/>
      </c>
      <c r="G25" s="22">
        <f>IF(C25+D25=0,"",C25/(C25+D25))</f>
        <v/>
      </c>
      <c r="H25" s="23">
        <f>SUMIFS('All Calls'!$N$6:$N$790,'All Calls'!$G$6:$G$790,"Lay")</f>
        <v/>
      </c>
      <c r="I25" s="24">
        <f>SUMIFS('All Calls'!$O$6:$O$790,'All Calls'!$G$6:$G$790,"Lay")</f>
        <v/>
      </c>
      <c r="J25" s="25">
        <f>IF(I25=0,"",H25/I25)</f>
        <v/>
      </c>
    </row>
    <row r="27" ht="22" customHeight="1">
      <c r="A27" s="12" t="inlineStr">
        <is>
          <t>BY WEEK</t>
        </is>
      </c>
    </row>
    <row r="28" ht="24" customHeight="1">
      <c r="A28" s="26" t="inlineStr">
        <is>
          <t>Week of</t>
        </is>
      </c>
      <c r="B28" s="13" t="inlineStr">
        <is>
          <t>Calls</t>
        </is>
      </c>
      <c r="C28" s="13" t="inlineStr">
        <is>
          <t>Won</t>
        </is>
      </c>
      <c r="D28" s="13" t="inlineStr">
        <is>
          <t>Lost</t>
        </is>
      </c>
      <c r="E28" s="13" t="inlineStr">
        <is>
          <t>Void</t>
        </is>
      </c>
      <c r="F28" s="13" t="inlineStr">
        <is>
          <t>Pending</t>
        </is>
      </c>
      <c r="G28" s="13" t="inlineStr">
        <is>
          <t>Strike</t>
        </is>
      </c>
      <c r="H28" s="13" t="inlineStr">
        <is>
          <t>Profit (u)</t>
        </is>
      </c>
      <c r="I28" s="13" t="inlineStr">
        <is>
          <t>At risk (u)</t>
        </is>
      </c>
      <c r="J28" s="13" t="inlineStr">
        <is>
          <t>ROI</t>
        </is>
      </c>
    </row>
    <row r="29" ht="20" customHeight="1">
      <c r="A29" s="31" t="n">
        <v>46272</v>
      </c>
      <c r="B29" s="15">
        <f>COUNTIFS('All Calls'!$M$6:$M$790,"&lt;&gt;",'All Calls'!$A$6:$A$790,"&gt;="&amp;$A29,'All Calls'!$A$6:$A$790,"&lt;"&amp;($A29+7))</f>
        <v/>
      </c>
      <c r="C29" s="15">
        <f>COUNTIFS('All Calls'!$M$6:$M$790,"Win",'All Calls'!$A$6:$A$790,"&gt;="&amp;$A29,'All Calls'!$A$6:$A$790,"&lt;"&amp;($A29+7))</f>
        <v/>
      </c>
      <c r="D29" s="15">
        <f>COUNTIFS('All Calls'!$M$6:$M$790,"Loss",'All Calls'!$A$6:$A$790,"&gt;="&amp;$A29,'All Calls'!$A$6:$A$790,"&lt;"&amp;($A29+7))</f>
        <v/>
      </c>
      <c r="E29" s="15">
        <f>COUNTIFS('All Calls'!$M$6:$M$790,"Void",'All Calls'!$A$6:$A$790,"&gt;="&amp;$A29,'All Calls'!$A$6:$A$790,"&lt;"&amp;($A29+7))</f>
        <v/>
      </c>
      <c r="F29" s="15">
        <f>COUNTIFS('All Calls'!$M$6:$M$790,"Pending",'All Calls'!$A$6:$A$790,"&gt;="&amp;$A29,'All Calls'!$A$6:$A$790,"&lt;"&amp;($A29+7))</f>
        <v/>
      </c>
      <c r="G29" s="16">
        <f>IF(C29+D29=0,"",C29/(C29+D29))</f>
        <v/>
      </c>
      <c r="H29" s="17">
        <f>SUMIFS('All Calls'!$N$6:$N$790,'All Calls'!$A$6:$A$790,"&gt;="&amp;$A29,'All Calls'!$A$6:$A$790,"&lt;"&amp;($A29+7))</f>
        <v/>
      </c>
      <c r="I29" s="18">
        <f>SUMIFS('All Calls'!$O$6:$O$790,'All Calls'!$A$6:$A$790,"&gt;="&amp;$A29,'All Calls'!$A$6:$A$790,"&lt;"&amp;($A29+7))</f>
        <v/>
      </c>
      <c r="J29" s="19">
        <f>IF(I29=0,"",H29/I29)</f>
        <v/>
      </c>
    </row>
    <row r="30" ht="20" customHeight="1">
      <c r="A30" s="32" t="n">
        <v>46279</v>
      </c>
      <c r="B30" s="21">
        <f>COUNTIFS('All Calls'!$M$6:$M$790,"&lt;&gt;",'All Calls'!$A$6:$A$790,"&gt;="&amp;$A30,'All Calls'!$A$6:$A$790,"&lt;"&amp;($A30+7))</f>
        <v/>
      </c>
      <c r="C30" s="21">
        <f>COUNTIFS('All Calls'!$M$6:$M$790,"Win",'All Calls'!$A$6:$A$790,"&gt;="&amp;$A30,'All Calls'!$A$6:$A$790,"&lt;"&amp;($A30+7))</f>
        <v/>
      </c>
      <c r="D30" s="21">
        <f>COUNTIFS('All Calls'!$M$6:$M$790,"Loss",'All Calls'!$A$6:$A$790,"&gt;="&amp;$A30,'All Calls'!$A$6:$A$790,"&lt;"&amp;($A30+7))</f>
        <v/>
      </c>
      <c r="E30" s="21">
        <f>COUNTIFS('All Calls'!$M$6:$M$790,"Void",'All Calls'!$A$6:$A$790,"&gt;="&amp;$A30,'All Calls'!$A$6:$A$790,"&lt;"&amp;($A30+7))</f>
        <v/>
      </c>
      <c r="F30" s="21">
        <f>COUNTIFS('All Calls'!$M$6:$M$790,"Pending",'All Calls'!$A$6:$A$790,"&gt;="&amp;$A30,'All Calls'!$A$6:$A$790,"&lt;"&amp;($A30+7))</f>
        <v/>
      </c>
      <c r="G30" s="22">
        <f>IF(C30+D30=0,"",C30/(C30+D30))</f>
        <v/>
      </c>
      <c r="H30" s="23">
        <f>SUMIFS('All Calls'!$N$6:$N$790,'All Calls'!$A$6:$A$790,"&gt;="&amp;$A30,'All Calls'!$A$6:$A$790,"&lt;"&amp;($A30+7))</f>
        <v/>
      </c>
      <c r="I30" s="24">
        <f>SUMIFS('All Calls'!$O$6:$O$790,'All Calls'!$A$6:$A$790,"&gt;="&amp;$A30,'All Calls'!$A$6:$A$790,"&lt;"&amp;($A30+7))</f>
        <v/>
      </c>
      <c r="J30" s="25">
        <f>IF(I30=0,"",H30/I30)</f>
        <v/>
      </c>
    </row>
    <row r="31" ht="20" customHeight="1">
      <c r="A31" s="31" t="n">
        <v>46286</v>
      </c>
      <c r="B31" s="15">
        <f>COUNTIFS('All Calls'!$M$6:$M$790,"&lt;&gt;",'All Calls'!$A$6:$A$790,"&gt;="&amp;$A31,'All Calls'!$A$6:$A$790,"&lt;"&amp;($A31+7))</f>
        <v/>
      </c>
      <c r="C31" s="15">
        <f>COUNTIFS('All Calls'!$M$6:$M$790,"Win",'All Calls'!$A$6:$A$790,"&gt;="&amp;$A31,'All Calls'!$A$6:$A$790,"&lt;"&amp;($A31+7))</f>
        <v/>
      </c>
      <c r="D31" s="15">
        <f>COUNTIFS('All Calls'!$M$6:$M$790,"Loss",'All Calls'!$A$6:$A$790,"&gt;="&amp;$A31,'All Calls'!$A$6:$A$790,"&lt;"&amp;($A31+7))</f>
        <v/>
      </c>
      <c r="E31" s="15">
        <f>COUNTIFS('All Calls'!$M$6:$M$790,"Void",'All Calls'!$A$6:$A$790,"&gt;="&amp;$A31,'All Calls'!$A$6:$A$790,"&lt;"&amp;($A31+7))</f>
        <v/>
      </c>
      <c r="F31" s="15">
        <f>COUNTIFS('All Calls'!$M$6:$M$790,"Pending",'All Calls'!$A$6:$A$790,"&gt;="&amp;$A31,'All Calls'!$A$6:$A$790,"&lt;"&amp;($A31+7))</f>
        <v/>
      </c>
      <c r="G31" s="16">
        <f>IF(C31+D31=0,"",C31/(C31+D31))</f>
        <v/>
      </c>
      <c r="H31" s="17">
        <f>SUMIFS('All Calls'!$N$6:$N$790,'All Calls'!$A$6:$A$790,"&gt;="&amp;$A31,'All Calls'!$A$6:$A$790,"&lt;"&amp;($A31+7))</f>
        <v/>
      </c>
      <c r="I31" s="18">
        <f>SUMIFS('All Calls'!$O$6:$O$790,'All Calls'!$A$6:$A$790,"&gt;="&amp;$A31,'All Calls'!$A$6:$A$790,"&lt;"&amp;($A31+7))</f>
        <v/>
      </c>
      <c r="J31" s="19">
        <f>IF(I31=0,"",H31/I31)</f>
        <v/>
      </c>
    </row>
    <row r="32" ht="20" customHeight="1">
      <c r="A32" s="32" t="n">
        <v>46293</v>
      </c>
      <c r="B32" s="21">
        <f>COUNTIFS('All Calls'!$M$6:$M$790,"&lt;&gt;",'All Calls'!$A$6:$A$790,"&gt;="&amp;$A32,'All Calls'!$A$6:$A$790,"&lt;"&amp;($A32+7))</f>
        <v/>
      </c>
      <c r="C32" s="21">
        <f>COUNTIFS('All Calls'!$M$6:$M$790,"Win",'All Calls'!$A$6:$A$790,"&gt;="&amp;$A32,'All Calls'!$A$6:$A$790,"&lt;"&amp;($A32+7))</f>
        <v/>
      </c>
      <c r="D32" s="21">
        <f>COUNTIFS('All Calls'!$M$6:$M$790,"Loss",'All Calls'!$A$6:$A$790,"&gt;="&amp;$A32,'All Calls'!$A$6:$A$790,"&lt;"&amp;($A32+7))</f>
        <v/>
      </c>
      <c r="E32" s="21">
        <f>COUNTIFS('All Calls'!$M$6:$M$790,"Void",'All Calls'!$A$6:$A$790,"&gt;="&amp;$A32,'All Calls'!$A$6:$A$790,"&lt;"&amp;($A32+7))</f>
        <v/>
      </c>
      <c r="F32" s="21">
        <f>COUNTIFS('All Calls'!$M$6:$M$790,"Pending",'All Calls'!$A$6:$A$790,"&gt;="&amp;$A32,'All Calls'!$A$6:$A$790,"&lt;"&amp;($A32+7))</f>
        <v/>
      </c>
      <c r="G32" s="22">
        <f>IF(C32+D32=0,"",C32/(C32+D32))</f>
        <v/>
      </c>
      <c r="H32" s="23">
        <f>SUMIFS('All Calls'!$N$6:$N$790,'All Calls'!$A$6:$A$790,"&gt;="&amp;$A32,'All Calls'!$A$6:$A$790,"&lt;"&amp;($A32+7))</f>
        <v/>
      </c>
      <c r="I32" s="24">
        <f>SUMIFS('All Calls'!$O$6:$O$790,'All Calls'!$A$6:$A$790,"&gt;="&amp;$A32,'All Calls'!$A$6:$A$790,"&lt;"&amp;($A32+7))</f>
        <v/>
      </c>
      <c r="J32" s="25">
        <f>IF(I32=0,"",H32/I32)</f>
        <v/>
      </c>
    </row>
    <row r="34" ht="22" customHeight="1">
      <c r="A34" s="12" t="inlineStr">
        <is>
          <t>BY DAY</t>
        </is>
      </c>
    </row>
    <row r="35" ht="24" customHeight="1">
      <c r="A35" s="26" t="inlineStr">
        <is>
          <t>Date</t>
        </is>
      </c>
      <c r="B35" s="13" t="inlineStr">
        <is>
          <t>Settled</t>
        </is>
      </c>
      <c r="C35" s="13" t="inlineStr">
        <is>
          <t>Bets (u)</t>
        </is>
      </c>
      <c r="D35" s="13" t="inlineStr">
        <is>
          <t>Lays (u)</t>
        </is>
      </c>
      <c r="E35" s="13" t="inlineStr">
        <is>
          <t>Day (u)</t>
        </is>
      </c>
      <c r="F35" s="13" t="inlineStr">
        <is>
          <t>Running (u)</t>
        </is>
      </c>
    </row>
    <row r="36">
      <c r="A36" s="33" t="n">
        <v>46276</v>
      </c>
      <c r="B36" s="15">
        <f>COUNTIFS('All Calls'!$A$6:$A$790,$A36,'All Calls'!$M$6:$M$790,"&lt;&gt;Pending")</f>
        <v/>
      </c>
      <c r="C36" s="34">
        <f>SUMIFS('All Calls'!$N$6:$N$790,'All Calls'!$A$6:$A$790,$A36,'All Calls'!$F$6:$F$790,"Bet")</f>
        <v/>
      </c>
      <c r="D36" s="34">
        <f>SUMIFS('All Calls'!$N$6:$N$790,'All Calls'!$A$6:$A$790,$A36,'All Calls'!$F$6:$F$790,"Lay")</f>
        <v/>
      </c>
      <c r="E36" s="34">
        <f>C36+D36</f>
        <v/>
      </c>
      <c r="F36" s="17">
        <f>E36</f>
        <v/>
      </c>
    </row>
    <row r="37">
      <c r="A37" s="35" t="n">
        <v>46277</v>
      </c>
      <c r="B37" s="21">
        <f>COUNTIFS('All Calls'!$A$6:$A$790,$A37,'All Calls'!$M$6:$M$790,"&lt;&gt;Pending")</f>
        <v/>
      </c>
      <c r="C37" s="36">
        <f>SUMIFS('All Calls'!$N$6:$N$790,'All Calls'!$A$6:$A$790,$A37,'All Calls'!$F$6:$F$790,"Bet")</f>
        <v/>
      </c>
      <c r="D37" s="36">
        <f>SUMIFS('All Calls'!$N$6:$N$790,'All Calls'!$A$6:$A$790,$A37,'All Calls'!$F$6:$F$790,"Lay")</f>
        <v/>
      </c>
      <c r="E37" s="36">
        <f>C37+D37</f>
        <v/>
      </c>
      <c r="F37" s="23">
        <f>F36+E37</f>
        <v/>
      </c>
    </row>
    <row r="38">
      <c r="A38" s="33" t="n">
        <v>46278</v>
      </c>
      <c r="B38" s="15">
        <f>COUNTIFS('All Calls'!$A$6:$A$790,$A38,'All Calls'!$M$6:$M$790,"&lt;&gt;Pending")</f>
        <v/>
      </c>
      <c r="C38" s="34">
        <f>SUMIFS('All Calls'!$N$6:$N$790,'All Calls'!$A$6:$A$790,$A38,'All Calls'!$F$6:$F$790,"Bet")</f>
        <v/>
      </c>
      <c r="D38" s="34">
        <f>SUMIFS('All Calls'!$N$6:$N$790,'All Calls'!$A$6:$A$790,$A38,'All Calls'!$F$6:$F$790,"Lay")</f>
        <v/>
      </c>
      <c r="E38" s="34">
        <f>C38+D38</f>
        <v/>
      </c>
      <c r="F38" s="17">
        <f>F37+E38</f>
        <v/>
      </c>
    </row>
    <row r="39">
      <c r="A39" s="35" t="n">
        <v>46279</v>
      </c>
      <c r="B39" s="21">
        <f>COUNTIFS('All Calls'!$A$6:$A$790,$A39,'All Calls'!$M$6:$M$790,"&lt;&gt;Pending")</f>
        <v/>
      </c>
      <c r="C39" s="36">
        <f>SUMIFS('All Calls'!$N$6:$N$790,'All Calls'!$A$6:$A$790,$A39,'All Calls'!$F$6:$F$790,"Bet")</f>
        <v/>
      </c>
      <c r="D39" s="36">
        <f>SUMIFS('All Calls'!$N$6:$N$790,'All Calls'!$A$6:$A$790,$A39,'All Calls'!$F$6:$F$790,"Lay")</f>
        <v/>
      </c>
      <c r="E39" s="36">
        <f>C39+D39</f>
        <v/>
      </c>
      <c r="F39" s="23">
        <f>F38+E39</f>
        <v/>
      </c>
    </row>
    <row r="40">
      <c r="A40" s="33" t="n">
        <v>46280</v>
      </c>
      <c r="B40" s="15">
        <f>COUNTIFS('All Calls'!$A$6:$A$790,$A40,'All Calls'!$M$6:$M$790,"&lt;&gt;Pending")</f>
        <v/>
      </c>
      <c r="C40" s="34">
        <f>SUMIFS('All Calls'!$N$6:$N$790,'All Calls'!$A$6:$A$790,$A40,'All Calls'!$F$6:$F$790,"Bet")</f>
        <v/>
      </c>
      <c r="D40" s="34">
        <f>SUMIFS('All Calls'!$N$6:$N$790,'All Calls'!$A$6:$A$790,$A40,'All Calls'!$F$6:$F$790,"Lay")</f>
        <v/>
      </c>
      <c r="E40" s="34">
        <f>C40+D40</f>
        <v/>
      </c>
      <c r="F40" s="17">
        <f>F39+E40</f>
        <v/>
      </c>
    </row>
    <row r="41">
      <c r="A41" s="35" t="n">
        <v>46281</v>
      </c>
      <c r="B41" s="21">
        <f>COUNTIFS('All Calls'!$A$6:$A$790,$A41,'All Calls'!$M$6:$M$790,"&lt;&gt;Pending")</f>
        <v/>
      </c>
      <c r="C41" s="36">
        <f>SUMIFS('All Calls'!$N$6:$N$790,'All Calls'!$A$6:$A$790,$A41,'All Calls'!$F$6:$F$790,"Bet")</f>
        <v/>
      </c>
      <c r="D41" s="36">
        <f>SUMIFS('All Calls'!$N$6:$N$790,'All Calls'!$A$6:$A$790,$A41,'All Calls'!$F$6:$F$790,"Lay")</f>
        <v/>
      </c>
      <c r="E41" s="36">
        <f>C41+D41</f>
        <v/>
      </c>
      <c r="F41" s="23">
        <f>F40+E41</f>
        <v/>
      </c>
    </row>
    <row r="42">
      <c r="A42" s="33" t="n">
        <v>46282</v>
      </c>
      <c r="B42" s="15">
        <f>COUNTIFS('All Calls'!$A$6:$A$790,$A42,'All Calls'!$M$6:$M$790,"&lt;&gt;Pending")</f>
        <v/>
      </c>
      <c r="C42" s="34">
        <f>SUMIFS('All Calls'!$N$6:$N$790,'All Calls'!$A$6:$A$790,$A42,'All Calls'!$F$6:$F$790,"Bet")</f>
        <v/>
      </c>
      <c r="D42" s="34">
        <f>SUMIFS('All Calls'!$N$6:$N$790,'All Calls'!$A$6:$A$790,$A42,'All Calls'!$F$6:$F$790,"Lay")</f>
        <v/>
      </c>
      <c r="E42" s="34">
        <f>C42+D42</f>
        <v/>
      </c>
      <c r="F42" s="17">
        <f>F41+E42</f>
        <v/>
      </c>
    </row>
    <row r="43">
      <c r="A43" s="35" t="n">
        <v>46283</v>
      </c>
      <c r="B43" s="21">
        <f>COUNTIFS('All Calls'!$A$6:$A$790,$A43,'All Calls'!$M$6:$M$790,"&lt;&gt;Pending")</f>
        <v/>
      </c>
      <c r="C43" s="36">
        <f>SUMIFS('All Calls'!$N$6:$N$790,'All Calls'!$A$6:$A$790,$A43,'All Calls'!$F$6:$F$790,"Bet")</f>
        <v/>
      </c>
      <c r="D43" s="36">
        <f>SUMIFS('All Calls'!$N$6:$N$790,'All Calls'!$A$6:$A$790,$A43,'All Calls'!$F$6:$F$790,"Lay")</f>
        <v/>
      </c>
      <c r="E43" s="36">
        <f>C43+D43</f>
        <v/>
      </c>
      <c r="F43" s="23">
        <f>F42+E43</f>
        <v/>
      </c>
    </row>
    <row r="44">
      <c r="A44" s="33" t="n">
        <v>46284</v>
      </c>
      <c r="B44" s="15">
        <f>COUNTIFS('All Calls'!$A$6:$A$790,$A44,'All Calls'!$M$6:$M$790,"&lt;&gt;Pending")</f>
        <v/>
      </c>
      <c r="C44" s="34">
        <f>SUMIFS('All Calls'!$N$6:$N$790,'All Calls'!$A$6:$A$790,$A44,'All Calls'!$F$6:$F$790,"Bet")</f>
        <v/>
      </c>
      <c r="D44" s="34">
        <f>SUMIFS('All Calls'!$N$6:$N$790,'All Calls'!$A$6:$A$790,$A44,'All Calls'!$F$6:$F$790,"Lay")</f>
        <v/>
      </c>
      <c r="E44" s="34">
        <f>C44+D44</f>
        <v/>
      </c>
      <c r="F44" s="17">
        <f>F43+E44</f>
        <v/>
      </c>
    </row>
    <row r="45">
      <c r="A45" s="35" t="n">
        <v>46285</v>
      </c>
      <c r="B45" s="21">
        <f>COUNTIFS('All Calls'!$A$6:$A$790,$A45,'All Calls'!$M$6:$M$790,"&lt;&gt;Pending")</f>
        <v/>
      </c>
      <c r="C45" s="36">
        <f>SUMIFS('All Calls'!$N$6:$N$790,'All Calls'!$A$6:$A$790,$A45,'All Calls'!$F$6:$F$790,"Bet")</f>
        <v/>
      </c>
      <c r="D45" s="36">
        <f>SUMIFS('All Calls'!$N$6:$N$790,'All Calls'!$A$6:$A$790,$A45,'All Calls'!$F$6:$F$790,"Lay")</f>
        <v/>
      </c>
      <c r="E45" s="36">
        <f>C45+D45</f>
        <v/>
      </c>
      <c r="F45" s="23">
        <f>F44+E45</f>
        <v/>
      </c>
    </row>
    <row r="46">
      <c r="A46" s="33" t="n">
        <v>46286</v>
      </c>
      <c r="B46" s="15">
        <f>COUNTIFS('All Calls'!$A$6:$A$790,$A46,'All Calls'!$M$6:$M$790,"&lt;&gt;Pending")</f>
        <v/>
      </c>
      <c r="C46" s="34">
        <f>SUMIFS('All Calls'!$N$6:$N$790,'All Calls'!$A$6:$A$790,$A46,'All Calls'!$F$6:$F$790,"Bet")</f>
        <v/>
      </c>
      <c r="D46" s="34">
        <f>SUMIFS('All Calls'!$N$6:$N$790,'All Calls'!$A$6:$A$790,$A46,'All Calls'!$F$6:$F$790,"Lay")</f>
        <v/>
      </c>
      <c r="E46" s="34">
        <f>C46+D46</f>
        <v/>
      </c>
      <c r="F46" s="17">
        <f>F45+E46</f>
        <v/>
      </c>
    </row>
    <row r="47">
      <c r="A47" s="35" t="n">
        <v>46287</v>
      </c>
      <c r="B47" s="21">
        <f>COUNTIFS('All Calls'!$A$6:$A$790,$A47,'All Calls'!$M$6:$M$790,"&lt;&gt;Pending")</f>
        <v/>
      </c>
      <c r="C47" s="36">
        <f>SUMIFS('All Calls'!$N$6:$N$790,'All Calls'!$A$6:$A$790,$A47,'All Calls'!$F$6:$F$790,"Bet")</f>
        <v/>
      </c>
      <c r="D47" s="36">
        <f>SUMIFS('All Calls'!$N$6:$N$790,'All Calls'!$A$6:$A$790,$A47,'All Calls'!$F$6:$F$790,"Lay")</f>
        <v/>
      </c>
      <c r="E47" s="36">
        <f>C47+D47</f>
        <v/>
      </c>
      <c r="F47" s="23">
        <f>F46+E47</f>
        <v/>
      </c>
    </row>
    <row r="48">
      <c r="A48" s="33" t="n">
        <v>46288</v>
      </c>
      <c r="B48" s="15">
        <f>COUNTIFS('All Calls'!$A$6:$A$790,$A48,'All Calls'!$M$6:$M$790,"&lt;&gt;Pending")</f>
        <v/>
      </c>
      <c r="C48" s="34">
        <f>SUMIFS('All Calls'!$N$6:$N$790,'All Calls'!$A$6:$A$790,$A48,'All Calls'!$F$6:$F$790,"Bet")</f>
        <v/>
      </c>
      <c r="D48" s="34">
        <f>SUMIFS('All Calls'!$N$6:$N$790,'All Calls'!$A$6:$A$790,$A48,'All Calls'!$F$6:$F$790,"Lay")</f>
        <v/>
      </c>
      <c r="E48" s="34">
        <f>C48+D48</f>
        <v/>
      </c>
      <c r="F48" s="17">
        <f>F47+E48</f>
        <v/>
      </c>
    </row>
    <row r="49">
      <c r="A49" s="35" t="n">
        <v>46289</v>
      </c>
      <c r="B49" s="21">
        <f>COUNTIFS('All Calls'!$A$6:$A$790,$A49,'All Calls'!$M$6:$M$790,"&lt;&gt;Pending")</f>
        <v/>
      </c>
      <c r="C49" s="36">
        <f>SUMIFS('All Calls'!$N$6:$N$790,'All Calls'!$A$6:$A$790,$A49,'All Calls'!$F$6:$F$790,"Bet")</f>
        <v/>
      </c>
      <c r="D49" s="36">
        <f>SUMIFS('All Calls'!$N$6:$N$790,'All Calls'!$A$6:$A$790,$A49,'All Calls'!$F$6:$F$790,"Lay")</f>
        <v/>
      </c>
      <c r="E49" s="36">
        <f>C49+D49</f>
        <v/>
      </c>
      <c r="F49" s="23">
        <f>F48+E49</f>
        <v/>
      </c>
    </row>
    <row r="50">
      <c r="A50" s="33" t="n">
        <v>46290</v>
      </c>
      <c r="B50" s="15">
        <f>COUNTIFS('All Calls'!$A$6:$A$790,$A50,'All Calls'!$M$6:$M$790,"&lt;&gt;Pending")</f>
        <v/>
      </c>
      <c r="C50" s="34">
        <f>SUMIFS('All Calls'!$N$6:$N$790,'All Calls'!$A$6:$A$790,$A50,'All Calls'!$F$6:$F$790,"Bet")</f>
        <v/>
      </c>
      <c r="D50" s="34">
        <f>SUMIFS('All Calls'!$N$6:$N$790,'All Calls'!$A$6:$A$790,$A50,'All Calls'!$F$6:$F$790,"Lay")</f>
        <v/>
      </c>
      <c r="E50" s="34">
        <f>C50+D50</f>
        <v/>
      </c>
      <c r="F50" s="17">
        <f>F49+E50</f>
        <v/>
      </c>
    </row>
    <row r="51">
      <c r="A51" s="35" t="n">
        <v>46291</v>
      </c>
      <c r="B51" s="21">
        <f>COUNTIFS('All Calls'!$A$6:$A$790,$A51,'All Calls'!$M$6:$M$790,"&lt;&gt;Pending")</f>
        <v/>
      </c>
      <c r="C51" s="36">
        <f>SUMIFS('All Calls'!$N$6:$N$790,'All Calls'!$A$6:$A$790,$A51,'All Calls'!$F$6:$F$790,"Bet")</f>
        <v/>
      </c>
      <c r="D51" s="36">
        <f>SUMIFS('All Calls'!$N$6:$N$790,'All Calls'!$A$6:$A$790,$A51,'All Calls'!$F$6:$F$790,"Lay")</f>
        <v/>
      </c>
      <c r="E51" s="36">
        <f>C51+D51</f>
        <v/>
      </c>
      <c r="F51" s="23">
        <f>F50+E51</f>
        <v/>
      </c>
    </row>
    <row r="52">
      <c r="A52" s="33" t="n">
        <v>46292</v>
      </c>
      <c r="B52" s="15">
        <f>COUNTIFS('All Calls'!$A$6:$A$790,$A52,'All Calls'!$M$6:$M$790,"&lt;&gt;Pending")</f>
        <v/>
      </c>
      <c r="C52" s="34">
        <f>SUMIFS('All Calls'!$N$6:$N$790,'All Calls'!$A$6:$A$790,$A52,'All Calls'!$F$6:$F$790,"Bet")</f>
        <v/>
      </c>
      <c r="D52" s="34">
        <f>SUMIFS('All Calls'!$N$6:$N$790,'All Calls'!$A$6:$A$790,$A52,'All Calls'!$F$6:$F$790,"Lay")</f>
        <v/>
      </c>
      <c r="E52" s="34">
        <f>C52+D52</f>
        <v/>
      </c>
      <c r="F52" s="17">
        <f>F51+E52</f>
        <v/>
      </c>
    </row>
    <row r="53">
      <c r="A53" s="35" t="n">
        <v>46293</v>
      </c>
      <c r="B53" s="21">
        <f>COUNTIFS('All Calls'!$A$6:$A$790,$A53,'All Calls'!$M$6:$M$790,"&lt;&gt;Pending")</f>
        <v/>
      </c>
      <c r="C53" s="36">
        <f>SUMIFS('All Calls'!$N$6:$N$790,'All Calls'!$A$6:$A$790,$A53,'All Calls'!$F$6:$F$790,"Bet")</f>
        <v/>
      </c>
      <c r="D53" s="36">
        <f>SUMIFS('All Calls'!$N$6:$N$790,'All Calls'!$A$6:$A$790,$A53,'All Calls'!$F$6:$F$790,"Lay")</f>
        <v/>
      </c>
      <c r="E53" s="36">
        <f>C53+D53</f>
        <v/>
      </c>
      <c r="F53" s="23">
        <f>F52+E53</f>
        <v/>
      </c>
    </row>
    <row r="54">
      <c r="A54" s="33" t="n">
        <v>46294</v>
      </c>
      <c r="B54" s="15">
        <f>COUNTIFS('All Calls'!$A$6:$A$790,$A54,'All Calls'!$M$6:$M$790,"&lt;&gt;Pending")</f>
        <v/>
      </c>
      <c r="C54" s="34">
        <f>SUMIFS('All Calls'!$N$6:$N$790,'All Calls'!$A$6:$A$790,$A54,'All Calls'!$F$6:$F$790,"Bet")</f>
        <v/>
      </c>
      <c r="D54" s="34">
        <f>SUMIFS('All Calls'!$N$6:$N$790,'All Calls'!$A$6:$A$790,$A54,'All Calls'!$F$6:$F$790,"Lay")</f>
        <v/>
      </c>
      <c r="E54" s="34">
        <f>C54+D54</f>
        <v/>
      </c>
      <c r="F54" s="17">
        <f>F53+E54</f>
        <v/>
      </c>
    </row>
    <row r="55">
      <c r="A55" s="35" t="n">
        <v>46295</v>
      </c>
      <c r="B55" s="21">
        <f>COUNTIFS('All Calls'!$A$6:$A$790,$A55,'All Calls'!$M$6:$M$790,"&lt;&gt;Pending")</f>
        <v/>
      </c>
      <c r="C55" s="36">
        <f>SUMIFS('All Calls'!$N$6:$N$790,'All Calls'!$A$6:$A$790,$A55,'All Calls'!$F$6:$F$790,"Bet")</f>
        <v/>
      </c>
      <c r="D55" s="36">
        <f>SUMIFS('All Calls'!$N$6:$N$790,'All Calls'!$A$6:$A$790,$A55,'All Calls'!$F$6:$F$790,"Lay")</f>
        <v/>
      </c>
      <c r="E55" s="36">
        <f>C55+D55</f>
        <v/>
      </c>
      <c r="F55" s="23">
        <f>F54+E55</f>
        <v/>
      </c>
    </row>
    <row r="56">
      <c r="A56" s="33" t="n">
        <v>46296</v>
      </c>
      <c r="B56" s="15">
        <f>COUNTIFS('All Calls'!$A$6:$A$790,$A56,'All Calls'!$M$6:$M$790,"&lt;&gt;Pending")</f>
        <v/>
      </c>
      <c r="C56" s="34">
        <f>SUMIFS('All Calls'!$N$6:$N$790,'All Calls'!$A$6:$A$790,$A56,'All Calls'!$F$6:$F$790,"Bet")</f>
        <v/>
      </c>
      <c r="D56" s="34">
        <f>SUMIFS('All Calls'!$N$6:$N$790,'All Calls'!$A$6:$A$790,$A56,'All Calls'!$F$6:$F$790,"Lay")</f>
        <v/>
      </c>
      <c r="E56" s="34">
        <f>C56+D56</f>
        <v/>
      </c>
      <c r="F56" s="17">
        <f>F55+E56</f>
        <v/>
      </c>
    </row>
    <row r="57">
      <c r="A57" s="35" t="n">
        <v>46297</v>
      </c>
      <c r="B57" s="21">
        <f>COUNTIFS('All Calls'!$A$6:$A$790,$A57,'All Calls'!$M$6:$M$790,"&lt;&gt;Pending")</f>
        <v/>
      </c>
      <c r="C57" s="36">
        <f>SUMIFS('All Calls'!$N$6:$N$790,'All Calls'!$A$6:$A$790,$A57,'All Calls'!$F$6:$F$790,"Bet")</f>
        <v/>
      </c>
      <c r="D57" s="36">
        <f>SUMIFS('All Calls'!$N$6:$N$790,'All Calls'!$A$6:$A$790,$A57,'All Calls'!$F$6:$F$790,"Lay")</f>
        <v/>
      </c>
      <c r="E57" s="36">
        <f>C57+D57</f>
        <v/>
      </c>
      <c r="F57" s="23">
        <f>F56+E57</f>
        <v/>
      </c>
    </row>
    <row r="59">
      <c r="A59" s="11" t="inlineStr">
        <is>
          <t>theoverlay.com.au   18+   Gamble responsibly: 1800 858 858</t>
        </is>
      </c>
    </row>
  </sheetData>
  <mergeCells count="3">
    <mergeCell ref="H7:J8"/>
    <mergeCell ref="B7:D8"/>
    <mergeCell ref="E7:G8"/>
  </mergeCells>
  <conditionalFormatting sqref="E7">
    <cfRule type="cellIs" priority="1" operator="lessThan" dxfId="0">
      <formula>0</formula>
    </cfRule>
  </conditionalFormatting>
  <conditionalFormatting sqref="H7">
    <cfRule type="cellIs" priority="2" operator="lessThan" dxfId="0">
      <formula>0</formula>
    </cfRule>
  </conditionalFormatting>
  <conditionalFormatting sqref="H16:H18">
    <cfRule type="cellIs" priority="3" operator="greaterThan" dxfId="1">
      <formula>0.0001</formula>
    </cfRule>
    <cfRule type="cellIs" priority="4" operator="lessThan" dxfId="2">
      <formula>-0.0001</formula>
    </cfRule>
  </conditionalFormatting>
  <conditionalFormatting sqref="J16:J18">
    <cfRule type="cellIs" priority="5" operator="greaterThan" dxfId="1">
      <formula>0.0001</formula>
    </cfRule>
    <cfRule type="cellIs" priority="6" operator="lessThan" dxfId="2">
      <formula>-0.0001</formula>
    </cfRule>
  </conditionalFormatting>
  <conditionalFormatting sqref="H22:H25">
    <cfRule type="cellIs" priority="7" operator="greaterThan" dxfId="1">
      <formula>0.0001</formula>
    </cfRule>
    <cfRule type="cellIs" priority="8" operator="lessThan" dxfId="2">
      <formula>-0.0001</formula>
    </cfRule>
  </conditionalFormatting>
  <conditionalFormatting sqref="J22:J25">
    <cfRule type="cellIs" priority="9" operator="greaterThan" dxfId="1">
      <formula>0.0001</formula>
    </cfRule>
    <cfRule type="cellIs" priority="10" operator="lessThan" dxfId="2">
      <formula>-0.0001</formula>
    </cfRule>
  </conditionalFormatting>
  <conditionalFormatting sqref="H29:H32">
    <cfRule type="cellIs" priority="11" operator="greaterThan" dxfId="1">
      <formula>0.0001</formula>
    </cfRule>
    <cfRule type="cellIs" priority="12" operator="lessThan" dxfId="2">
      <formula>-0.0001</formula>
    </cfRule>
  </conditionalFormatting>
  <conditionalFormatting sqref="J29:J32">
    <cfRule type="cellIs" priority="13" operator="greaterThan" dxfId="1">
      <formula>0.0001</formula>
    </cfRule>
    <cfRule type="cellIs" priority="14" operator="lessThan" dxfId="2">
      <formula>-0.0001</formula>
    </cfRule>
  </conditionalFormatting>
  <conditionalFormatting sqref="C36:F57">
    <cfRule type="cellIs" priority="15" operator="greaterThan" dxfId="1">
      <formula>0.0001</formula>
    </cfRule>
    <cfRule type="cellIs" priority="16" operator="lessThan" dxfId="2">
      <formula>-0.0001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4161A"/>
    <outlinePr summaryBelow="1" summaryRight="1"/>
    <pageSetUpPr/>
  </sheetPr>
  <dimension ref="A1:O79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9" customWidth="1" min="3" max="3"/>
    <col width="8" customWidth="1" min="4" max="4"/>
    <col width="24" customWidth="1" min="5" max="5"/>
    <col width="9" customWidth="1" min="6" max="6"/>
    <col width="16" customWidth="1" min="7" max="7"/>
    <col width="12" customWidth="1" min="8" max="8"/>
    <col width="12" customWidth="1" min="9" max="9"/>
    <col width="11" customWidth="1" min="10" max="10"/>
    <col width="13" customWidth="1" min="11" max="11"/>
    <col width="12" customWidth="1" min="12" max="12"/>
    <col width="12" customWidth="1" min="13" max="13"/>
    <col width="14" customWidth="1" min="14" max="14"/>
    <col width="14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2" t="inlineStr">
        <is>
          <t>All calls</t>
        </is>
      </c>
    </row>
    <row r="3" ht="3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3" t="inlineStr">
        <is>
          <t>Every bet and lay, 11 Sep to 2 Oct 2026</t>
        </is>
      </c>
    </row>
    <row r="4" ht="22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24" customHeight="1">
      <c r="A5" s="13" t="inlineStr">
        <is>
          <t>Date</t>
        </is>
      </c>
      <c r="B5" s="26" t="inlineStr">
        <is>
          <t>Track</t>
        </is>
      </c>
      <c r="C5" s="13" t="inlineStr">
        <is>
          <t>Race</t>
        </is>
      </c>
      <c r="D5" s="13" t="inlineStr">
        <is>
          <t>No.</t>
        </is>
      </c>
      <c r="E5" s="26" t="inlineStr">
        <is>
          <t>Horse</t>
        </is>
      </c>
      <c r="F5" s="13" t="inlineStr">
        <is>
          <t>Call</t>
        </is>
      </c>
      <c r="G5" s="26" t="inlineStr">
        <is>
          <t>Tag</t>
        </is>
      </c>
      <c r="H5" s="13" t="inlineStr">
        <is>
          <t>Rated $</t>
        </is>
      </c>
      <c r="I5" s="13" t="inlineStr">
        <is>
          <t>Price $</t>
        </is>
      </c>
      <c r="J5" s="13" t="inlineStr">
        <is>
          <t>Edge</t>
        </is>
      </c>
      <c r="K5" s="13" t="inlineStr">
        <is>
          <t>Stake (u)</t>
        </is>
      </c>
      <c r="L5" s="13" t="inlineStr">
        <is>
          <t>Finish</t>
        </is>
      </c>
      <c r="M5" s="13" t="inlineStr">
        <is>
          <t>Result</t>
        </is>
      </c>
      <c r="N5" s="13" t="inlineStr">
        <is>
          <t>Profit (u)</t>
        </is>
      </c>
      <c r="O5" s="13" t="inlineStr">
        <is>
          <t>At risk (u)</t>
        </is>
      </c>
    </row>
    <row r="6">
      <c r="A6" s="37" t="n">
        <v>46276</v>
      </c>
      <c r="B6" s="38" t="inlineStr">
        <is>
          <t>Geelong</t>
        </is>
      </c>
      <c r="C6" s="15" t="n">
        <v>2</v>
      </c>
      <c r="D6" s="15" t="n">
        <v>5</v>
      </c>
      <c r="E6" s="14" t="inlineStr">
        <is>
          <t>Vespasian</t>
        </is>
      </c>
      <c r="F6" s="39" t="inlineStr">
        <is>
          <t>Bet</t>
        </is>
      </c>
      <c r="G6" s="40" t="inlineStr">
        <is>
          <t>Bet</t>
        </is>
      </c>
      <c r="H6" s="41" t="n">
        <v>6.3</v>
      </c>
      <c r="I6" s="41" t="n">
        <v>9.800000000000001</v>
      </c>
      <c r="J6" s="16" t="n">
        <v>0.0253</v>
      </c>
      <c r="K6" s="42" t="n">
        <v>1</v>
      </c>
      <c r="L6" s="15" t="n">
        <v>2</v>
      </c>
      <c r="M6" s="43" t="inlineStr">
        <is>
          <t>Loss</t>
        </is>
      </c>
      <c r="N6" s="17">
        <f>IF(M6="Win",IF(F6="Bet",(I6-1)*K6,K6),IF(M6="Loss",IF(F6="Bet",-K6,-(I6-1)*K6),IF(M6="Void",0,"")))</f>
        <v/>
      </c>
      <c r="O6" s="18">
        <f>IF(OR(M6="Win",M6="Loss"),IF(F6="Bet",K6,(I6-1)*K6),"")</f>
        <v/>
      </c>
    </row>
    <row r="7">
      <c r="A7" s="44" t="n">
        <v>46276</v>
      </c>
      <c r="B7" s="45" t="inlineStr">
        <is>
          <t>Geelong</t>
        </is>
      </c>
      <c r="C7" s="21" t="n">
        <v>6</v>
      </c>
      <c r="D7" s="21" t="n">
        <v>10</v>
      </c>
      <c r="E7" s="20" t="inlineStr">
        <is>
          <t>Karren</t>
        </is>
      </c>
      <c r="F7" s="46" t="inlineStr">
        <is>
          <t>Lay</t>
        </is>
      </c>
      <c r="G7" s="47" t="inlineStr">
        <is>
          <t>Lay</t>
        </is>
      </c>
      <c r="H7" s="48" t="n">
        <v>2.85</v>
      </c>
      <c r="I7" s="48" t="n">
        <v>1.98</v>
      </c>
      <c r="J7" s="22" t="n">
        <v>-0.1505</v>
      </c>
      <c r="K7" s="49" t="n">
        <v>1</v>
      </c>
      <c r="L7" s="21" t="n">
        <v>2</v>
      </c>
      <c r="M7" s="50" t="inlineStr">
        <is>
          <t>Win</t>
        </is>
      </c>
      <c r="N7" s="23">
        <f>IF(M7="Win",IF(F7="Bet",(I7-1)*K7,K7),IF(M7="Loss",IF(F7="Bet",-K7,-(I7-1)*K7),IF(M7="Void",0,"")))</f>
        <v/>
      </c>
      <c r="O7" s="24">
        <f>IF(OR(M7="Win",M7="Loss"),IF(F7="Bet",K7,(I7-1)*K7),"")</f>
        <v/>
      </c>
    </row>
    <row r="8">
      <c r="A8" s="37" t="n">
        <v>46276</v>
      </c>
      <c r="B8" s="38" t="inlineStr">
        <is>
          <t>Bordertown</t>
        </is>
      </c>
      <c r="C8" s="15" t="n">
        <v>1</v>
      </c>
      <c r="D8" s="15" t="n">
        <v>6</v>
      </c>
      <c r="E8" s="14" t="inlineStr">
        <is>
          <t>Gradivus</t>
        </is>
      </c>
      <c r="F8" s="43" t="inlineStr">
        <is>
          <t>Lay</t>
        </is>
      </c>
      <c r="G8" s="47" t="inlineStr">
        <is>
          <t>Lay</t>
        </is>
      </c>
      <c r="H8" s="41" t="n">
        <v>4.9</v>
      </c>
      <c r="I8" s="41" t="n">
        <v>3.3</v>
      </c>
      <c r="J8" s="16" t="n">
        <v>-0.1004</v>
      </c>
      <c r="K8" s="42" t="n">
        <v>1</v>
      </c>
      <c r="L8" s="15" t="n">
        <v>4</v>
      </c>
      <c r="M8" s="51" t="inlineStr">
        <is>
          <t>Win</t>
        </is>
      </c>
      <c r="N8" s="17">
        <f>IF(M8="Win",IF(F8="Bet",(I8-1)*K8,K8),IF(M8="Loss",IF(F8="Bet",-K8,-(I8-1)*K8),IF(M8="Void",0,"")))</f>
        <v/>
      </c>
      <c r="O8" s="18">
        <f>IF(OR(M8="Win",M8="Loss"),IF(F8="Bet",K8,(I8-1)*K8),"")</f>
        <v/>
      </c>
    </row>
    <row r="9">
      <c r="A9" s="44" t="n">
        <v>46276</v>
      </c>
      <c r="B9" s="45" t="inlineStr">
        <is>
          <t>Bordertown</t>
        </is>
      </c>
      <c r="C9" s="21" t="n">
        <v>3</v>
      </c>
      <c r="D9" s="21" t="n">
        <v>6</v>
      </c>
      <c r="E9" s="20" t="inlineStr">
        <is>
          <t>Splash Of White</t>
        </is>
      </c>
      <c r="F9" s="52" t="inlineStr">
        <is>
          <t>Bet</t>
        </is>
      </c>
      <c r="G9" s="40" t="inlineStr">
        <is>
          <t>Bet</t>
        </is>
      </c>
      <c r="H9" s="48" t="n">
        <v>7.6</v>
      </c>
      <c r="I9" s="48" t="n">
        <v>9.5</v>
      </c>
      <c r="J9" s="22" t="n">
        <v>0.0258</v>
      </c>
      <c r="K9" s="49" t="n">
        <v>1</v>
      </c>
      <c r="L9" s="21" t="n">
        <v>6</v>
      </c>
      <c r="M9" s="46" t="inlineStr">
        <is>
          <t>Loss</t>
        </is>
      </c>
      <c r="N9" s="23">
        <f>IF(M9="Win",IF(F9="Bet",(I9-1)*K9,K9),IF(M9="Loss",IF(F9="Bet",-K9,-(I9-1)*K9),IF(M9="Void",0,"")))</f>
        <v/>
      </c>
      <c r="O9" s="24">
        <f>IF(OR(M9="Win",M9="Loss"),IF(F9="Bet",K9,(I9-1)*K9),"")</f>
        <v/>
      </c>
    </row>
    <row r="10">
      <c r="A10" s="37" t="n">
        <v>46276</v>
      </c>
      <c r="B10" s="38" t="inlineStr">
        <is>
          <t>Tuncurry</t>
        </is>
      </c>
      <c r="C10" s="15" t="n">
        <v>3</v>
      </c>
      <c r="D10" s="15" t="n">
        <v>1</v>
      </c>
      <c r="E10" s="14" t="inlineStr">
        <is>
          <t>Sea Level</t>
        </is>
      </c>
      <c r="F10" s="43" t="inlineStr">
        <is>
          <t>Lay</t>
        </is>
      </c>
      <c r="G10" s="47" t="inlineStr">
        <is>
          <t>Lay</t>
        </is>
      </c>
      <c r="H10" s="41" t="n">
        <v>2.25</v>
      </c>
      <c r="I10" s="41" t="n">
        <v>1.75</v>
      </c>
      <c r="J10" s="16" t="n">
        <v>-0.1224</v>
      </c>
      <c r="K10" s="42" t="n">
        <v>1</v>
      </c>
      <c r="L10" s="15" t="n">
        <v>1</v>
      </c>
      <c r="M10" s="43" t="inlineStr">
        <is>
          <t>Loss</t>
        </is>
      </c>
      <c r="N10" s="17">
        <f>IF(M10="Win",IF(F10="Bet",(I10-1)*K10,K10),IF(M10="Loss",IF(F10="Bet",-K10,-(I10-1)*K10),IF(M10="Void",0,"")))</f>
        <v/>
      </c>
      <c r="O10" s="18">
        <f>IF(OR(M10="Win",M10="Loss"),IF(F10="Bet",K10,(I10-1)*K10),"")</f>
        <v/>
      </c>
    </row>
    <row r="11">
      <c r="A11" s="44" t="n">
        <v>46276</v>
      </c>
      <c r="B11" s="45" t="inlineStr">
        <is>
          <t>Tuncurry</t>
        </is>
      </c>
      <c r="C11" s="21" t="n">
        <v>7</v>
      </c>
      <c r="D11" s="21" t="n">
        <v>1</v>
      </c>
      <c r="E11" s="20" t="inlineStr">
        <is>
          <t>It's A Knockout</t>
        </is>
      </c>
      <c r="F11" s="52" t="inlineStr">
        <is>
          <t>Bet</t>
        </is>
      </c>
      <c r="G11" s="40" t="inlineStr">
        <is>
          <t>Bet</t>
        </is>
      </c>
      <c r="H11" s="48" t="n">
        <v>6.5</v>
      </c>
      <c r="I11" s="48" t="n">
        <v>8.5</v>
      </c>
      <c r="J11" s="22" t="n">
        <v>0.0354</v>
      </c>
      <c r="K11" s="49" t="n">
        <v>1</v>
      </c>
      <c r="L11" s="21" t="n">
        <v>5</v>
      </c>
      <c r="M11" s="46" t="inlineStr">
        <is>
          <t>Loss</t>
        </is>
      </c>
      <c r="N11" s="23">
        <f>IF(M11="Win",IF(F11="Bet",(I11-1)*K11,K11),IF(M11="Loss",IF(F11="Bet",-K11,-(I11-1)*K11),IF(M11="Void",0,"")))</f>
        <v/>
      </c>
      <c r="O11" s="24">
        <f>IF(OR(M11="Win",M11="Loss"),IF(F11="Bet",K11,(I11-1)*K11),"")</f>
        <v/>
      </c>
    </row>
    <row r="12">
      <c r="A12" s="37" t="n">
        <v>46276</v>
      </c>
      <c r="B12" s="38" t="inlineStr">
        <is>
          <t>Tuncurry</t>
        </is>
      </c>
      <c r="C12" s="15" t="n">
        <v>8</v>
      </c>
      <c r="D12" s="15" t="n">
        <v>13</v>
      </c>
      <c r="E12" s="14" t="inlineStr">
        <is>
          <t>Andrea</t>
        </is>
      </c>
      <c r="F12" s="43" t="inlineStr">
        <is>
          <t>Lay</t>
        </is>
      </c>
      <c r="G12" s="47" t="inlineStr">
        <is>
          <t>Lay</t>
        </is>
      </c>
      <c r="H12" s="41" t="n">
        <v>2.35</v>
      </c>
      <c r="I12" s="41" t="n">
        <v>1.75</v>
      </c>
      <c r="J12" s="16" t="n">
        <v>-0.144</v>
      </c>
      <c r="K12" s="42" t="n">
        <v>1</v>
      </c>
      <c r="L12" s="15" t="n">
        <v>1</v>
      </c>
      <c r="M12" s="43" t="inlineStr">
        <is>
          <t>Loss</t>
        </is>
      </c>
      <c r="N12" s="17">
        <f>IF(M12="Win",IF(F12="Bet",(I12-1)*K12,K12),IF(M12="Loss",IF(F12="Bet",-K12,-(I12-1)*K12),IF(M12="Void",0,"")))</f>
        <v/>
      </c>
      <c r="O12" s="18">
        <f>IF(OR(M12="Win",M12="Loss"),IF(F12="Bet",K12,(I12-1)*K12),"")</f>
        <v/>
      </c>
    </row>
    <row r="13">
      <c r="A13" s="44" t="n">
        <v>46276</v>
      </c>
      <c r="B13" s="45" t="inlineStr">
        <is>
          <t>Goulburn</t>
        </is>
      </c>
      <c r="C13" s="21" t="n">
        <v>2</v>
      </c>
      <c r="D13" s="21" t="n">
        <v>6</v>
      </c>
      <c r="E13" s="20" t="inlineStr">
        <is>
          <t>Spain</t>
        </is>
      </c>
      <c r="F13" s="46" t="inlineStr">
        <is>
          <t>Lay</t>
        </is>
      </c>
      <c r="G13" s="47" t="inlineStr">
        <is>
          <t>Lay</t>
        </is>
      </c>
      <c r="H13" s="48" t="n">
        <v>1.65</v>
      </c>
      <c r="I13" s="48" t="n">
        <v>1.35</v>
      </c>
      <c r="J13" s="22" t="n">
        <v>-0.1291</v>
      </c>
      <c r="K13" s="49" t="n">
        <v>1</v>
      </c>
      <c r="L13" s="21" t="n">
        <v>1</v>
      </c>
      <c r="M13" s="46" t="inlineStr">
        <is>
          <t>Loss</t>
        </is>
      </c>
      <c r="N13" s="23">
        <f>IF(M13="Win",IF(F13="Bet",(I13-1)*K13,K13),IF(M13="Loss",IF(F13="Bet",-K13,-(I13-1)*K13),IF(M13="Void",0,"")))</f>
        <v/>
      </c>
      <c r="O13" s="24">
        <f>IF(OR(M13="Win",M13="Loss"),IF(F13="Bet",K13,(I13-1)*K13),"")</f>
        <v/>
      </c>
    </row>
    <row r="14">
      <c r="A14" s="37" t="n">
        <v>46276</v>
      </c>
      <c r="B14" s="38" t="inlineStr">
        <is>
          <t>Goulburn</t>
        </is>
      </c>
      <c r="C14" s="15" t="n">
        <v>3</v>
      </c>
      <c r="D14" s="15" t="n">
        <v>10</v>
      </c>
      <c r="E14" s="14" t="inlineStr">
        <is>
          <t>Montresor</t>
        </is>
      </c>
      <c r="F14" s="43" t="inlineStr">
        <is>
          <t>Lay</t>
        </is>
      </c>
      <c r="G14" s="47" t="inlineStr">
        <is>
          <t>Lay</t>
        </is>
      </c>
      <c r="H14" s="41" t="n">
        <v>2.4</v>
      </c>
      <c r="I14" s="41" t="n">
        <v>1.83</v>
      </c>
      <c r="J14" s="16" t="n">
        <v>-0.1254</v>
      </c>
      <c r="K14" s="42" t="n">
        <v>1</v>
      </c>
      <c r="L14" s="15" t="n">
        <v>2</v>
      </c>
      <c r="M14" s="51" t="inlineStr">
        <is>
          <t>Win</t>
        </is>
      </c>
      <c r="N14" s="17">
        <f>IF(M14="Win",IF(F14="Bet",(I14-1)*K14,K14),IF(M14="Loss",IF(F14="Bet",-K14,-(I14-1)*K14),IF(M14="Void",0,"")))</f>
        <v/>
      </c>
      <c r="O14" s="18">
        <f>IF(OR(M14="Win",M14="Loss"),IF(F14="Bet",K14,(I14-1)*K14),"")</f>
        <v/>
      </c>
    </row>
    <row r="15">
      <c r="A15" s="44" t="n">
        <v>46276</v>
      </c>
      <c r="B15" s="45" t="inlineStr">
        <is>
          <t>Sunshine Coast</t>
        </is>
      </c>
      <c r="C15" s="21" t="n">
        <v>1</v>
      </c>
      <c r="D15" s="21" t="n">
        <v>1</v>
      </c>
      <c r="E15" s="20" t="inlineStr">
        <is>
          <t>Sealord</t>
        </is>
      </c>
      <c r="F15" s="52" t="inlineStr">
        <is>
          <t>Bet</t>
        </is>
      </c>
      <c r="G15" s="53" t="inlineStr">
        <is>
          <t>Prime</t>
        </is>
      </c>
      <c r="H15" s="48" t="n">
        <v>3.3</v>
      </c>
      <c r="I15" s="48" t="n">
        <v>4.2</v>
      </c>
      <c r="J15" s="22" t="n">
        <v>0.0617</v>
      </c>
      <c r="K15" s="49" t="n">
        <v>1</v>
      </c>
      <c r="L15" s="21" t="n">
        <v>4</v>
      </c>
      <c r="M15" s="46" t="inlineStr">
        <is>
          <t>Loss</t>
        </is>
      </c>
      <c r="N15" s="23">
        <f>IF(M15="Win",IF(F15="Bet",(I15-1)*K15,K15),IF(M15="Loss",IF(F15="Bet",-K15,-(I15-1)*K15),IF(M15="Void",0,"")))</f>
        <v/>
      </c>
      <c r="O15" s="24">
        <f>IF(OR(M15="Win",M15="Loss"),IF(F15="Bet",K15,(I15-1)*K15),"")</f>
        <v/>
      </c>
    </row>
    <row r="16">
      <c r="A16" s="37" t="n">
        <v>46276</v>
      </c>
      <c r="B16" s="38" t="inlineStr">
        <is>
          <t>Sunshine Coast</t>
        </is>
      </c>
      <c r="C16" s="15" t="n">
        <v>1</v>
      </c>
      <c r="D16" s="15" t="n">
        <v>5</v>
      </c>
      <c r="E16" s="14" t="inlineStr">
        <is>
          <t>Amelioration</t>
        </is>
      </c>
      <c r="F16" s="43" t="inlineStr">
        <is>
          <t>Lay</t>
        </is>
      </c>
      <c r="G16" s="47" t="inlineStr">
        <is>
          <t>Lay</t>
        </is>
      </c>
      <c r="H16" s="41" t="n">
        <v>3</v>
      </c>
      <c r="I16" s="41" t="n">
        <v>2.25</v>
      </c>
      <c r="J16" s="16" t="n">
        <v>-0.1152</v>
      </c>
      <c r="K16" s="42" t="n">
        <v>1</v>
      </c>
      <c r="L16" s="15" t="n">
        <v>3</v>
      </c>
      <c r="M16" s="51" t="inlineStr">
        <is>
          <t>Win</t>
        </is>
      </c>
      <c r="N16" s="17">
        <f>IF(M16="Win",IF(F16="Bet",(I16-1)*K16,K16),IF(M16="Loss",IF(F16="Bet",-K16,-(I16-1)*K16),IF(M16="Void",0,"")))</f>
        <v/>
      </c>
      <c r="O16" s="18">
        <f>IF(OR(M16="Win",M16="Loss"),IF(F16="Bet",K16,(I16-1)*K16),"")</f>
        <v/>
      </c>
    </row>
    <row r="17">
      <c r="A17" s="44" t="n">
        <v>46276</v>
      </c>
      <c r="B17" s="45" t="inlineStr">
        <is>
          <t>Sunshine Coast</t>
        </is>
      </c>
      <c r="C17" s="21" t="n">
        <v>8</v>
      </c>
      <c r="D17" s="21" t="n">
        <v>5</v>
      </c>
      <c r="E17" s="20" t="inlineStr">
        <is>
          <t>Brass Band</t>
        </is>
      </c>
      <c r="F17" s="52" t="inlineStr">
        <is>
          <t>Bet</t>
        </is>
      </c>
      <c r="G17" s="40" t="inlineStr">
        <is>
          <t>Bet</t>
        </is>
      </c>
      <c r="H17" s="48" t="n">
        <v>4.8</v>
      </c>
      <c r="I17" s="48" t="n">
        <v>6</v>
      </c>
      <c r="J17" s="22" t="n">
        <v>0.0432</v>
      </c>
      <c r="K17" s="49" t="n">
        <v>1</v>
      </c>
      <c r="L17" s="21" t="n">
        <v>3</v>
      </c>
      <c r="M17" s="46" t="inlineStr">
        <is>
          <t>Loss</t>
        </is>
      </c>
      <c r="N17" s="23">
        <f>IF(M17="Win",IF(F17="Bet",(I17-1)*K17,K17),IF(M17="Loss",IF(F17="Bet",-K17,-(I17-1)*K17),IF(M17="Void",0,"")))</f>
        <v/>
      </c>
      <c r="O17" s="24">
        <f>IF(OR(M17="Win",M17="Loss"),IF(F17="Bet",K17,(I17-1)*K17),"")</f>
        <v/>
      </c>
    </row>
    <row r="18">
      <c r="A18" s="37" t="n">
        <v>46277</v>
      </c>
      <c r="B18" s="38" t="inlineStr">
        <is>
          <t>Morphettville</t>
        </is>
      </c>
      <c r="C18" s="15" t="n">
        <v>4</v>
      </c>
      <c r="D18" s="15" t="n">
        <v>13</v>
      </c>
      <c r="E18" s="14" t="inlineStr">
        <is>
          <t>Harmonic Dancer</t>
        </is>
      </c>
      <c r="F18" s="43" t="inlineStr">
        <is>
          <t>Lay</t>
        </is>
      </c>
      <c r="G18" s="47" t="inlineStr">
        <is>
          <t>Lay</t>
        </is>
      </c>
      <c r="H18" s="41" t="n">
        <v>3.2</v>
      </c>
      <c r="I18" s="41" t="n">
        <v>1.73</v>
      </c>
      <c r="J18" s="16" t="n">
        <v>-0.1087</v>
      </c>
      <c r="K18" s="42" t="n">
        <v>1</v>
      </c>
      <c r="L18" s="15" t="n">
        <v>3</v>
      </c>
      <c r="M18" s="51" t="inlineStr">
        <is>
          <t>Win</t>
        </is>
      </c>
      <c r="N18" s="17">
        <f>IF(M18="Win",IF(F18="Bet",(I18-1)*K18,K18),IF(M18="Loss",IF(F18="Bet",-K18,-(I18-1)*K18),IF(M18="Void",0,"")))</f>
        <v/>
      </c>
      <c r="O18" s="18">
        <f>IF(OR(M18="Win",M18="Loss"),IF(F18="Bet",K18,(I18-1)*K18),"")</f>
        <v/>
      </c>
    </row>
    <row r="19">
      <c r="A19" s="44" t="n">
        <v>46277</v>
      </c>
      <c r="B19" s="45" t="inlineStr">
        <is>
          <t>Gold Coast</t>
        </is>
      </c>
      <c r="C19" s="21" t="n">
        <v>8</v>
      </c>
      <c r="D19" s="21" t="n">
        <v>5</v>
      </c>
      <c r="E19" s="20" t="inlineStr">
        <is>
          <t>Lumens Lenny</t>
        </is>
      </c>
      <c r="F19" s="52" t="inlineStr">
        <is>
          <t>Bet</t>
        </is>
      </c>
      <c r="G19" s="40" t="inlineStr">
        <is>
          <t>Bet</t>
        </is>
      </c>
      <c r="H19" s="48" t="n">
        <v>5</v>
      </c>
      <c r="I19" s="48" t="n">
        <v>6.2</v>
      </c>
      <c r="J19" s="22" t="n">
        <v>0.0338</v>
      </c>
      <c r="K19" s="49" t="n">
        <v>1</v>
      </c>
      <c r="L19" s="21" t="n">
        <v>1</v>
      </c>
      <c r="M19" s="50" t="inlineStr">
        <is>
          <t>Win</t>
        </is>
      </c>
      <c r="N19" s="23">
        <f>IF(M19="Win",IF(F19="Bet",(I19-1)*K19,K19),IF(M19="Loss",IF(F19="Bet",-K19,-(I19-1)*K19),IF(M19="Void",0,"")))</f>
        <v/>
      </c>
      <c r="O19" s="24">
        <f>IF(OR(M19="Win",M19="Loss"),IF(F19="Bet",K19,(I19-1)*K19),"")</f>
        <v/>
      </c>
    </row>
    <row r="20">
      <c r="A20" s="37" t="n">
        <v>46277</v>
      </c>
      <c r="B20" s="38" t="inlineStr">
        <is>
          <t>Morphettville</t>
        </is>
      </c>
      <c r="C20" s="15" t="n">
        <v>6</v>
      </c>
      <c r="D20" s="15" t="n">
        <v>7</v>
      </c>
      <c r="E20" s="14" t="inlineStr">
        <is>
          <t>You Sexy Thing</t>
        </is>
      </c>
      <c r="F20" s="43" t="inlineStr">
        <is>
          <t>Lay</t>
        </is>
      </c>
      <c r="G20" s="47" t="inlineStr">
        <is>
          <t>Lay</t>
        </is>
      </c>
      <c r="H20" s="41" t="n">
        <v>3.8</v>
      </c>
      <c r="I20" s="41" t="n">
        <v>2.5</v>
      </c>
      <c r="J20" s="16" t="n">
        <v>-0.1372</v>
      </c>
      <c r="K20" s="42" t="n">
        <v>1</v>
      </c>
      <c r="L20" s="15" t="n">
        <v>2</v>
      </c>
      <c r="M20" s="51" t="inlineStr">
        <is>
          <t>Win</t>
        </is>
      </c>
      <c r="N20" s="17">
        <f>IF(M20="Win",IF(F20="Bet",(I20-1)*K20,K20),IF(M20="Loss",IF(F20="Bet",-K20,-(I20-1)*K20),IF(M20="Void",0,"")))</f>
        <v/>
      </c>
      <c r="O20" s="18">
        <f>IF(OR(M20="Win",M20="Loss"),IF(F20="Bet",K20,(I20-1)*K20),"")</f>
        <v/>
      </c>
    </row>
    <row r="21">
      <c r="A21" s="44" t="n">
        <v>46277</v>
      </c>
      <c r="B21" s="45" t="inlineStr">
        <is>
          <t>Flemington</t>
        </is>
      </c>
      <c r="C21" s="21" t="n">
        <v>3</v>
      </c>
      <c r="D21" s="21" t="n">
        <v>9</v>
      </c>
      <c r="E21" s="20" t="inlineStr">
        <is>
          <t>Lucky Brook</t>
        </is>
      </c>
      <c r="F21" s="52" t="inlineStr">
        <is>
          <t>Bet</t>
        </is>
      </c>
      <c r="G21" s="40" t="inlineStr">
        <is>
          <t>Bet</t>
        </is>
      </c>
      <c r="H21" s="48" t="n">
        <v>5.8</v>
      </c>
      <c r="I21" s="48" t="n">
        <v>7.5</v>
      </c>
      <c r="J21" s="22" t="n">
        <v>0.0382</v>
      </c>
      <c r="K21" s="49" t="n">
        <v>1</v>
      </c>
      <c r="L21" s="21" t="n">
        <v>8</v>
      </c>
      <c r="M21" s="46" t="inlineStr">
        <is>
          <t>Loss</t>
        </is>
      </c>
      <c r="N21" s="23">
        <f>IF(M21="Win",IF(F21="Bet",(I21-1)*K21,K21),IF(M21="Loss",IF(F21="Bet",-K21,-(I21-1)*K21),IF(M21="Void",0,"")))</f>
        <v/>
      </c>
      <c r="O21" s="24">
        <f>IF(OR(M21="Win",M21="Loss"),IF(F21="Bet",K21,(I21-1)*K21),"")</f>
        <v/>
      </c>
    </row>
    <row r="22">
      <c r="A22" s="37" t="n">
        <v>46277</v>
      </c>
      <c r="B22" s="38" t="inlineStr">
        <is>
          <t>Flemington</t>
        </is>
      </c>
      <c r="C22" s="15" t="n">
        <v>6</v>
      </c>
      <c r="D22" s="15" t="n">
        <v>1</v>
      </c>
      <c r="E22" s="14" t="inlineStr">
        <is>
          <t>Cafe Millenium</t>
        </is>
      </c>
      <c r="F22" s="39" t="inlineStr">
        <is>
          <t>Bet</t>
        </is>
      </c>
      <c r="G22" s="40" t="inlineStr">
        <is>
          <t>Bet</t>
        </is>
      </c>
      <c r="H22" s="41" t="n">
        <v>5.5</v>
      </c>
      <c r="I22" s="41" t="n">
        <v>8.199999999999999</v>
      </c>
      <c r="J22" s="16" t="n">
        <v>0.0489</v>
      </c>
      <c r="K22" s="42" t="n">
        <v>1</v>
      </c>
      <c r="L22" s="15" t="n">
        <v>3</v>
      </c>
      <c r="M22" s="43" t="inlineStr">
        <is>
          <t>Loss</t>
        </is>
      </c>
      <c r="N22" s="17">
        <f>IF(M22="Win",IF(F22="Bet",(I22-1)*K22,K22),IF(M22="Loss",IF(F22="Bet",-K22,-(I22-1)*K22),IF(M22="Void",0,"")))</f>
        <v/>
      </c>
      <c r="O22" s="18">
        <f>IF(OR(M22="Win",M22="Loss"),IF(F22="Bet",K22,(I22-1)*K22),"")</f>
        <v/>
      </c>
    </row>
    <row r="23">
      <c r="A23" s="44" t="n">
        <v>46277</v>
      </c>
      <c r="B23" s="45" t="inlineStr">
        <is>
          <t>Flemington</t>
        </is>
      </c>
      <c r="C23" s="21" t="n">
        <v>6</v>
      </c>
      <c r="D23" s="21" t="n">
        <v>8</v>
      </c>
      <c r="E23" s="20" t="inlineStr">
        <is>
          <t>Sass Appeal</t>
        </is>
      </c>
      <c r="F23" s="46" t="inlineStr">
        <is>
          <t>Lay</t>
        </is>
      </c>
      <c r="G23" s="47" t="inlineStr">
        <is>
          <t>Lay</t>
        </is>
      </c>
      <c r="H23" s="48" t="n">
        <v>5.5</v>
      </c>
      <c r="I23" s="48" t="n">
        <v>3.4</v>
      </c>
      <c r="J23" s="22" t="n">
        <v>-0.1121</v>
      </c>
      <c r="K23" s="49" t="n">
        <v>1</v>
      </c>
      <c r="L23" s="21" t="n">
        <v>4</v>
      </c>
      <c r="M23" s="50" t="inlineStr">
        <is>
          <t>Win</t>
        </is>
      </c>
      <c r="N23" s="23">
        <f>IF(M23="Win",IF(F23="Bet",(I23-1)*K23,K23),IF(M23="Loss",IF(F23="Bet",-K23,-(I23-1)*K23),IF(M23="Void",0,"")))</f>
        <v/>
      </c>
      <c r="O23" s="24">
        <f>IF(OR(M23="Win",M23="Loss"),IF(F23="Bet",K23,(I23-1)*K23),"")</f>
        <v/>
      </c>
    </row>
    <row r="24">
      <c r="A24" s="37" t="n">
        <v>46277</v>
      </c>
      <c r="B24" s="38" t="inlineStr">
        <is>
          <t>Flemington</t>
        </is>
      </c>
      <c r="C24" s="15" t="n">
        <v>7</v>
      </c>
      <c r="D24" s="15" t="n">
        <v>5</v>
      </c>
      <c r="E24" s="14" t="inlineStr">
        <is>
          <t>Oliveanotherday</t>
        </is>
      </c>
      <c r="F24" s="43" t="inlineStr">
        <is>
          <t>Lay</t>
        </is>
      </c>
      <c r="G24" s="47" t="inlineStr">
        <is>
          <t>Lay</t>
        </is>
      </c>
      <c r="H24" s="41" t="n">
        <v>2.45</v>
      </c>
      <c r="I24" s="41" t="n">
        <v>1.65</v>
      </c>
      <c r="J24" s="16" t="n">
        <v>-0.1955</v>
      </c>
      <c r="K24" s="42" t="n">
        <v>1</v>
      </c>
      <c r="L24" s="15" t="n">
        <v>5</v>
      </c>
      <c r="M24" s="51" t="inlineStr">
        <is>
          <t>Win</t>
        </is>
      </c>
      <c r="N24" s="17">
        <f>IF(M24="Win",IF(F24="Bet",(I24-1)*K24,K24),IF(M24="Loss",IF(F24="Bet",-K24,-(I24-1)*K24),IF(M24="Void",0,"")))</f>
        <v/>
      </c>
      <c r="O24" s="18">
        <f>IF(OR(M24="Win",M24="Loss"),IF(F24="Bet",K24,(I24-1)*K24),"")</f>
        <v/>
      </c>
    </row>
    <row r="25">
      <c r="A25" s="44" t="n">
        <v>46277</v>
      </c>
      <c r="B25" s="45" t="inlineStr">
        <is>
          <t>Flemington</t>
        </is>
      </c>
      <c r="C25" s="21" t="n">
        <v>8</v>
      </c>
      <c r="D25" s="21" t="n">
        <v>12</v>
      </c>
      <c r="E25" s="20" t="inlineStr">
        <is>
          <t>Sheza Alibi</t>
        </is>
      </c>
      <c r="F25" s="46" t="inlineStr">
        <is>
          <t>Lay</t>
        </is>
      </c>
      <c r="G25" s="47" t="inlineStr">
        <is>
          <t>Lay</t>
        </is>
      </c>
      <c r="H25" s="48" t="n">
        <v>2.1</v>
      </c>
      <c r="I25" s="48" t="n">
        <v>1.65</v>
      </c>
      <c r="J25" s="22" t="n">
        <v>-0.1263</v>
      </c>
      <c r="K25" s="49" t="n">
        <v>1</v>
      </c>
      <c r="L25" s="21" t="n">
        <v>1</v>
      </c>
      <c r="M25" s="46" t="inlineStr">
        <is>
          <t>Loss</t>
        </is>
      </c>
      <c r="N25" s="23">
        <f>IF(M25="Win",IF(F25="Bet",(I25-1)*K25,K25),IF(M25="Loss",IF(F25="Bet",-K25,-(I25-1)*K25),IF(M25="Void",0,"")))</f>
        <v/>
      </c>
      <c r="O25" s="24">
        <f>IF(OR(M25="Win",M25="Loss"),IF(F25="Bet",K25,(I25-1)*K25),"")</f>
        <v/>
      </c>
    </row>
    <row r="26">
      <c r="A26" s="37" t="n">
        <v>46277</v>
      </c>
      <c r="B26" s="38" t="inlineStr">
        <is>
          <t>Flemington</t>
        </is>
      </c>
      <c r="C26" s="15" t="n">
        <v>9</v>
      </c>
      <c r="D26" s="15" t="n">
        <v>4</v>
      </c>
      <c r="E26" s="14" t="inlineStr">
        <is>
          <t>Gold Coast Belle</t>
        </is>
      </c>
      <c r="F26" s="43" t="inlineStr">
        <is>
          <t>Lay</t>
        </is>
      </c>
      <c r="G26" s="47" t="inlineStr">
        <is>
          <t>Lay</t>
        </is>
      </c>
      <c r="H26" s="41" t="n">
        <v>3.5</v>
      </c>
      <c r="I26" s="41" t="n">
        <v>2.2</v>
      </c>
      <c r="J26" s="16" t="n">
        <v>-0.1688</v>
      </c>
      <c r="K26" s="42" t="n">
        <v>1</v>
      </c>
      <c r="L26" s="15" t="n">
        <v>7</v>
      </c>
      <c r="M26" s="51" t="inlineStr">
        <is>
          <t>Win</t>
        </is>
      </c>
      <c r="N26" s="17">
        <f>IF(M26="Win",IF(F26="Bet",(I26-1)*K26,K26),IF(M26="Loss",IF(F26="Bet",-K26,-(I26-1)*K26),IF(M26="Void",0,"")))</f>
        <v/>
      </c>
      <c r="O26" s="18">
        <f>IF(OR(M26="Win",M26="Loss"),IF(F26="Bet",K26,(I26-1)*K26),"")</f>
        <v/>
      </c>
    </row>
    <row r="27">
      <c r="A27" s="44" t="n">
        <v>46277</v>
      </c>
      <c r="B27" s="45" t="inlineStr">
        <is>
          <t>Flemington</t>
        </is>
      </c>
      <c r="C27" s="21" t="n">
        <v>10</v>
      </c>
      <c r="D27" s="21" t="n">
        <v>13</v>
      </c>
      <c r="E27" s="20" t="inlineStr">
        <is>
          <t>Storm Leopard</t>
        </is>
      </c>
      <c r="F27" s="46" t="inlineStr">
        <is>
          <t>Lay</t>
        </is>
      </c>
      <c r="G27" s="47" t="inlineStr">
        <is>
          <t>Lay</t>
        </is>
      </c>
      <c r="H27" s="48" t="n">
        <v>4</v>
      </c>
      <c r="I27" s="48" t="n">
        <v>2.8</v>
      </c>
      <c r="J27" s="22" t="n">
        <v>-0.108</v>
      </c>
      <c r="K27" s="49" t="n">
        <v>1</v>
      </c>
      <c r="L27" s="21" t="n">
        <v>12</v>
      </c>
      <c r="M27" s="50" t="inlineStr">
        <is>
          <t>Win</t>
        </is>
      </c>
      <c r="N27" s="23">
        <f>IF(M27="Win",IF(F27="Bet",(I27-1)*K27,K27),IF(M27="Loss",IF(F27="Bet",-K27,-(I27-1)*K27),IF(M27="Void",0,"")))</f>
        <v/>
      </c>
      <c r="O27" s="24">
        <f>IF(OR(M27="Win",M27="Loss"),IF(F27="Bet",K27,(I27-1)*K27),"")</f>
        <v/>
      </c>
    </row>
    <row r="28">
      <c r="A28" s="37" t="n">
        <v>46277</v>
      </c>
      <c r="B28" s="38" t="inlineStr">
        <is>
          <t>Rosehill</t>
        </is>
      </c>
      <c r="C28" s="15" t="n">
        <v>1</v>
      </c>
      <c r="D28" s="15" t="n">
        <v>15</v>
      </c>
      <c r="E28" s="14" t="inlineStr">
        <is>
          <t>Brutal Miss</t>
        </is>
      </c>
      <c r="F28" s="43" t="inlineStr">
        <is>
          <t>Lay</t>
        </is>
      </c>
      <c r="G28" s="47" t="inlineStr">
        <is>
          <t>Lay</t>
        </is>
      </c>
      <c r="H28" s="41" t="n">
        <v>4.9</v>
      </c>
      <c r="I28" s="41" t="n">
        <v>3.2</v>
      </c>
      <c r="J28" s="16" t="n">
        <v>-0.1083</v>
      </c>
      <c r="K28" s="42" t="n">
        <v>1</v>
      </c>
      <c r="L28" s="15" t="n">
        <v>4</v>
      </c>
      <c r="M28" s="51" t="inlineStr">
        <is>
          <t>Win</t>
        </is>
      </c>
      <c r="N28" s="17">
        <f>IF(M28="Win",IF(F28="Bet",(I28-1)*K28,K28),IF(M28="Loss",IF(F28="Bet",-K28,-(I28-1)*K28),IF(M28="Void",0,"")))</f>
        <v/>
      </c>
      <c r="O28" s="18">
        <f>IF(OR(M28="Win",M28="Loss"),IF(F28="Bet",K28,(I28-1)*K28),"")</f>
        <v/>
      </c>
    </row>
    <row r="29">
      <c r="A29" s="44" t="n">
        <v>46277</v>
      </c>
      <c r="B29" s="45" t="inlineStr">
        <is>
          <t>Rosehill</t>
        </is>
      </c>
      <c r="C29" s="21" t="n">
        <v>2</v>
      </c>
      <c r="D29" s="21" t="n">
        <v>4</v>
      </c>
      <c r="E29" s="20" t="inlineStr">
        <is>
          <t>Heroic Deed</t>
        </is>
      </c>
      <c r="F29" s="46" t="inlineStr">
        <is>
          <t>Lay</t>
        </is>
      </c>
      <c r="G29" s="47" t="inlineStr">
        <is>
          <t>Lay</t>
        </is>
      </c>
      <c r="H29" s="48" t="n">
        <v>5.8</v>
      </c>
      <c r="I29" s="48" t="n">
        <v>3.6</v>
      </c>
      <c r="J29" s="22" t="n">
        <v>-0.1043</v>
      </c>
      <c r="K29" s="49" t="n">
        <v>1</v>
      </c>
      <c r="L29" s="21" t="n">
        <v>7</v>
      </c>
      <c r="M29" s="50" t="inlineStr">
        <is>
          <t>Win</t>
        </is>
      </c>
      <c r="N29" s="23">
        <f>IF(M29="Win",IF(F29="Bet",(I29-1)*K29,K29),IF(M29="Loss",IF(F29="Bet",-K29,-(I29-1)*K29),IF(M29="Void",0,"")))</f>
        <v/>
      </c>
      <c r="O29" s="24">
        <f>IF(OR(M29="Win",M29="Loss"),IF(F29="Bet",K29,(I29-1)*K29),"")</f>
        <v/>
      </c>
    </row>
    <row r="30">
      <c r="A30" s="37" t="n">
        <v>46277</v>
      </c>
      <c r="B30" s="38" t="inlineStr">
        <is>
          <t>Rosehill</t>
        </is>
      </c>
      <c r="C30" s="15" t="n">
        <v>2</v>
      </c>
      <c r="D30" s="15" t="n">
        <v>7</v>
      </c>
      <c r="E30" s="14" t="inlineStr">
        <is>
          <t>Formal</t>
        </is>
      </c>
      <c r="F30" s="39" t="inlineStr">
        <is>
          <t>Bet</t>
        </is>
      </c>
      <c r="G30" s="40" t="inlineStr">
        <is>
          <t>Bet</t>
        </is>
      </c>
      <c r="H30" s="41" t="n">
        <v>6.3</v>
      </c>
      <c r="I30" s="41" t="n">
        <v>9.68</v>
      </c>
      <c r="J30" s="16" t="n">
        <v>0.0348</v>
      </c>
      <c r="K30" s="42" t="n">
        <v>1</v>
      </c>
      <c r="L30" s="15" t="n">
        <v>1</v>
      </c>
      <c r="M30" s="51" t="inlineStr">
        <is>
          <t>Win</t>
        </is>
      </c>
      <c r="N30" s="17">
        <f>IF(M30="Win",IF(F30="Bet",(I30-1)*K30,K30),IF(M30="Loss",IF(F30="Bet",-K30,-(I30-1)*K30),IF(M30="Void",0,"")))</f>
        <v/>
      </c>
      <c r="O30" s="18">
        <f>IF(OR(M30="Win",M30="Loss"),IF(F30="Bet",K30,(I30-1)*K30),"")</f>
        <v/>
      </c>
    </row>
    <row r="31">
      <c r="A31" s="44" t="n">
        <v>46277</v>
      </c>
      <c r="B31" s="45" t="inlineStr">
        <is>
          <t>Rosehill</t>
        </is>
      </c>
      <c r="C31" s="21" t="n">
        <v>3</v>
      </c>
      <c r="D31" s="21" t="n">
        <v>3</v>
      </c>
      <c r="E31" s="20" t="inlineStr">
        <is>
          <t>Appeared</t>
        </is>
      </c>
      <c r="F31" s="46" t="inlineStr">
        <is>
          <t>Lay</t>
        </is>
      </c>
      <c r="G31" s="47" t="inlineStr">
        <is>
          <t>Lay</t>
        </is>
      </c>
      <c r="H31" s="48" t="n">
        <v>3.1</v>
      </c>
      <c r="I31" s="48" t="n">
        <v>2.25</v>
      </c>
      <c r="J31" s="22" t="n">
        <v>-0.121</v>
      </c>
      <c r="K31" s="49" t="n">
        <v>1</v>
      </c>
      <c r="L31" s="21" t="n">
        <v>1</v>
      </c>
      <c r="M31" s="46" t="inlineStr">
        <is>
          <t>Loss</t>
        </is>
      </c>
      <c r="N31" s="23">
        <f>IF(M31="Win",IF(F31="Bet",(I31-1)*K31,K31),IF(M31="Loss",IF(F31="Bet",-K31,-(I31-1)*K31),IF(M31="Void",0,"")))</f>
        <v/>
      </c>
      <c r="O31" s="24">
        <f>IF(OR(M31="Win",M31="Loss"),IF(F31="Bet",K31,(I31-1)*K31),"")</f>
        <v/>
      </c>
    </row>
    <row r="32">
      <c r="A32" s="37" t="n">
        <v>46277</v>
      </c>
      <c r="B32" s="38" t="inlineStr">
        <is>
          <t>Rosehill</t>
        </is>
      </c>
      <c r="C32" s="15" t="n">
        <v>3</v>
      </c>
      <c r="D32" s="15" t="n">
        <v>4</v>
      </c>
      <c r="E32" s="14" t="inlineStr">
        <is>
          <t>Golden Century</t>
        </is>
      </c>
      <c r="F32" s="39" t="inlineStr">
        <is>
          <t>Bet</t>
        </is>
      </c>
      <c r="G32" s="53" t="inlineStr">
        <is>
          <t>Prime</t>
        </is>
      </c>
      <c r="H32" s="41" t="n">
        <v>3.3</v>
      </c>
      <c r="I32" s="41" t="n">
        <v>5.13</v>
      </c>
      <c r="J32" s="16" t="n">
        <v>0.0958</v>
      </c>
      <c r="K32" s="42" t="n">
        <v>1</v>
      </c>
      <c r="L32" s="15" t="n">
        <v>4</v>
      </c>
      <c r="M32" s="43" t="inlineStr">
        <is>
          <t>Loss</t>
        </is>
      </c>
      <c r="N32" s="17">
        <f>IF(M32="Win",IF(F32="Bet",(I32-1)*K32,K32),IF(M32="Loss",IF(F32="Bet",-K32,-(I32-1)*K32),IF(M32="Void",0,"")))</f>
        <v/>
      </c>
      <c r="O32" s="18">
        <f>IF(OR(M32="Win",M32="Loss"),IF(F32="Bet",K32,(I32-1)*K32),"")</f>
        <v/>
      </c>
    </row>
    <row r="33">
      <c r="A33" s="44" t="n">
        <v>46277</v>
      </c>
      <c r="B33" s="45" t="inlineStr">
        <is>
          <t>Rosehill</t>
        </is>
      </c>
      <c r="C33" s="21" t="n">
        <v>4</v>
      </c>
      <c r="D33" s="21" t="n">
        <v>7</v>
      </c>
      <c r="E33" s="20" t="inlineStr">
        <is>
          <t>Mukhtalif</t>
        </is>
      </c>
      <c r="F33" s="46" t="inlineStr">
        <is>
          <t>Lay</t>
        </is>
      </c>
      <c r="G33" s="47" t="inlineStr">
        <is>
          <t>Lay</t>
        </is>
      </c>
      <c r="H33" s="48" t="n">
        <v>3.3</v>
      </c>
      <c r="I33" s="48" t="n">
        <v>2.36</v>
      </c>
      <c r="J33" s="22" t="n">
        <v>-0.1039</v>
      </c>
      <c r="K33" s="49" t="n">
        <v>1</v>
      </c>
      <c r="L33" s="21" t="n">
        <v>2</v>
      </c>
      <c r="M33" s="50" t="inlineStr">
        <is>
          <t>Win</t>
        </is>
      </c>
      <c r="N33" s="23">
        <f>IF(M33="Win",IF(F33="Bet",(I33-1)*K33,K33),IF(M33="Loss",IF(F33="Bet",-K33,-(I33-1)*K33),IF(M33="Void",0,"")))</f>
        <v/>
      </c>
      <c r="O33" s="24">
        <f>IF(OR(M33="Win",M33="Loss"),IF(F33="Bet",K33,(I33-1)*K33),"")</f>
        <v/>
      </c>
    </row>
    <row r="34">
      <c r="A34" s="37" t="n">
        <v>46277</v>
      </c>
      <c r="B34" s="38" t="inlineStr">
        <is>
          <t>Rosehill</t>
        </is>
      </c>
      <c r="C34" s="15" t="n">
        <v>7</v>
      </c>
      <c r="D34" s="15" t="n">
        <v>2</v>
      </c>
      <c r="E34" s="14" t="inlineStr">
        <is>
          <t>Lazzura</t>
        </is>
      </c>
      <c r="F34" s="39" t="inlineStr">
        <is>
          <t>Bet</t>
        </is>
      </c>
      <c r="G34" s="53" t="inlineStr">
        <is>
          <t>Prime</t>
        </is>
      </c>
      <c r="H34" s="41" t="n">
        <v>2.55</v>
      </c>
      <c r="I34" s="41" t="n">
        <v>3.25</v>
      </c>
      <c r="J34" s="16" t="n">
        <v>0.0597</v>
      </c>
      <c r="K34" s="42" t="n">
        <v>1</v>
      </c>
      <c r="L34" s="15" t="n">
        <v>3</v>
      </c>
      <c r="M34" s="43" t="inlineStr">
        <is>
          <t>Loss</t>
        </is>
      </c>
      <c r="N34" s="17">
        <f>IF(M34="Win",IF(F34="Bet",(I34-1)*K34,K34),IF(M34="Loss",IF(F34="Bet",-K34,-(I34-1)*K34),IF(M34="Void",0,"")))</f>
        <v/>
      </c>
      <c r="O34" s="18">
        <f>IF(OR(M34="Win",M34="Loss"),IF(F34="Bet",K34,(I34-1)*K34),"")</f>
        <v/>
      </c>
    </row>
    <row r="35">
      <c r="A35" s="44" t="n">
        <v>46277</v>
      </c>
      <c r="B35" s="45" t="inlineStr">
        <is>
          <t>Rosehill</t>
        </is>
      </c>
      <c r="C35" s="21" t="n">
        <v>7</v>
      </c>
      <c r="D35" s="21" t="n">
        <v>8</v>
      </c>
      <c r="E35" s="20" t="inlineStr">
        <is>
          <t>Weeping Woman</t>
        </is>
      </c>
      <c r="F35" s="46" t="inlineStr">
        <is>
          <t>Lay</t>
        </is>
      </c>
      <c r="G35" s="47" t="inlineStr">
        <is>
          <t>Lay</t>
        </is>
      </c>
      <c r="H35" s="48" t="n">
        <v>6</v>
      </c>
      <c r="I35" s="48" t="n">
        <v>3.5</v>
      </c>
      <c r="J35" s="22" t="n">
        <v>-0.119</v>
      </c>
      <c r="K35" s="49" t="n">
        <v>1</v>
      </c>
      <c r="L35" s="21" t="n">
        <v>7</v>
      </c>
      <c r="M35" s="50" t="inlineStr">
        <is>
          <t>Win</t>
        </is>
      </c>
      <c r="N35" s="23">
        <f>IF(M35="Win",IF(F35="Bet",(I35-1)*K35,K35),IF(M35="Loss",IF(F35="Bet",-K35,-(I35-1)*K35),IF(M35="Void",0,"")))</f>
        <v/>
      </c>
      <c r="O35" s="24">
        <f>IF(OR(M35="Win",M35="Loss"),IF(F35="Bet",K35,(I35-1)*K35),"")</f>
        <v/>
      </c>
    </row>
    <row r="36">
      <c r="A36" s="37" t="n">
        <v>46277</v>
      </c>
      <c r="B36" s="38" t="inlineStr">
        <is>
          <t>Rosehill</t>
        </is>
      </c>
      <c r="C36" s="15" t="n">
        <v>9</v>
      </c>
      <c r="D36" s="15" t="n">
        <v>6</v>
      </c>
      <c r="E36" s="14" t="inlineStr">
        <is>
          <t>Skyhook</t>
        </is>
      </c>
      <c r="F36" s="43" t="inlineStr">
        <is>
          <t>Lay</t>
        </is>
      </c>
      <c r="G36" s="47" t="inlineStr">
        <is>
          <t>Lay</t>
        </is>
      </c>
      <c r="H36" s="41" t="n">
        <v>2.7</v>
      </c>
      <c r="I36" s="41" t="n">
        <v>2.04</v>
      </c>
      <c r="J36" s="16" t="n">
        <v>-0.1054</v>
      </c>
      <c r="K36" s="42" t="n">
        <v>1</v>
      </c>
      <c r="L36" s="15" t="n">
        <v>1</v>
      </c>
      <c r="M36" s="43" t="inlineStr">
        <is>
          <t>Loss</t>
        </is>
      </c>
      <c r="N36" s="17">
        <f>IF(M36="Win",IF(F36="Bet",(I36-1)*K36,K36),IF(M36="Loss",IF(F36="Bet",-K36,-(I36-1)*K36),IF(M36="Void",0,"")))</f>
        <v/>
      </c>
      <c r="O36" s="18">
        <f>IF(OR(M36="Win",M36="Loss"),IF(F36="Bet",K36,(I36-1)*K36),"")</f>
        <v/>
      </c>
    </row>
    <row r="37">
      <c r="A37" s="44" t="n">
        <v>46277</v>
      </c>
      <c r="B37" s="45" t="inlineStr">
        <is>
          <t>Doomben</t>
        </is>
      </c>
      <c r="C37" s="21" t="n">
        <v>3</v>
      </c>
      <c r="D37" s="21" t="n">
        <v>4</v>
      </c>
      <c r="E37" s="20" t="inlineStr">
        <is>
          <t>Perfect Play</t>
        </is>
      </c>
      <c r="F37" s="52" t="inlineStr">
        <is>
          <t>Bet</t>
        </is>
      </c>
      <c r="G37" s="40" t="inlineStr">
        <is>
          <t>Bet</t>
        </is>
      </c>
      <c r="H37" s="48" t="n">
        <v>4.7</v>
      </c>
      <c r="I37" s="48" t="n">
        <v>5.72</v>
      </c>
      <c r="J37" s="22" t="n">
        <v>0.0319</v>
      </c>
      <c r="K37" s="49" t="n">
        <v>1</v>
      </c>
      <c r="L37" s="21" t="n">
        <v>4</v>
      </c>
      <c r="M37" s="46" t="inlineStr">
        <is>
          <t>Loss</t>
        </is>
      </c>
      <c r="N37" s="23">
        <f>IF(M37="Win",IF(F37="Bet",(I37-1)*K37,K37),IF(M37="Loss",IF(F37="Bet",-K37,-(I37-1)*K37),IF(M37="Void",0,"")))</f>
        <v/>
      </c>
      <c r="O37" s="24">
        <f>IF(OR(M37="Win",M37="Loss"),IF(F37="Bet",K37,(I37-1)*K37),"")</f>
        <v/>
      </c>
    </row>
    <row r="38">
      <c r="A38" s="37" t="n">
        <v>46277</v>
      </c>
      <c r="B38" s="38" t="inlineStr">
        <is>
          <t>Doomben</t>
        </is>
      </c>
      <c r="C38" s="15" t="n">
        <v>5</v>
      </c>
      <c r="D38" s="15" t="n">
        <v>1</v>
      </c>
      <c r="E38" s="14" t="inlineStr">
        <is>
          <t>Mean Approach</t>
        </is>
      </c>
      <c r="F38" s="39" t="inlineStr">
        <is>
          <t>Bet</t>
        </is>
      </c>
      <c r="G38" s="40" t="inlineStr">
        <is>
          <t>Bet</t>
        </is>
      </c>
      <c r="H38" s="41" t="n">
        <v>5.4</v>
      </c>
      <c r="I38" s="41" t="n">
        <v>7.53</v>
      </c>
      <c r="J38" s="16" t="n">
        <v>0.0306</v>
      </c>
      <c r="K38" s="42" t="n">
        <v>1</v>
      </c>
      <c r="L38" s="15" t="n">
        <v>2</v>
      </c>
      <c r="M38" s="43" t="inlineStr">
        <is>
          <t>Loss</t>
        </is>
      </c>
      <c r="N38" s="17">
        <f>IF(M38="Win",IF(F38="Bet",(I38-1)*K38,K38),IF(M38="Loss",IF(F38="Bet",-K38,-(I38-1)*K38),IF(M38="Void",0,"")))</f>
        <v/>
      </c>
      <c r="O38" s="18">
        <f>IF(OR(M38="Win",M38="Loss"),IF(F38="Bet",K38,(I38-1)*K38),"")</f>
        <v/>
      </c>
    </row>
    <row r="39">
      <c r="A39" s="44" t="n">
        <v>46277</v>
      </c>
      <c r="B39" s="45" t="inlineStr">
        <is>
          <t>Doomben</t>
        </is>
      </c>
      <c r="C39" s="21" t="n">
        <v>5</v>
      </c>
      <c r="D39" s="21" t="n">
        <v>5</v>
      </c>
      <c r="E39" s="20" t="inlineStr">
        <is>
          <t>Gram</t>
        </is>
      </c>
      <c r="F39" s="46" t="inlineStr">
        <is>
          <t>Lay</t>
        </is>
      </c>
      <c r="G39" s="47" t="inlineStr">
        <is>
          <t>Lay</t>
        </is>
      </c>
      <c r="H39" s="48" t="n">
        <v>3.2</v>
      </c>
      <c r="I39" s="48" t="n">
        <v>2.35</v>
      </c>
      <c r="J39" s="22" t="n">
        <v>-0.1147</v>
      </c>
      <c r="K39" s="49" t="n">
        <v>1</v>
      </c>
      <c r="L39" s="21" t="n">
        <v>1</v>
      </c>
      <c r="M39" s="46" t="inlineStr">
        <is>
          <t>Loss</t>
        </is>
      </c>
      <c r="N39" s="23">
        <f>IF(M39="Win",IF(F39="Bet",(I39-1)*K39,K39),IF(M39="Loss",IF(F39="Bet",-K39,-(I39-1)*K39),IF(M39="Void",0,"")))</f>
        <v/>
      </c>
      <c r="O39" s="24">
        <f>IF(OR(M39="Win",M39="Loss"),IF(F39="Bet",K39,(I39-1)*K39),"")</f>
        <v/>
      </c>
    </row>
    <row r="40">
      <c r="A40" s="37" t="n">
        <v>46277</v>
      </c>
      <c r="B40" s="38" t="inlineStr">
        <is>
          <t>Doomben</t>
        </is>
      </c>
      <c r="C40" s="15" t="n">
        <v>8</v>
      </c>
      <c r="D40" s="15" t="n">
        <v>8</v>
      </c>
      <c r="E40" s="14" t="inlineStr">
        <is>
          <t>Zouper Fund</t>
        </is>
      </c>
      <c r="F40" s="43" t="inlineStr">
        <is>
          <t>Lay</t>
        </is>
      </c>
      <c r="G40" s="47" t="inlineStr">
        <is>
          <t>Lay</t>
        </is>
      </c>
      <c r="H40" s="41" t="n">
        <v>2.95</v>
      </c>
      <c r="I40" s="41" t="n">
        <v>2.2</v>
      </c>
      <c r="J40" s="16" t="n">
        <v>-0.1155</v>
      </c>
      <c r="K40" s="42" t="n">
        <v>1</v>
      </c>
      <c r="L40" s="15" t="n">
        <v>3</v>
      </c>
      <c r="M40" s="51" t="inlineStr">
        <is>
          <t>Win</t>
        </is>
      </c>
      <c r="N40" s="17">
        <f>IF(M40="Win",IF(F40="Bet",(I40-1)*K40,K40),IF(M40="Loss",IF(F40="Bet",-K40,-(I40-1)*K40),IF(M40="Void",0,"")))</f>
        <v/>
      </c>
      <c r="O40" s="18">
        <f>IF(OR(M40="Win",M40="Loss"),IF(F40="Bet",K40,(I40-1)*K40),"")</f>
        <v/>
      </c>
    </row>
    <row r="41">
      <c r="A41" s="44" t="n">
        <v>46277</v>
      </c>
      <c r="B41" s="45" t="inlineStr">
        <is>
          <t>Doomben</t>
        </is>
      </c>
      <c r="C41" s="21" t="n">
        <v>10</v>
      </c>
      <c r="D41" s="21" t="n">
        <v>3</v>
      </c>
      <c r="E41" s="20" t="inlineStr">
        <is>
          <t>Cherry Rose</t>
        </is>
      </c>
      <c r="F41" s="52" t="inlineStr">
        <is>
          <t>Bet</t>
        </is>
      </c>
      <c r="G41" s="40" t="inlineStr">
        <is>
          <t>Bet</t>
        </is>
      </c>
      <c r="H41" s="48" t="n">
        <v>5.9</v>
      </c>
      <c r="I41" s="48" t="n">
        <v>7.5</v>
      </c>
      <c r="J41" s="22" t="n">
        <v>0.037</v>
      </c>
      <c r="K41" s="49" t="n">
        <v>1</v>
      </c>
      <c r="L41" s="21" t="n">
        <v>9</v>
      </c>
      <c r="M41" s="46" t="inlineStr">
        <is>
          <t>Loss</t>
        </is>
      </c>
      <c r="N41" s="23">
        <f>IF(M41="Win",IF(F41="Bet",(I41-1)*K41,K41),IF(M41="Loss",IF(F41="Bet",-K41,-(I41-1)*K41),IF(M41="Void",0,"")))</f>
        <v/>
      </c>
      <c r="O41" s="24">
        <f>IF(OR(M41="Win",M41="Loss"),IF(F41="Bet",K41,(I41-1)*K41),"")</f>
        <v/>
      </c>
    </row>
    <row r="42">
      <c r="A42" s="37" t="n">
        <v>46277</v>
      </c>
      <c r="B42" s="38" t="inlineStr">
        <is>
          <t>Kembla Grange</t>
        </is>
      </c>
      <c r="C42" s="15" t="n">
        <v>1</v>
      </c>
      <c r="D42" s="15" t="n">
        <v>10</v>
      </c>
      <c r="E42" s="14" t="inlineStr">
        <is>
          <t>Legaselli</t>
        </is>
      </c>
      <c r="F42" s="43" t="inlineStr">
        <is>
          <t>Lay</t>
        </is>
      </c>
      <c r="G42" s="47" t="inlineStr">
        <is>
          <t>Lay</t>
        </is>
      </c>
      <c r="H42" s="41" t="n">
        <v>2.8</v>
      </c>
      <c r="I42" s="41" t="n">
        <v>1.92</v>
      </c>
      <c r="J42" s="16" t="n">
        <v>-0.1452</v>
      </c>
      <c r="K42" s="42" t="n">
        <v>1</v>
      </c>
      <c r="L42" s="15" t="n">
        <v>1</v>
      </c>
      <c r="M42" s="43" t="inlineStr">
        <is>
          <t>Loss</t>
        </is>
      </c>
      <c r="N42" s="17">
        <f>IF(M42="Win",IF(F42="Bet",(I42-1)*K42,K42),IF(M42="Loss",IF(F42="Bet",-K42,-(I42-1)*K42),IF(M42="Void",0,"")))</f>
        <v/>
      </c>
      <c r="O42" s="18">
        <f>IF(OR(M42="Win",M42="Loss"),IF(F42="Bet",K42,(I42-1)*K42),"")</f>
        <v/>
      </c>
    </row>
    <row r="43">
      <c r="A43" s="44" t="n">
        <v>46277</v>
      </c>
      <c r="B43" s="45" t="inlineStr">
        <is>
          <t>Kembla Grange</t>
        </is>
      </c>
      <c r="C43" s="21" t="n">
        <v>3</v>
      </c>
      <c r="D43" s="21" t="n">
        <v>1</v>
      </c>
      <c r="E43" s="20" t="inlineStr">
        <is>
          <t>Anthropoid</t>
        </is>
      </c>
      <c r="F43" s="46" t="inlineStr">
        <is>
          <t>Lay</t>
        </is>
      </c>
      <c r="G43" s="47" t="inlineStr">
        <is>
          <t>Lay</t>
        </is>
      </c>
      <c r="H43" s="48" t="n">
        <v>2.7</v>
      </c>
      <c r="I43" s="48" t="n">
        <v>2.1</v>
      </c>
      <c r="J43" s="22" t="n">
        <v>-0.1067</v>
      </c>
      <c r="K43" s="49" t="n">
        <v>1</v>
      </c>
      <c r="L43" s="21" t="n">
        <v>2</v>
      </c>
      <c r="M43" s="50" t="inlineStr">
        <is>
          <t>Win</t>
        </is>
      </c>
      <c r="N43" s="23">
        <f>IF(M43="Win",IF(F43="Bet",(I43-1)*K43,K43),IF(M43="Loss",IF(F43="Bet",-K43,-(I43-1)*K43),IF(M43="Void",0,"")))</f>
        <v/>
      </c>
      <c r="O43" s="24">
        <f>IF(OR(M43="Win",M43="Loss"),IF(F43="Bet",K43,(I43-1)*K43),"")</f>
        <v/>
      </c>
    </row>
    <row r="44">
      <c r="A44" s="37" t="n">
        <v>46277</v>
      </c>
      <c r="B44" s="38" t="inlineStr">
        <is>
          <t>Kembla Grange</t>
        </is>
      </c>
      <c r="C44" s="15" t="n">
        <v>5</v>
      </c>
      <c r="D44" s="15" t="n">
        <v>9</v>
      </c>
      <c r="E44" s="14" t="inlineStr">
        <is>
          <t>Sky Deck</t>
        </is>
      </c>
      <c r="F44" s="43" t="inlineStr">
        <is>
          <t>Lay</t>
        </is>
      </c>
      <c r="G44" s="47" t="inlineStr">
        <is>
          <t>Lay</t>
        </is>
      </c>
      <c r="H44" s="41" t="n">
        <v>4.5</v>
      </c>
      <c r="I44" s="41" t="n">
        <v>2.7</v>
      </c>
      <c r="J44" s="16" t="n">
        <v>-0.1228</v>
      </c>
      <c r="K44" s="42" t="n">
        <v>1</v>
      </c>
      <c r="L44" s="15" t="n">
        <v>1</v>
      </c>
      <c r="M44" s="43" t="inlineStr">
        <is>
          <t>Loss</t>
        </is>
      </c>
      <c r="N44" s="17">
        <f>IF(M44="Win",IF(F44="Bet",(I44-1)*K44,K44),IF(M44="Loss",IF(F44="Bet",-K44,-(I44-1)*K44),IF(M44="Void",0,"")))</f>
        <v/>
      </c>
      <c r="O44" s="18">
        <f>IF(OR(M44="Win",M44="Loss"),IF(F44="Bet",K44,(I44-1)*K44),"")</f>
        <v/>
      </c>
    </row>
    <row r="45">
      <c r="A45" s="44" t="n">
        <v>46277</v>
      </c>
      <c r="B45" s="45" t="inlineStr">
        <is>
          <t>Kembla Grange</t>
        </is>
      </c>
      <c r="C45" s="21" t="n">
        <v>8</v>
      </c>
      <c r="D45" s="21" t="n">
        <v>9</v>
      </c>
      <c r="E45" s="20" t="inlineStr">
        <is>
          <t>Cabbucio</t>
        </is>
      </c>
      <c r="F45" s="46" t="inlineStr">
        <is>
          <t>Lay</t>
        </is>
      </c>
      <c r="G45" s="47" t="inlineStr">
        <is>
          <t>Lay</t>
        </is>
      </c>
      <c r="H45" s="48" t="n">
        <v>3.9</v>
      </c>
      <c r="I45" s="48" t="n">
        <v>2.6</v>
      </c>
      <c r="J45" s="22" t="n">
        <v>-0.1256</v>
      </c>
      <c r="K45" s="49" t="n">
        <v>1</v>
      </c>
      <c r="L45" s="21" t="n">
        <v>2</v>
      </c>
      <c r="M45" s="50" t="inlineStr">
        <is>
          <t>Win</t>
        </is>
      </c>
      <c r="N45" s="23">
        <f>IF(M45="Win",IF(F45="Bet",(I45-1)*K45,K45),IF(M45="Loss",IF(F45="Bet",-K45,-(I45-1)*K45),IF(M45="Void",0,"")))</f>
        <v/>
      </c>
      <c r="O45" s="24">
        <f>IF(OR(M45="Win",M45="Loss"),IF(F45="Bet",K45,(I45-1)*K45),"")</f>
        <v/>
      </c>
    </row>
    <row r="46">
      <c r="A46" s="37" t="n">
        <v>46277</v>
      </c>
      <c r="B46" s="38" t="inlineStr">
        <is>
          <t>Gold Coast</t>
        </is>
      </c>
      <c r="C46" s="15" t="n">
        <v>2</v>
      </c>
      <c r="D46" s="15" t="n">
        <v>5</v>
      </c>
      <c r="E46" s="14" t="inlineStr">
        <is>
          <t>Cardonette</t>
        </is>
      </c>
      <c r="F46" s="43" t="inlineStr">
        <is>
          <t>Lay</t>
        </is>
      </c>
      <c r="G46" s="47" t="inlineStr">
        <is>
          <t>Lay</t>
        </is>
      </c>
      <c r="H46" s="41" t="n">
        <v>1.7</v>
      </c>
      <c r="I46" s="41" t="n">
        <v>1.4</v>
      </c>
      <c r="J46" s="16" t="n">
        <v>-0.1226</v>
      </c>
      <c r="K46" s="42" t="n">
        <v>1</v>
      </c>
      <c r="L46" s="15" t="n">
        <v>1</v>
      </c>
      <c r="M46" s="43" t="inlineStr">
        <is>
          <t>Loss</t>
        </is>
      </c>
      <c r="N46" s="17">
        <f>IF(M46="Win",IF(F46="Bet",(I46-1)*K46,K46),IF(M46="Loss",IF(F46="Bet",-K46,-(I46-1)*K46),IF(M46="Void",0,"")))</f>
        <v/>
      </c>
      <c r="O46" s="18">
        <f>IF(OR(M46="Win",M46="Loss"),IF(F46="Bet",K46,(I46-1)*K46),"")</f>
        <v/>
      </c>
    </row>
    <row r="47">
      <c r="A47" s="44" t="n">
        <v>46277</v>
      </c>
      <c r="B47" s="45" t="inlineStr">
        <is>
          <t>Morphettville</t>
        </is>
      </c>
      <c r="C47" s="21" t="n">
        <v>5</v>
      </c>
      <c r="D47" s="21" t="n">
        <v>1</v>
      </c>
      <c r="E47" s="20" t="inlineStr">
        <is>
          <t>Navy Rok</t>
        </is>
      </c>
      <c r="F47" s="46" t="inlineStr">
        <is>
          <t>Lay</t>
        </is>
      </c>
      <c r="G47" s="47" t="inlineStr">
        <is>
          <t>Lay</t>
        </is>
      </c>
      <c r="H47" s="48" t="n">
        <v>3.2</v>
      </c>
      <c r="I47" s="48" t="n">
        <v>2.35</v>
      </c>
      <c r="J47" s="22" t="n">
        <v>-0.1101</v>
      </c>
      <c r="K47" s="49" t="n">
        <v>1</v>
      </c>
      <c r="L47" s="21" t="n">
        <v>1</v>
      </c>
      <c r="M47" s="46" t="inlineStr">
        <is>
          <t>Loss</t>
        </is>
      </c>
      <c r="N47" s="23">
        <f>IF(M47="Win",IF(F47="Bet",(I47-1)*K47,K47),IF(M47="Loss",IF(F47="Bet",-K47,-(I47-1)*K47),IF(M47="Void",0,"")))</f>
        <v/>
      </c>
      <c r="O47" s="24">
        <f>IF(OR(M47="Win",M47="Loss"),IF(F47="Bet",K47,(I47-1)*K47),"")</f>
        <v/>
      </c>
    </row>
    <row r="48">
      <c r="A48" s="37" t="n">
        <v>46277</v>
      </c>
      <c r="B48" s="38" t="inlineStr">
        <is>
          <t>Morphettville</t>
        </is>
      </c>
      <c r="C48" s="15" t="n">
        <v>7</v>
      </c>
      <c r="D48" s="15" t="n">
        <v>3</v>
      </c>
      <c r="E48" s="14" t="inlineStr">
        <is>
          <t>Watchme Win</t>
        </is>
      </c>
      <c r="F48" s="39" t="inlineStr">
        <is>
          <t>Bet</t>
        </is>
      </c>
      <c r="G48" s="40" t="inlineStr">
        <is>
          <t>Bet</t>
        </is>
      </c>
      <c r="H48" s="41" t="n">
        <v>3.8</v>
      </c>
      <c r="I48" s="41" t="n">
        <v>4.2</v>
      </c>
      <c r="J48" s="16" t="n">
        <v>0.025</v>
      </c>
      <c r="K48" s="42" t="n">
        <v>1</v>
      </c>
      <c r="L48" s="15" t="n">
        <v>4</v>
      </c>
      <c r="M48" s="43" t="inlineStr">
        <is>
          <t>Loss</t>
        </is>
      </c>
      <c r="N48" s="17">
        <f>IF(M48="Win",IF(F48="Bet",(I48-1)*K48,K48),IF(M48="Loss",IF(F48="Bet",-K48,-(I48-1)*K48),IF(M48="Void",0,"")))</f>
        <v/>
      </c>
      <c r="O48" s="18">
        <f>IF(OR(M48="Win",M48="Loss"),IF(F48="Bet",K48,(I48-1)*K48),"")</f>
        <v/>
      </c>
    </row>
    <row r="49">
      <c r="A49" s="44" t="n">
        <v>46277</v>
      </c>
      <c r="B49" s="45" t="inlineStr">
        <is>
          <t>Donald</t>
        </is>
      </c>
      <c r="C49" s="21" t="n">
        <v>2</v>
      </c>
      <c r="D49" s="21" t="n">
        <v>1</v>
      </c>
      <c r="E49" s="20" t="inlineStr">
        <is>
          <t>Millsy's Award</t>
        </is>
      </c>
      <c r="F49" s="46" t="inlineStr">
        <is>
          <t>Lay</t>
        </is>
      </c>
      <c r="G49" s="47" t="inlineStr">
        <is>
          <t>Lay</t>
        </is>
      </c>
      <c r="H49" s="48" t="n">
        <v>3.5</v>
      </c>
      <c r="I49" s="48" t="n">
        <v>2.35</v>
      </c>
      <c r="J49" s="22" t="n">
        <v>-0.142</v>
      </c>
      <c r="K49" s="49" t="n">
        <v>1</v>
      </c>
      <c r="L49" s="21" t="n">
        <v>6</v>
      </c>
      <c r="M49" s="50" t="inlineStr">
        <is>
          <t>Win</t>
        </is>
      </c>
      <c r="N49" s="23">
        <f>IF(M49="Win",IF(F49="Bet",(I49-1)*K49,K49),IF(M49="Loss",IF(F49="Bet",-K49,-(I49-1)*K49),IF(M49="Void",0,"")))</f>
        <v/>
      </c>
      <c r="O49" s="24">
        <f>IF(OR(M49="Win",M49="Loss"),IF(F49="Bet",K49,(I49-1)*K49),"")</f>
        <v/>
      </c>
    </row>
    <row r="50">
      <c r="A50" s="37" t="n">
        <v>46277</v>
      </c>
      <c r="B50" s="38" t="inlineStr">
        <is>
          <t>Mackay</t>
        </is>
      </c>
      <c r="C50" s="15" t="n">
        <v>1</v>
      </c>
      <c r="D50" s="15" t="n">
        <v>1</v>
      </c>
      <c r="E50" s="14" t="inlineStr">
        <is>
          <t>Harbour Chill</t>
        </is>
      </c>
      <c r="F50" s="43" t="inlineStr">
        <is>
          <t>Lay</t>
        </is>
      </c>
      <c r="G50" s="47" t="inlineStr">
        <is>
          <t>Lay</t>
        </is>
      </c>
      <c r="H50" s="41" t="n">
        <v>2.5</v>
      </c>
      <c r="I50" s="41" t="n">
        <v>1.86</v>
      </c>
      <c r="J50" s="16" t="n">
        <v>-0.1162</v>
      </c>
      <c r="K50" s="42" t="n">
        <v>1</v>
      </c>
      <c r="L50" s="15" t="n">
        <v>1</v>
      </c>
      <c r="M50" s="43" t="inlineStr">
        <is>
          <t>Loss</t>
        </is>
      </c>
      <c r="N50" s="17">
        <f>IF(M50="Win",IF(F50="Bet",(I50-1)*K50,K50),IF(M50="Loss",IF(F50="Bet",-K50,-(I50-1)*K50),IF(M50="Void",0,"")))</f>
        <v/>
      </c>
      <c r="O50" s="18">
        <f>IF(OR(M50="Win",M50="Loss"),IF(F50="Bet",K50,(I50-1)*K50),"")</f>
        <v/>
      </c>
    </row>
    <row r="51">
      <c r="A51" s="44" t="n">
        <v>46277</v>
      </c>
      <c r="B51" s="45" t="inlineStr">
        <is>
          <t>Mackay</t>
        </is>
      </c>
      <c r="C51" s="21" t="n">
        <v>5</v>
      </c>
      <c r="D51" s="21" t="n">
        <v>2</v>
      </c>
      <c r="E51" s="20" t="inlineStr">
        <is>
          <t>Batemans Bay</t>
        </is>
      </c>
      <c r="F51" s="52" t="inlineStr">
        <is>
          <t>Bet</t>
        </is>
      </c>
      <c r="G51" s="40" t="inlineStr">
        <is>
          <t>Bet</t>
        </is>
      </c>
      <c r="H51" s="48" t="n">
        <v>3.8</v>
      </c>
      <c r="I51" s="48" t="n">
        <v>5.4</v>
      </c>
      <c r="J51" s="22" t="n">
        <v>0.0332</v>
      </c>
      <c r="K51" s="49" t="n">
        <v>1</v>
      </c>
      <c r="L51" s="21" t="n">
        <v>3</v>
      </c>
      <c r="M51" s="46" t="inlineStr">
        <is>
          <t>Loss</t>
        </is>
      </c>
      <c r="N51" s="23">
        <f>IF(M51="Win",IF(F51="Bet",(I51-1)*K51,K51),IF(M51="Loss",IF(F51="Bet",-K51,-(I51-1)*K51),IF(M51="Void",0,"")))</f>
        <v/>
      </c>
      <c r="O51" s="24">
        <f>IF(OR(M51="Win",M51="Loss"),IF(F51="Bet",K51,(I51-1)*K51),"")</f>
        <v/>
      </c>
    </row>
    <row r="52">
      <c r="A52" s="37" t="n">
        <v>46277</v>
      </c>
      <c r="B52" s="38" t="inlineStr">
        <is>
          <t>Mackay</t>
        </is>
      </c>
      <c r="C52" s="15" t="n">
        <v>5</v>
      </c>
      <c r="D52" s="15" t="n">
        <v>3</v>
      </c>
      <c r="E52" s="14" t="inlineStr">
        <is>
          <t>Shiny Love</t>
        </is>
      </c>
      <c r="F52" s="43" t="inlineStr">
        <is>
          <t>Lay</t>
        </is>
      </c>
      <c r="G52" s="47" t="inlineStr">
        <is>
          <t>Lay</t>
        </is>
      </c>
      <c r="H52" s="41" t="n">
        <v>2.05</v>
      </c>
      <c r="I52" s="41" t="n">
        <v>1.55</v>
      </c>
      <c r="J52" s="16" t="n">
        <v>-0.159</v>
      </c>
      <c r="K52" s="42" t="n">
        <v>1</v>
      </c>
      <c r="L52" s="15" t="n">
        <v>1</v>
      </c>
      <c r="M52" s="43" t="inlineStr">
        <is>
          <t>Loss</t>
        </is>
      </c>
      <c r="N52" s="17">
        <f>IF(M52="Win",IF(F52="Bet",(I52-1)*K52,K52),IF(M52="Loss",IF(F52="Bet",-K52,-(I52-1)*K52),IF(M52="Void",0,"")))</f>
        <v/>
      </c>
      <c r="O52" s="18">
        <f>IF(OR(M52="Win",M52="Loss"),IF(F52="Bet",K52,(I52-1)*K52),"")</f>
        <v/>
      </c>
    </row>
    <row r="53">
      <c r="A53" s="44" t="n">
        <v>46277</v>
      </c>
      <c r="B53" s="45" t="inlineStr">
        <is>
          <t>Griffith</t>
        </is>
      </c>
      <c r="C53" s="21" t="n">
        <v>1</v>
      </c>
      <c r="D53" s="21" t="n">
        <v>4</v>
      </c>
      <c r="E53" s="20" t="inlineStr">
        <is>
          <t>Bravo Six</t>
        </is>
      </c>
      <c r="F53" s="46" t="inlineStr">
        <is>
          <t>Lay</t>
        </is>
      </c>
      <c r="G53" s="47" t="inlineStr">
        <is>
          <t>Lay</t>
        </is>
      </c>
      <c r="H53" s="48" t="n">
        <v>2.75</v>
      </c>
      <c r="I53" s="48" t="n">
        <v>2.15</v>
      </c>
      <c r="J53" s="22" t="n">
        <v>-0.1025</v>
      </c>
      <c r="K53" s="49" t="n">
        <v>1</v>
      </c>
      <c r="L53" s="21" t="n">
        <v>4</v>
      </c>
      <c r="M53" s="50" t="inlineStr">
        <is>
          <t>Win</t>
        </is>
      </c>
      <c r="N53" s="23">
        <f>IF(M53="Win",IF(F53="Bet",(I53-1)*K53,K53),IF(M53="Loss",IF(F53="Bet",-K53,-(I53-1)*K53),IF(M53="Void",0,"")))</f>
        <v/>
      </c>
      <c r="O53" s="24">
        <f>IF(OR(M53="Win",M53="Loss"),IF(F53="Bet",K53,(I53-1)*K53),"")</f>
        <v/>
      </c>
    </row>
    <row r="54">
      <c r="A54" s="37" t="n">
        <v>46277</v>
      </c>
      <c r="B54" s="38" t="inlineStr">
        <is>
          <t>Griffith</t>
        </is>
      </c>
      <c r="C54" s="15" t="n">
        <v>5</v>
      </c>
      <c r="D54" s="15" t="n">
        <v>4</v>
      </c>
      <c r="E54" s="14" t="inlineStr">
        <is>
          <t>Copperfield</t>
        </is>
      </c>
      <c r="F54" s="39" t="inlineStr">
        <is>
          <t>Bet</t>
        </is>
      </c>
      <c r="G54" s="40" t="inlineStr">
        <is>
          <t>Bet</t>
        </is>
      </c>
      <c r="H54" s="41" t="n">
        <v>6.1</v>
      </c>
      <c r="I54" s="41" t="n">
        <v>9.91</v>
      </c>
      <c r="J54" s="16" t="n">
        <v>0.0388</v>
      </c>
      <c r="K54" s="42" t="n">
        <v>1</v>
      </c>
      <c r="L54" s="15" t="n">
        <v>4</v>
      </c>
      <c r="M54" s="43" t="inlineStr">
        <is>
          <t>Loss</t>
        </is>
      </c>
      <c r="N54" s="17">
        <f>IF(M54="Win",IF(F54="Bet",(I54-1)*K54,K54),IF(M54="Loss",IF(F54="Bet",-K54,-(I54-1)*K54),IF(M54="Void",0,"")))</f>
        <v/>
      </c>
      <c r="O54" s="18">
        <f>IF(OR(M54="Win",M54="Loss"),IF(F54="Bet",K54,(I54-1)*K54),"")</f>
        <v/>
      </c>
    </row>
    <row r="55">
      <c r="A55" s="44" t="n">
        <v>46277</v>
      </c>
      <c r="B55" s="45" t="inlineStr">
        <is>
          <t>Thangool</t>
        </is>
      </c>
      <c r="C55" s="21" t="n">
        <v>2</v>
      </c>
      <c r="D55" s="21" t="n">
        <v>1</v>
      </c>
      <c r="E55" s="20" t="inlineStr">
        <is>
          <t>Lunar Eight</t>
        </is>
      </c>
      <c r="F55" s="52" t="inlineStr">
        <is>
          <t>Bet</t>
        </is>
      </c>
      <c r="G55" s="40" t="inlineStr">
        <is>
          <t>Bet</t>
        </is>
      </c>
      <c r="H55" s="48" t="n">
        <v>2.85</v>
      </c>
      <c r="I55" s="48" t="n">
        <v>3.6</v>
      </c>
      <c r="J55" s="22" t="n">
        <v>0.0414</v>
      </c>
      <c r="K55" s="49" t="n">
        <v>1</v>
      </c>
      <c r="L55" s="21" t="n">
        <v>3</v>
      </c>
      <c r="M55" s="46" t="inlineStr">
        <is>
          <t>Loss</t>
        </is>
      </c>
      <c r="N55" s="23">
        <f>IF(M55="Win",IF(F55="Bet",(I55-1)*K55,K55),IF(M55="Loss",IF(F55="Bet",-K55,-(I55-1)*K55),IF(M55="Void",0,"")))</f>
        <v/>
      </c>
      <c r="O55" s="24">
        <f>IF(OR(M55="Win",M55="Loss"),IF(F55="Bet",K55,(I55-1)*K55),"")</f>
        <v/>
      </c>
    </row>
    <row r="56">
      <c r="A56" s="37" t="n">
        <v>46277</v>
      </c>
      <c r="B56" s="38" t="inlineStr">
        <is>
          <t>Thangool</t>
        </is>
      </c>
      <c r="C56" s="15" t="n">
        <v>4</v>
      </c>
      <c r="D56" s="15" t="n">
        <v>2</v>
      </c>
      <c r="E56" s="14" t="inlineStr">
        <is>
          <t>Good Lieutenant</t>
        </is>
      </c>
      <c r="F56" s="39" t="inlineStr">
        <is>
          <t>Bet</t>
        </is>
      </c>
      <c r="G56" s="40" t="inlineStr">
        <is>
          <t>Bet</t>
        </is>
      </c>
      <c r="H56" s="41" t="n">
        <v>5.5</v>
      </c>
      <c r="I56" s="41" t="n">
        <v>7</v>
      </c>
      <c r="J56" s="16" t="n">
        <v>0.0378</v>
      </c>
      <c r="K56" s="42" t="n">
        <v>1</v>
      </c>
      <c r="L56" s="15" t="n">
        <v>7</v>
      </c>
      <c r="M56" s="43" t="inlineStr">
        <is>
          <t>Loss</t>
        </is>
      </c>
      <c r="N56" s="17">
        <f>IF(M56="Win",IF(F56="Bet",(I56-1)*K56,K56),IF(M56="Loss",IF(F56="Bet",-K56,-(I56-1)*K56),IF(M56="Void",0,"")))</f>
        <v/>
      </c>
      <c r="O56" s="18">
        <f>IF(OR(M56="Win",M56="Loss"),IF(F56="Bet",K56,(I56-1)*K56),"")</f>
        <v/>
      </c>
    </row>
    <row r="57">
      <c r="A57" s="44" t="n">
        <v>46277</v>
      </c>
      <c r="B57" s="45" t="inlineStr">
        <is>
          <t>Thangool</t>
        </is>
      </c>
      <c r="C57" s="21" t="n">
        <v>5</v>
      </c>
      <c r="D57" s="21" t="n">
        <v>4</v>
      </c>
      <c r="E57" s="20" t="inlineStr">
        <is>
          <t>The Defender</t>
        </is>
      </c>
      <c r="F57" s="46" t="inlineStr">
        <is>
          <t>Lay</t>
        </is>
      </c>
      <c r="G57" s="47" t="inlineStr">
        <is>
          <t>Lay</t>
        </is>
      </c>
      <c r="H57" s="48" t="n">
        <v>2.1</v>
      </c>
      <c r="I57" s="48" t="n">
        <v>1.54</v>
      </c>
      <c r="J57" s="22" t="n">
        <v>-0.1708</v>
      </c>
      <c r="K57" s="49" t="n">
        <v>1</v>
      </c>
      <c r="L57" s="21" t="n">
        <v>1</v>
      </c>
      <c r="M57" s="46" t="inlineStr">
        <is>
          <t>Loss</t>
        </is>
      </c>
      <c r="N57" s="23">
        <f>IF(M57="Win",IF(F57="Bet",(I57-1)*K57,K57),IF(M57="Loss",IF(F57="Bet",-K57,-(I57-1)*K57),IF(M57="Void",0,"")))</f>
        <v/>
      </c>
      <c r="O57" s="24">
        <f>IF(OR(M57="Win",M57="Loss"),IF(F57="Bet",K57,(I57-1)*K57),"")</f>
        <v/>
      </c>
    </row>
    <row r="58">
      <c r="A58" s="37" t="n">
        <v>46277</v>
      </c>
      <c r="B58" s="38" t="inlineStr">
        <is>
          <t>Belmont</t>
        </is>
      </c>
      <c r="C58" s="15" t="n">
        <v>2</v>
      </c>
      <c r="D58" s="15" t="n">
        <v>8</v>
      </c>
      <c r="E58" s="14" t="inlineStr">
        <is>
          <t>Olaf The Snowman</t>
        </is>
      </c>
      <c r="F58" s="43" t="inlineStr">
        <is>
          <t>Lay</t>
        </is>
      </c>
      <c r="G58" s="47" t="inlineStr">
        <is>
          <t>Lay</t>
        </is>
      </c>
      <c r="H58" s="41" t="n">
        <v>5</v>
      </c>
      <c r="I58" s="41" t="n">
        <v>3.2</v>
      </c>
      <c r="J58" s="16" t="n">
        <v>-0.1132</v>
      </c>
      <c r="K58" s="42" t="n">
        <v>1</v>
      </c>
      <c r="L58" s="15" t="n">
        <v>2</v>
      </c>
      <c r="M58" s="51" t="inlineStr">
        <is>
          <t>Win</t>
        </is>
      </c>
      <c r="N58" s="17">
        <f>IF(M58="Win",IF(F58="Bet",(I58-1)*K58,K58),IF(M58="Loss",IF(F58="Bet",-K58,-(I58-1)*K58),IF(M58="Void",0,"")))</f>
        <v/>
      </c>
      <c r="O58" s="18">
        <f>IF(OR(M58="Win",M58="Loss"),IF(F58="Bet",K58,(I58-1)*K58),"")</f>
        <v/>
      </c>
    </row>
    <row r="59">
      <c r="A59" s="44" t="n">
        <v>46277</v>
      </c>
      <c r="B59" s="45" t="inlineStr">
        <is>
          <t>Belmont</t>
        </is>
      </c>
      <c r="C59" s="21" t="n">
        <v>3</v>
      </c>
      <c r="D59" s="21" t="n">
        <v>4</v>
      </c>
      <c r="E59" s="20" t="inlineStr">
        <is>
          <t>Arcadia Knight</t>
        </is>
      </c>
      <c r="F59" s="46" t="inlineStr">
        <is>
          <t>Lay</t>
        </is>
      </c>
      <c r="G59" s="47" t="inlineStr">
        <is>
          <t>Lay</t>
        </is>
      </c>
      <c r="H59" s="48" t="n">
        <v>3.2</v>
      </c>
      <c r="I59" s="48" t="n">
        <v>2.28</v>
      </c>
      <c r="J59" s="22" t="n">
        <v>-0.1144</v>
      </c>
      <c r="K59" s="49" t="n">
        <v>1</v>
      </c>
      <c r="L59" s="21" t="n">
        <v>1</v>
      </c>
      <c r="M59" s="46" t="inlineStr">
        <is>
          <t>Loss</t>
        </is>
      </c>
      <c r="N59" s="23">
        <f>IF(M59="Win",IF(F59="Bet",(I59-1)*K59,K59),IF(M59="Loss",IF(F59="Bet",-K59,-(I59-1)*K59),IF(M59="Void",0,"")))</f>
        <v/>
      </c>
      <c r="O59" s="24">
        <f>IF(OR(M59="Win",M59="Loss"),IF(F59="Bet",K59,(I59-1)*K59),"")</f>
        <v/>
      </c>
    </row>
    <row r="60">
      <c r="A60" s="37" t="n">
        <v>46277</v>
      </c>
      <c r="B60" s="38" t="inlineStr">
        <is>
          <t>Belmont</t>
        </is>
      </c>
      <c r="C60" s="15" t="n">
        <v>6</v>
      </c>
      <c r="D60" s="15" t="n">
        <v>1</v>
      </c>
      <c r="E60" s="14" t="inlineStr">
        <is>
          <t>Miss Veuve</t>
        </is>
      </c>
      <c r="F60" s="43" t="inlineStr">
        <is>
          <t>Lay</t>
        </is>
      </c>
      <c r="G60" s="47" t="inlineStr">
        <is>
          <t>Lay</t>
        </is>
      </c>
      <c r="H60" s="41" t="n">
        <v>3.6</v>
      </c>
      <c r="I60" s="41" t="n">
        <v>2.45</v>
      </c>
      <c r="J60" s="16" t="n">
        <v>-0.1315</v>
      </c>
      <c r="K60" s="42" t="n">
        <v>1</v>
      </c>
      <c r="L60" s="15" t="n">
        <v>5</v>
      </c>
      <c r="M60" s="51" t="inlineStr">
        <is>
          <t>Win</t>
        </is>
      </c>
      <c r="N60" s="17">
        <f>IF(M60="Win",IF(F60="Bet",(I60-1)*K60,K60),IF(M60="Loss",IF(F60="Bet",-K60,-(I60-1)*K60),IF(M60="Void",0,"")))</f>
        <v/>
      </c>
      <c r="O60" s="18">
        <f>IF(OR(M60="Win",M60="Loss"),IF(F60="Bet",K60,(I60-1)*K60),"")</f>
        <v/>
      </c>
    </row>
    <row r="61">
      <c r="A61" s="44" t="n">
        <v>46277</v>
      </c>
      <c r="B61" s="45" t="inlineStr">
        <is>
          <t>Belmont</t>
        </is>
      </c>
      <c r="C61" s="21" t="n">
        <v>7</v>
      </c>
      <c r="D61" s="21" t="n">
        <v>1</v>
      </c>
      <c r="E61" s="20" t="inlineStr">
        <is>
          <t>Snowdome</t>
        </is>
      </c>
      <c r="F61" s="52" t="inlineStr">
        <is>
          <t>Bet</t>
        </is>
      </c>
      <c r="G61" s="53" t="inlineStr">
        <is>
          <t>Prime</t>
        </is>
      </c>
      <c r="H61" s="48" t="n">
        <v>3.5</v>
      </c>
      <c r="I61" s="48" t="n">
        <v>4.5</v>
      </c>
      <c r="J61" s="22" t="n">
        <v>0.0617</v>
      </c>
      <c r="K61" s="49" t="n">
        <v>1</v>
      </c>
      <c r="L61" s="21" t="n">
        <v>9</v>
      </c>
      <c r="M61" s="46" t="inlineStr">
        <is>
          <t>Loss</t>
        </is>
      </c>
      <c r="N61" s="23">
        <f>IF(M61="Win",IF(F61="Bet",(I61-1)*K61,K61),IF(M61="Loss",IF(F61="Bet",-K61,-(I61-1)*K61),IF(M61="Void",0,"")))</f>
        <v/>
      </c>
      <c r="O61" s="24">
        <f>IF(OR(M61="Win",M61="Loss"),IF(F61="Bet",K61,(I61-1)*K61),"")</f>
        <v/>
      </c>
    </row>
    <row r="62">
      <c r="A62" s="37" t="n">
        <v>46277</v>
      </c>
      <c r="B62" s="38" t="inlineStr">
        <is>
          <t>Belmont</t>
        </is>
      </c>
      <c r="C62" s="15" t="n">
        <v>8</v>
      </c>
      <c r="D62" s="15" t="n">
        <v>4</v>
      </c>
      <c r="E62" s="14" t="inlineStr">
        <is>
          <t>Swingman</t>
        </is>
      </c>
      <c r="F62" s="39" t="inlineStr">
        <is>
          <t>Bet</t>
        </is>
      </c>
      <c r="G62" s="40" t="inlineStr">
        <is>
          <t>Bet</t>
        </is>
      </c>
      <c r="H62" s="41" t="n">
        <v>4.5</v>
      </c>
      <c r="I62" s="41" t="n">
        <v>5.5</v>
      </c>
      <c r="J62" s="16" t="n">
        <v>0.04</v>
      </c>
      <c r="K62" s="42" t="n">
        <v>1</v>
      </c>
      <c r="L62" s="15" t="n">
        <v>12</v>
      </c>
      <c r="M62" s="43" t="inlineStr">
        <is>
          <t>Loss</t>
        </is>
      </c>
      <c r="N62" s="17">
        <f>IF(M62="Win",IF(F62="Bet",(I62-1)*K62,K62),IF(M62="Loss",IF(F62="Bet",-K62,-(I62-1)*K62),IF(M62="Void",0,"")))</f>
        <v/>
      </c>
      <c r="O62" s="18">
        <f>IF(OR(M62="Win",M62="Loss"),IF(F62="Bet",K62,(I62-1)*K62),"")</f>
        <v/>
      </c>
    </row>
    <row r="63">
      <c r="A63" s="44" t="n">
        <v>46277</v>
      </c>
      <c r="B63" s="45" t="inlineStr">
        <is>
          <t>Alice Springs</t>
        </is>
      </c>
      <c r="C63" s="21" t="n">
        <v>3</v>
      </c>
      <c r="D63" s="21" t="n">
        <v>2</v>
      </c>
      <c r="E63" s="20" t="inlineStr">
        <is>
          <t>Luskin Hero</t>
        </is>
      </c>
      <c r="F63" s="52" t="inlineStr">
        <is>
          <t>Bet</t>
        </is>
      </c>
      <c r="G63" s="53" t="inlineStr">
        <is>
          <t>Prime</t>
        </is>
      </c>
      <c r="H63" s="48" t="n">
        <v>4.9</v>
      </c>
      <c r="I63" s="48" t="n">
        <v>8.039999999999999</v>
      </c>
      <c r="J63" s="22" t="n">
        <v>0.0625</v>
      </c>
      <c r="K63" s="49" t="n">
        <v>1</v>
      </c>
      <c r="L63" s="21" t="n">
        <v>4</v>
      </c>
      <c r="M63" s="46" t="inlineStr">
        <is>
          <t>Loss</t>
        </is>
      </c>
      <c r="N63" s="23">
        <f>IF(M63="Win",IF(F63="Bet",(I63-1)*K63,K63),IF(M63="Loss",IF(F63="Bet",-K63,-(I63-1)*K63),IF(M63="Void",0,"")))</f>
        <v/>
      </c>
      <c r="O63" s="24">
        <f>IF(OR(M63="Win",M63="Loss"),IF(F63="Bet",K63,(I63-1)*K63),"")</f>
        <v/>
      </c>
    </row>
    <row r="64">
      <c r="A64" s="37" t="n">
        <v>46277</v>
      </c>
      <c r="B64" s="38" t="inlineStr">
        <is>
          <t>Alice Springs</t>
        </is>
      </c>
      <c r="C64" s="15" t="n">
        <v>5</v>
      </c>
      <c r="D64" s="15" t="n">
        <v>1</v>
      </c>
      <c r="E64" s="14" t="inlineStr">
        <is>
          <t>Laws Wars</t>
        </is>
      </c>
      <c r="F64" s="39" t="inlineStr">
        <is>
          <t>Bet</t>
        </is>
      </c>
      <c r="G64" s="40" t="inlineStr">
        <is>
          <t>Bet</t>
        </is>
      </c>
      <c r="H64" s="41" t="n">
        <v>3.7</v>
      </c>
      <c r="I64" s="41" t="n">
        <v>5.19</v>
      </c>
      <c r="J64" s="16" t="n">
        <v>0.0331</v>
      </c>
      <c r="K64" s="42" t="n">
        <v>1</v>
      </c>
      <c r="L64" s="15" t="n">
        <v>2</v>
      </c>
      <c r="M64" s="43" t="inlineStr">
        <is>
          <t>Loss</t>
        </is>
      </c>
      <c r="N64" s="17">
        <f>IF(M64="Win",IF(F64="Bet",(I64-1)*K64,K64),IF(M64="Loss",IF(F64="Bet",-K64,-(I64-1)*K64),IF(M64="Void",0,"")))</f>
        <v/>
      </c>
      <c r="O64" s="18">
        <f>IF(OR(M64="Win",M64="Loss"),IF(F64="Bet",K64,(I64-1)*K64),"")</f>
        <v/>
      </c>
    </row>
    <row r="65">
      <c r="A65" s="44" t="n">
        <v>46277</v>
      </c>
      <c r="B65" s="45" t="inlineStr">
        <is>
          <t>Alice Springs</t>
        </is>
      </c>
      <c r="C65" s="21" t="n">
        <v>5</v>
      </c>
      <c r="D65" s="21" t="n">
        <v>5</v>
      </c>
      <c r="E65" s="20" t="inlineStr">
        <is>
          <t>Mummsie</t>
        </is>
      </c>
      <c r="F65" s="46" t="inlineStr">
        <is>
          <t>Lay</t>
        </is>
      </c>
      <c r="G65" s="47" t="inlineStr">
        <is>
          <t>Lay</t>
        </is>
      </c>
      <c r="H65" s="48" t="n">
        <v>5</v>
      </c>
      <c r="I65" s="48" t="n">
        <v>3.2</v>
      </c>
      <c r="J65" s="22" t="n">
        <v>-0.1117</v>
      </c>
      <c r="K65" s="49" t="n">
        <v>1</v>
      </c>
      <c r="L65" s="21" t="n">
        <v>1</v>
      </c>
      <c r="M65" s="46" t="inlineStr">
        <is>
          <t>Loss</t>
        </is>
      </c>
      <c r="N65" s="23">
        <f>IF(M65="Win",IF(F65="Bet",(I65-1)*K65,K65),IF(M65="Loss",IF(F65="Bet",-K65,-(I65-1)*K65),IF(M65="Void",0,"")))</f>
        <v/>
      </c>
      <c r="O65" s="24">
        <f>IF(OR(M65="Win",M65="Loss"),IF(F65="Bet",K65,(I65-1)*K65),"")</f>
        <v/>
      </c>
    </row>
    <row r="66">
      <c r="A66" s="37" t="n">
        <v>46277</v>
      </c>
      <c r="B66" s="38" t="inlineStr">
        <is>
          <t>Carnarvon</t>
        </is>
      </c>
      <c r="C66" s="15" t="n">
        <v>1</v>
      </c>
      <c r="D66" s="15" t="n">
        <v>1</v>
      </c>
      <c r="E66" s="14" t="inlineStr">
        <is>
          <t>Another Nephew</t>
        </is>
      </c>
      <c r="F66" s="39" t="inlineStr">
        <is>
          <t>Bet</t>
        </is>
      </c>
      <c r="G66" s="40" t="inlineStr">
        <is>
          <t>Bet</t>
        </is>
      </c>
      <c r="H66" s="41" t="n">
        <v>3.3</v>
      </c>
      <c r="I66" s="41" t="n">
        <v>4.06</v>
      </c>
      <c r="J66" s="16" t="n">
        <v>0.039</v>
      </c>
      <c r="K66" s="42" t="n">
        <v>1</v>
      </c>
      <c r="L66" s="15" t="n">
        <v>1</v>
      </c>
      <c r="M66" s="51" t="inlineStr">
        <is>
          <t>Win</t>
        </is>
      </c>
      <c r="N66" s="17">
        <f>IF(M66="Win",IF(F66="Bet",(I66-1)*K66,K66),IF(M66="Loss",IF(F66="Bet",-K66,-(I66-1)*K66),IF(M66="Void",0,"")))</f>
        <v/>
      </c>
      <c r="O66" s="18">
        <f>IF(OR(M66="Win",M66="Loss"),IF(F66="Bet",K66,(I66-1)*K66),"")</f>
        <v/>
      </c>
    </row>
    <row r="67">
      <c r="A67" s="44" t="n">
        <v>46277</v>
      </c>
      <c r="B67" s="45" t="inlineStr">
        <is>
          <t>Toowoomba</t>
        </is>
      </c>
      <c r="C67" s="21" t="n">
        <v>1</v>
      </c>
      <c r="D67" s="21" t="n">
        <v>11</v>
      </c>
      <c r="E67" s="20" t="inlineStr">
        <is>
          <t>Crypto Miss</t>
        </is>
      </c>
      <c r="F67" s="46" t="inlineStr">
        <is>
          <t>Lay</t>
        </is>
      </c>
      <c r="G67" s="47" t="inlineStr">
        <is>
          <t>Lay</t>
        </is>
      </c>
      <c r="H67" s="48" t="n">
        <v>4.3</v>
      </c>
      <c r="I67" s="48" t="n">
        <v>2.8</v>
      </c>
      <c r="J67" s="22" t="n">
        <v>-0.1219</v>
      </c>
      <c r="K67" s="49" t="n">
        <v>1</v>
      </c>
      <c r="L67" s="21" t="inlineStr">
        <is>
          <t>Unplaced</t>
        </is>
      </c>
      <c r="M67" s="50" t="inlineStr">
        <is>
          <t>Win</t>
        </is>
      </c>
      <c r="N67" s="23">
        <f>IF(M67="Win",IF(F67="Bet",(I67-1)*K67,K67),IF(M67="Loss",IF(F67="Bet",-K67,-(I67-1)*K67),IF(M67="Void",0,"")))</f>
        <v/>
      </c>
      <c r="O67" s="24">
        <f>IF(OR(M67="Win",M67="Loss"),IF(F67="Bet",K67,(I67-1)*K67),"")</f>
        <v/>
      </c>
    </row>
    <row r="68">
      <c r="A68" s="37" t="n">
        <v>46277</v>
      </c>
      <c r="B68" s="38" t="inlineStr">
        <is>
          <t>Toowoomba</t>
        </is>
      </c>
      <c r="C68" s="15" t="n">
        <v>6</v>
      </c>
      <c r="D68" s="15" t="n">
        <v>8</v>
      </c>
      <c r="E68" s="14" t="inlineStr">
        <is>
          <t>Shrimpton</t>
        </is>
      </c>
      <c r="F68" s="39" t="inlineStr">
        <is>
          <t>Bet</t>
        </is>
      </c>
      <c r="G68" s="40" t="inlineStr">
        <is>
          <t>Bet</t>
        </is>
      </c>
      <c r="H68" s="41" t="n">
        <v>4.4</v>
      </c>
      <c r="I68" s="41" t="n">
        <v>5.4</v>
      </c>
      <c r="J68" s="16" t="n">
        <v>0.0291</v>
      </c>
      <c r="K68" s="42" t="n">
        <v>1</v>
      </c>
      <c r="L68" s="15" t="n">
        <v>1</v>
      </c>
      <c r="M68" s="51" t="inlineStr">
        <is>
          <t>Win</t>
        </is>
      </c>
      <c r="N68" s="17">
        <f>IF(M68="Win",IF(F68="Bet",(I68-1)*K68,K68),IF(M68="Loss",IF(F68="Bet",-K68,-(I68-1)*K68),IF(M68="Void",0,"")))</f>
        <v/>
      </c>
      <c r="O68" s="18">
        <f>IF(OR(M68="Win",M68="Loss"),IF(F68="Bet",K68,(I68-1)*K68),"")</f>
        <v/>
      </c>
    </row>
    <row r="69">
      <c r="A69" s="44" t="n">
        <v>46277</v>
      </c>
      <c r="B69" s="45" t="inlineStr">
        <is>
          <t>Flemington</t>
        </is>
      </c>
      <c r="C69" s="21" t="n">
        <v>2</v>
      </c>
      <c r="D69" s="21" t="n">
        <v>5</v>
      </c>
      <c r="E69" s="20" t="inlineStr">
        <is>
          <t>Lara Antipova</t>
        </is>
      </c>
      <c r="F69" s="52" t="inlineStr">
        <is>
          <t>Bet</t>
        </is>
      </c>
      <c r="G69" s="53" t="inlineStr">
        <is>
          <t>Prime</t>
        </is>
      </c>
      <c r="H69" s="48" t="n">
        <v>6.4</v>
      </c>
      <c r="I69" s="48" t="n">
        <v>9.92</v>
      </c>
      <c r="J69" s="22" t="n">
        <v>0.0501</v>
      </c>
      <c r="K69" s="49" t="n">
        <v>1</v>
      </c>
      <c r="L69" s="21" t="n">
        <v>1</v>
      </c>
      <c r="M69" s="50" t="inlineStr">
        <is>
          <t>Win</t>
        </is>
      </c>
      <c r="N69" s="23">
        <f>IF(M69="Win",IF(F69="Bet",(I69-1)*K69,K69),IF(M69="Loss",IF(F69="Bet",-K69,-(I69-1)*K69),IF(M69="Void",0,"")))</f>
        <v/>
      </c>
      <c r="O69" s="24">
        <f>IF(OR(M69="Win",M69="Loss"),IF(F69="Bet",K69,(I69-1)*K69),"")</f>
        <v/>
      </c>
    </row>
    <row r="70">
      <c r="A70" s="37" t="n">
        <v>46277</v>
      </c>
      <c r="B70" s="38" t="inlineStr">
        <is>
          <t>Mackay</t>
        </is>
      </c>
      <c r="C70" s="15" t="n">
        <v>2</v>
      </c>
      <c r="D70" s="15" t="n">
        <v>4</v>
      </c>
      <c r="E70" s="14" t="inlineStr">
        <is>
          <t>Elegant Venus</t>
        </is>
      </c>
      <c r="F70" s="39" t="inlineStr">
        <is>
          <t>Bet</t>
        </is>
      </c>
      <c r="G70" s="40" t="inlineStr">
        <is>
          <t>Bet</t>
        </is>
      </c>
      <c r="H70" s="41" t="n">
        <v>3</v>
      </c>
      <c r="I70" s="41" t="n">
        <v>3.46</v>
      </c>
      <c r="J70" s="16" t="n">
        <v>0.0257</v>
      </c>
      <c r="K70" s="42" t="n">
        <v>1</v>
      </c>
      <c r="L70" s="15" t="n">
        <v>1</v>
      </c>
      <c r="M70" s="51" t="inlineStr">
        <is>
          <t>Win</t>
        </is>
      </c>
      <c r="N70" s="17">
        <f>IF(M70="Win",IF(F70="Bet",(I70-1)*K70,K70),IF(M70="Loss",IF(F70="Bet",-K70,-(I70-1)*K70),IF(M70="Void",0,"")))</f>
        <v/>
      </c>
      <c r="O70" s="18">
        <f>IF(OR(M70="Win",M70="Loss"),IF(F70="Bet",K70,(I70-1)*K70),"")</f>
        <v/>
      </c>
    </row>
    <row r="71">
      <c r="A71" s="44" t="n">
        <v>46277</v>
      </c>
      <c r="B71" s="45" t="inlineStr">
        <is>
          <t>Alice Springs</t>
        </is>
      </c>
      <c r="C71" s="21" t="n">
        <v>2</v>
      </c>
      <c r="D71" s="21" t="n">
        <v>2</v>
      </c>
      <c r="E71" s="20" t="inlineStr">
        <is>
          <t>Grinzinger Lass</t>
        </is>
      </c>
      <c r="F71" s="52" t="inlineStr">
        <is>
          <t>Bet</t>
        </is>
      </c>
      <c r="G71" s="40" t="inlineStr">
        <is>
          <t>Bet</t>
        </is>
      </c>
      <c r="H71" s="48" t="n">
        <v>4.2</v>
      </c>
      <c r="I71" s="48" t="n">
        <v>5.22</v>
      </c>
      <c r="J71" s="22" t="n">
        <v>0.0321</v>
      </c>
      <c r="K71" s="49" t="n">
        <v>1</v>
      </c>
      <c r="L71" s="21" t="n">
        <v>4</v>
      </c>
      <c r="M71" s="46" t="inlineStr">
        <is>
          <t>Loss</t>
        </is>
      </c>
      <c r="N71" s="23">
        <f>IF(M71="Win",IF(F71="Bet",(I71-1)*K71,K71),IF(M71="Loss",IF(F71="Bet",-K71,-(I71-1)*K71),IF(M71="Void",0,"")))</f>
        <v/>
      </c>
      <c r="O71" s="24">
        <f>IF(OR(M71="Win",M71="Loss"),IF(F71="Bet",K71,(I71-1)*K71),"")</f>
        <v/>
      </c>
    </row>
    <row r="72">
      <c r="A72" s="37" t="n">
        <v>46278</v>
      </c>
      <c r="B72" s="38" t="inlineStr">
        <is>
          <t>Dalby</t>
        </is>
      </c>
      <c r="C72" s="15" t="n">
        <v>4</v>
      </c>
      <c r="D72" s="15" t="n">
        <v>6</v>
      </c>
      <c r="E72" s="14" t="inlineStr">
        <is>
          <t>Lady Willpower</t>
        </is>
      </c>
      <c r="F72" s="43" t="inlineStr">
        <is>
          <t>Lay</t>
        </is>
      </c>
      <c r="G72" s="47" t="inlineStr">
        <is>
          <t>Lay</t>
        </is>
      </c>
      <c r="H72" s="41" t="n">
        <v>1.45</v>
      </c>
      <c r="I72" s="41" t="n">
        <v>1.22</v>
      </c>
      <c r="J72" s="16" t="n">
        <v>-0.1281</v>
      </c>
      <c r="K72" s="42" t="n">
        <v>1</v>
      </c>
      <c r="L72" s="15" t="n">
        <v>1</v>
      </c>
      <c r="M72" s="43" t="inlineStr">
        <is>
          <t>Loss</t>
        </is>
      </c>
      <c r="N72" s="17">
        <f>IF(M72="Win",IF(F72="Bet",(I72-1)*K72,K72),IF(M72="Loss",IF(F72="Bet",-K72,-(I72-1)*K72),IF(M72="Void",0,"")))</f>
        <v/>
      </c>
      <c r="O72" s="18">
        <f>IF(OR(M72="Win",M72="Loss"),IF(F72="Bet",K72,(I72-1)*K72),"")</f>
        <v/>
      </c>
    </row>
    <row r="73">
      <c r="A73" s="44" t="n">
        <v>46278</v>
      </c>
      <c r="B73" s="45" t="inlineStr">
        <is>
          <t>Dalby</t>
        </is>
      </c>
      <c r="C73" s="21" t="n">
        <v>6</v>
      </c>
      <c r="D73" s="21" t="n">
        <v>4</v>
      </c>
      <c r="E73" s="20" t="inlineStr">
        <is>
          <t>Solo Hunter</t>
        </is>
      </c>
      <c r="F73" s="46" t="inlineStr">
        <is>
          <t>Lay</t>
        </is>
      </c>
      <c r="G73" s="47" t="inlineStr">
        <is>
          <t>Lay</t>
        </is>
      </c>
      <c r="H73" s="48" t="n">
        <v>1.7</v>
      </c>
      <c r="I73" s="48" t="n">
        <v>1.4</v>
      </c>
      <c r="J73" s="22" t="n">
        <v>-0.1297</v>
      </c>
      <c r="K73" s="49" t="n">
        <v>1</v>
      </c>
      <c r="L73" s="21" t="n">
        <v>1</v>
      </c>
      <c r="M73" s="46" t="inlineStr">
        <is>
          <t>Loss</t>
        </is>
      </c>
      <c r="N73" s="23">
        <f>IF(M73="Win",IF(F73="Bet",(I73-1)*K73,K73),IF(M73="Loss",IF(F73="Bet",-K73,-(I73-1)*K73),IF(M73="Void",0,"")))</f>
        <v/>
      </c>
      <c r="O73" s="24">
        <f>IF(OR(M73="Win",M73="Loss"),IF(F73="Bet",K73,(I73-1)*K73),"")</f>
        <v/>
      </c>
    </row>
    <row r="74">
      <c r="A74" s="37" t="n">
        <v>46278</v>
      </c>
      <c r="B74" s="38" t="inlineStr">
        <is>
          <t>Dalby</t>
        </is>
      </c>
      <c r="C74" s="15" t="n">
        <v>8</v>
      </c>
      <c r="D74" s="15" t="n">
        <v>8</v>
      </c>
      <c r="E74" s="14" t="inlineStr">
        <is>
          <t>Snugg</t>
        </is>
      </c>
      <c r="F74" s="43" t="inlineStr">
        <is>
          <t>Lay</t>
        </is>
      </c>
      <c r="G74" s="47" t="inlineStr">
        <is>
          <t>Lay</t>
        </is>
      </c>
      <c r="H74" s="41" t="n">
        <v>3.5</v>
      </c>
      <c r="I74" s="41" t="n">
        <v>2.6</v>
      </c>
      <c r="J74" s="16" t="n">
        <v>-0.0974</v>
      </c>
      <c r="K74" s="42" t="n">
        <v>1</v>
      </c>
      <c r="L74" s="15" t="n">
        <v>3</v>
      </c>
      <c r="M74" s="51" t="inlineStr">
        <is>
          <t>Win</t>
        </is>
      </c>
      <c r="N74" s="17">
        <f>IF(M74="Win",IF(F74="Bet",(I74-1)*K74,K74),IF(M74="Loss",IF(F74="Bet",-K74,-(I74-1)*K74),IF(M74="Void",0,"")))</f>
        <v/>
      </c>
      <c r="O74" s="18">
        <f>IF(OR(M74="Win",M74="Loss"),IF(F74="Bet",K74,(I74-1)*K74),"")</f>
        <v/>
      </c>
    </row>
    <row r="75">
      <c r="A75" s="44" t="n">
        <v>46278</v>
      </c>
      <c r="B75" s="45" t="inlineStr">
        <is>
          <t>Sale</t>
        </is>
      </c>
      <c r="C75" s="21" t="n">
        <v>1</v>
      </c>
      <c r="D75" s="21" t="n">
        <v>4</v>
      </c>
      <c r="E75" s="20" t="inlineStr">
        <is>
          <t>Mr Margolin</t>
        </is>
      </c>
      <c r="F75" s="46" t="inlineStr">
        <is>
          <t>Lay</t>
        </is>
      </c>
      <c r="G75" s="47" t="inlineStr">
        <is>
          <t>Lay</t>
        </is>
      </c>
      <c r="H75" s="48" t="n">
        <v>5.8</v>
      </c>
      <c r="I75" s="48" t="n">
        <v>3.7</v>
      </c>
      <c r="J75" s="22" t="n">
        <v>-0.09660000000000001</v>
      </c>
      <c r="K75" s="49" t="n">
        <v>1</v>
      </c>
      <c r="L75" s="21" t="n">
        <v>1</v>
      </c>
      <c r="M75" s="46" t="inlineStr">
        <is>
          <t>Loss</t>
        </is>
      </c>
      <c r="N75" s="23">
        <f>IF(M75="Win",IF(F75="Bet",(I75-1)*K75,K75),IF(M75="Loss",IF(F75="Bet",-K75,-(I75-1)*K75),IF(M75="Void",0,"")))</f>
        <v/>
      </c>
      <c r="O75" s="24">
        <f>IF(OR(M75="Win",M75="Loss"),IF(F75="Bet",K75,(I75-1)*K75),"")</f>
        <v/>
      </c>
    </row>
    <row r="76">
      <c r="A76" s="37" t="n">
        <v>46278</v>
      </c>
      <c r="B76" s="38" t="inlineStr">
        <is>
          <t>Sale</t>
        </is>
      </c>
      <c r="C76" s="15" t="n">
        <v>3</v>
      </c>
      <c r="D76" s="15" t="n">
        <v>12</v>
      </c>
      <c r="E76" s="14" t="inlineStr">
        <is>
          <t>Zendarina</t>
        </is>
      </c>
      <c r="F76" s="43" t="inlineStr">
        <is>
          <t>Lay</t>
        </is>
      </c>
      <c r="G76" s="47" t="inlineStr">
        <is>
          <t>Lay</t>
        </is>
      </c>
      <c r="H76" s="41" t="n">
        <v>3.7</v>
      </c>
      <c r="I76" s="41" t="n">
        <v>2.7</v>
      </c>
      <c r="J76" s="16" t="n">
        <v>-0.0974</v>
      </c>
      <c r="K76" s="42" t="n">
        <v>1</v>
      </c>
      <c r="L76" s="15" t="n">
        <v>1</v>
      </c>
      <c r="M76" s="43" t="inlineStr">
        <is>
          <t>Loss</t>
        </is>
      </c>
      <c r="N76" s="17">
        <f>IF(M76="Win",IF(F76="Bet",(I76-1)*K76,K76),IF(M76="Loss",IF(F76="Bet",-K76,-(I76-1)*K76),IF(M76="Void",0,"")))</f>
        <v/>
      </c>
      <c r="O76" s="18">
        <f>IF(OR(M76="Win",M76="Loss"),IF(F76="Bet",K76,(I76-1)*K76),"")</f>
        <v/>
      </c>
    </row>
    <row r="77">
      <c r="A77" s="44" t="n">
        <v>46278</v>
      </c>
      <c r="B77" s="45" t="inlineStr">
        <is>
          <t>Sale</t>
        </is>
      </c>
      <c r="C77" s="21" t="n">
        <v>4</v>
      </c>
      <c r="D77" s="21" t="n">
        <v>12</v>
      </c>
      <c r="E77" s="20" t="inlineStr">
        <is>
          <t>Classic Secret</t>
        </is>
      </c>
      <c r="F77" s="46" t="inlineStr">
        <is>
          <t>Lay</t>
        </is>
      </c>
      <c r="G77" s="47" t="inlineStr">
        <is>
          <t>Lay</t>
        </is>
      </c>
      <c r="H77" s="48" t="n">
        <v>3.5</v>
      </c>
      <c r="I77" s="48" t="n">
        <v>2.75</v>
      </c>
      <c r="J77" s="22" t="n">
        <v>-0.0759</v>
      </c>
      <c r="K77" s="49" t="n">
        <v>1</v>
      </c>
      <c r="L77" s="21" t="n">
        <v>10</v>
      </c>
      <c r="M77" s="50" t="inlineStr">
        <is>
          <t>Win</t>
        </is>
      </c>
      <c r="N77" s="23">
        <f>IF(M77="Win",IF(F77="Bet",(I77-1)*K77,K77),IF(M77="Loss",IF(F77="Bet",-K77,-(I77-1)*K77),IF(M77="Void",0,"")))</f>
        <v/>
      </c>
      <c r="O77" s="24">
        <f>IF(OR(M77="Win",M77="Loss"),IF(F77="Bet",K77,(I77-1)*K77),"")</f>
        <v/>
      </c>
    </row>
    <row r="78">
      <c r="A78" s="37" t="n">
        <v>46278</v>
      </c>
      <c r="B78" s="38" t="inlineStr">
        <is>
          <t>Sale</t>
        </is>
      </c>
      <c r="C78" s="15" t="n">
        <v>6</v>
      </c>
      <c r="D78" s="15" t="n">
        <v>4</v>
      </c>
      <c r="E78" s="14" t="inlineStr">
        <is>
          <t>Exfortythree</t>
        </is>
      </c>
      <c r="F78" s="39" t="inlineStr">
        <is>
          <t>Bet</t>
        </is>
      </c>
      <c r="G78" s="40" t="inlineStr">
        <is>
          <t>Bet</t>
        </is>
      </c>
      <c r="H78" s="41" t="n">
        <v>4.3</v>
      </c>
      <c r="I78" s="41" t="n">
        <v>5</v>
      </c>
      <c r="J78" s="16" t="n">
        <v>0.0351</v>
      </c>
      <c r="K78" s="42" t="n">
        <v>1</v>
      </c>
      <c r="L78" s="15" t="n">
        <v>5</v>
      </c>
      <c r="M78" s="43" t="inlineStr">
        <is>
          <t>Loss</t>
        </is>
      </c>
      <c r="N78" s="17">
        <f>IF(M78="Win",IF(F78="Bet",(I78-1)*K78,K78),IF(M78="Loss",IF(F78="Bet",-K78,-(I78-1)*K78),IF(M78="Void",0,"")))</f>
        <v/>
      </c>
      <c r="O78" s="18">
        <f>IF(OR(M78="Win",M78="Loss"),IF(F78="Bet",K78,(I78-1)*K78),"")</f>
        <v/>
      </c>
    </row>
    <row r="79">
      <c r="A79" s="44" t="n">
        <v>46278</v>
      </c>
      <c r="B79" s="45" t="inlineStr">
        <is>
          <t>Coffs Harbour</t>
        </is>
      </c>
      <c r="C79" s="21" t="n">
        <v>3</v>
      </c>
      <c r="D79" s="21" t="n">
        <v>10</v>
      </c>
      <c r="E79" s="20" t="inlineStr">
        <is>
          <t>Magic Snitzel</t>
        </is>
      </c>
      <c r="F79" s="46" t="inlineStr">
        <is>
          <t>Lay</t>
        </is>
      </c>
      <c r="G79" s="47" t="inlineStr">
        <is>
          <t>Lay</t>
        </is>
      </c>
      <c r="H79" s="48" t="n">
        <v>3.1</v>
      </c>
      <c r="I79" s="48" t="n">
        <v>2.26</v>
      </c>
      <c r="J79" s="22" t="n">
        <v>-0.0605</v>
      </c>
      <c r="K79" s="49" t="n">
        <v>1</v>
      </c>
      <c r="L79" s="21" t="n">
        <v>4</v>
      </c>
      <c r="M79" s="50" t="inlineStr">
        <is>
          <t>Win</t>
        </is>
      </c>
      <c r="N79" s="23">
        <f>IF(M79="Win",IF(F79="Bet",(I79-1)*K79,K79),IF(M79="Loss",IF(F79="Bet",-K79,-(I79-1)*K79),IF(M79="Void",0,"")))</f>
        <v/>
      </c>
      <c r="O79" s="24">
        <f>IF(OR(M79="Win",M79="Loss"),IF(F79="Bet",K79,(I79-1)*K79),"")</f>
        <v/>
      </c>
    </row>
    <row r="80">
      <c r="A80" s="37" t="n">
        <v>46278</v>
      </c>
      <c r="B80" s="38" t="inlineStr">
        <is>
          <t>Coffs Harbour</t>
        </is>
      </c>
      <c r="C80" s="15" t="n">
        <v>5</v>
      </c>
      <c r="D80" s="15" t="n">
        <v>2</v>
      </c>
      <c r="E80" s="14" t="inlineStr">
        <is>
          <t>Sukhbir</t>
        </is>
      </c>
      <c r="F80" s="39" t="inlineStr">
        <is>
          <t>Bet</t>
        </is>
      </c>
      <c r="G80" s="40" t="inlineStr">
        <is>
          <t>Bet</t>
        </is>
      </c>
      <c r="H80" s="41" t="n">
        <v>6.8</v>
      </c>
      <c r="I80" s="41" t="n">
        <v>8.5</v>
      </c>
      <c r="J80" s="16" t="n">
        <v>0.0284</v>
      </c>
      <c r="K80" s="42" t="n">
        <v>1</v>
      </c>
      <c r="L80" s="15" t="n">
        <v>5</v>
      </c>
      <c r="M80" s="43" t="inlineStr">
        <is>
          <t>Loss</t>
        </is>
      </c>
      <c r="N80" s="17">
        <f>IF(M80="Win",IF(F80="Bet",(I80-1)*K80,K80),IF(M80="Loss",IF(F80="Bet",-K80,-(I80-1)*K80),IF(M80="Void",0,"")))</f>
        <v/>
      </c>
      <c r="O80" s="18">
        <f>IF(OR(M80="Win",M80="Loss"),IF(F80="Bet",K80,(I80-1)*K80),"")</f>
        <v/>
      </c>
    </row>
    <row r="81">
      <c r="A81" s="44" t="n">
        <v>46278</v>
      </c>
      <c r="B81" s="45" t="inlineStr">
        <is>
          <t>Coffs Harbour</t>
        </is>
      </c>
      <c r="C81" s="21" t="n">
        <v>6</v>
      </c>
      <c r="D81" s="21" t="n">
        <v>1</v>
      </c>
      <c r="E81" s="20" t="inlineStr">
        <is>
          <t>Cool Fizz</t>
        </is>
      </c>
      <c r="F81" s="52" t="inlineStr">
        <is>
          <t>Bet</t>
        </is>
      </c>
      <c r="G81" s="40" t="inlineStr">
        <is>
          <t>Bet</t>
        </is>
      </c>
      <c r="H81" s="48" t="n">
        <v>6.1</v>
      </c>
      <c r="I81" s="48" t="n">
        <v>8</v>
      </c>
      <c r="J81" s="22" t="n">
        <v>0.0386</v>
      </c>
      <c r="K81" s="49" t="n">
        <v>1</v>
      </c>
      <c r="L81" s="21" t="n">
        <v>8</v>
      </c>
      <c r="M81" s="46" t="inlineStr">
        <is>
          <t>Loss</t>
        </is>
      </c>
      <c r="N81" s="23">
        <f>IF(M81="Win",IF(F81="Bet",(I81-1)*K81,K81),IF(M81="Loss",IF(F81="Bet",-K81,-(I81-1)*K81),IF(M81="Void",0,"")))</f>
        <v/>
      </c>
      <c r="O81" s="24">
        <f>IF(OR(M81="Win",M81="Loss"),IF(F81="Bet",K81,(I81-1)*K81),"")</f>
        <v/>
      </c>
    </row>
    <row r="82">
      <c r="A82" s="37" t="n">
        <v>46278</v>
      </c>
      <c r="B82" s="38" t="inlineStr">
        <is>
          <t>Coffs Harbour</t>
        </is>
      </c>
      <c r="C82" s="15" t="n">
        <v>7</v>
      </c>
      <c r="D82" s="15" t="n">
        <v>5</v>
      </c>
      <c r="E82" s="14" t="inlineStr">
        <is>
          <t>Jade Trees</t>
        </is>
      </c>
      <c r="F82" s="43" t="inlineStr">
        <is>
          <t>Lay</t>
        </is>
      </c>
      <c r="G82" s="47" t="inlineStr">
        <is>
          <t>Lay</t>
        </is>
      </c>
      <c r="H82" s="41" t="n">
        <v>2.35</v>
      </c>
      <c r="I82" s="41" t="n">
        <v>1.7</v>
      </c>
      <c r="J82" s="16" t="n">
        <v>-0.1654</v>
      </c>
      <c r="K82" s="42" t="n">
        <v>1</v>
      </c>
      <c r="L82" s="15" t="n">
        <v>1</v>
      </c>
      <c r="M82" s="43" t="inlineStr">
        <is>
          <t>Loss</t>
        </is>
      </c>
      <c r="N82" s="17">
        <f>IF(M82="Win",IF(F82="Bet",(I82-1)*K82,K82),IF(M82="Loss",IF(F82="Bet",-K82,-(I82-1)*K82),IF(M82="Void",0,"")))</f>
        <v/>
      </c>
      <c r="O82" s="18">
        <f>IF(OR(M82="Win",M82="Loss"),IF(F82="Bet",K82,(I82-1)*K82),"")</f>
        <v/>
      </c>
    </row>
    <row r="83">
      <c r="A83" s="44" t="n">
        <v>46278</v>
      </c>
      <c r="B83" s="45" t="inlineStr">
        <is>
          <t>Kilmore</t>
        </is>
      </c>
      <c r="C83" s="21" t="n">
        <v>4</v>
      </c>
      <c r="D83" s="21" t="n">
        <v>6</v>
      </c>
      <c r="E83" s="20" t="inlineStr">
        <is>
          <t>Mishima</t>
        </is>
      </c>
      <c r="F83" s="52" t="inlineStr">
        <is>
          <t>Bet</t>
        </is>
      </c>
      <c r="G83" s="40" t="inlineStr">
        <is>
          <t>Bet</t>
        </is>
      </c>
      <c r="H83" s="48" t="n">
        <v>4.8</v>
      </c>
      <c r="I83" s="48" t="n">
        <v>6.8</v>
      </c>
      <c r="J83" s="22" t="n">
        <v>0.0402</v>
      </c>
      <c r="K83" s="49" t="n">
        <v>1</v>
      </c>
      <c r="L83" s="21" t="n">
        <v>2</v>
      </c>
      <c r="M83" s="46" t="inlineStr">
        <is>
          <t>Loss</t>
        </is>
      </c>
      <c r="N83" s="23">
        <f>IF(M83="Win",IF(F83="Bet",(I83-1)*K83,K83),IF(M83="Loss",IF(F83="Bet",-K83,-(I83-1)*K83),IF(M83="Void",0,"")))</f>
        <v/>
      </c>
      <c r="O83" s="24">
        <f>IF(OR(M83="Win",M83="Loss"),IF(F83="Bet",K83,(I83-1)*K83),"")</f>
        <v/>
      </c>
    </row>
    <row r="84">
      <c r="A84" s="37" t="n">
        <v>46278</v>
      </c>
      <c r="B84" s="38" t="inlineStr">
        <is>
          <t>Bathurst</t>
        </is>
      </c>
      <c r="C84" s="15" t="n">
        <v>1</v>
      </c>
      <c r="D84" s="15" t="n">
        <v>10</v>
      </c>
      <c r="E84" s="14" t="inlineStr">
        <is>
          <t>May The Force</t>
        </is>
      </c>
      <c r="F84" s="43" t="inlineStr">
        <is>
          <t>Lay</t>
        </is>
      </c>
      <c r="G84" s="47" t="inlineStr">
        <is>
          <t>Lay</t>
        </is>
      </c>
      <c r="H84" s="41" t="n">
        <v>3.9</v>
      </c>
      <c r="I84" s="41" t="n">
        <v>2.8</v>
      </c>
      <c r="J84" s="16" t="n">
        <v>-0.09959999999999999</v>
      </c>
      <c r="K84" s="42" t="n">
        <v>1</v>
      </c>
      <c r="L84" s="15" t="n">
        <v>1</v>
      </c>
      <c r="M84" s="43" t="inlineStr">
        <is>
          <t>Loss</t>
        </is>
      </c>
      <c r="N84" s="17">
        <f>IF(M84="Win",IF(F84="Bet",(I84-1)*K84,K84),IF(M84="Loss",IF(F84="Bet",-K84,-(I84-1)*K84),IF(M84="Void",0,"")))</f>
        <v/>
      </c>
      <c r="O84" s="18">
        <f>IF(OR(M84="Win",M84="Loss"),IF(F84="Bet",K84,(I84-1)*K84),"")</f>
        <v/>
      </c>
    </row>
    <row r="85">
      <c r="A85" s="44" t="n">
        <v>46278</v>
      </c>
      <c r="B85" s="45" t="inlineStr">
        <is>
          <t>Bathurst</t>
        </is>
      </c>
      <c r="C85" s="21" t="n">
        <v>3</v>
      </c>
      <c r="D85" s="21" t="n">
        <v>1</v>
      </c>
      <c r="E85" s="20" t="inlineStr">
        <is>
          <t>Jazz All Knight</t>
        </is>
      </c>
      <c r="F85" s="52" t="inlineStr">
        <is>
          <t>Bet</t>
        </is>
      </c>
      <c r="G85" s="53" t="inlineStr">
        <is>
          <t>Prime</t>
        </is>
      </c>
      <c r="H85" s="48" t="n">
        <v>5.4</v>
      </c>
      <c r="I85" s="48" t="n">
        <v>7.5</v>
      </c>
      <c r="J85" s="22" t="n">
        <v>0.052</v>
      </c>
      <c r="K85" s="49" t="n">
        <v>1</v>
      </c>
      <c r="L85" s="21" t="n">
        <v>3</v>
      </c>
      <c r="M85" s="46" t="inlineStr">
        <is>
          <t>Loss</t>
        </is>
      </c>
      <c r="N85" s="23">
        <f>IF(M85="Win",IF(F85="Bet",(I85-1)*K85,K85),IF(M85="Loss",IF(F85="Bet",-K85,-(I85-1)*K85),IF(M85="Void",0,"")))</f>
        <v/>
      </c>
      <c r="O85" s="24">
        <f>IF(OR(M85="Win",M85="Loss"),IF(F85="Bet",K85,(I85-1)*K85),"")</f>
        <v/>
      </c>
    </row>
    <row r="86">
      <c r="A86" s="37" t="n">
        <v>46278</v>
      </c>
      <c r="B86" s="38" t="inlineStr">
        <is>
          <t>Bathurst</t>
        </is>
      </c>
      <c r="C86" s="15" t="n">
        <v>3</v>
      </c>
      <c r="D86" s="15" t="n">
        <v>2</v>
      </c>
      <c r="E86" s="14" t="inlineStr">
        <is>
          <t>Honey Slider</t>
        </is>
      </c>
      <c r="F86" s="39" t="inlineStr">
        <is>
          <t>Bet</t>
        </is>
      </c>
      <c r="G86" s="40" t="inlineStr">
        <is>
          <t>Bet</t>
        </is>
      </c>
      <c r="H86" s="41" t="n">
        <v>5.6</v>
      </c>
      <c r="I86" s="41" t="n">
        <v>8</v>
      </c>
      <c r="J86" s="16" t="n">
        <v>0.0252</v>
      </c>
      <c r="K86" s="42" t="n">
        <v>1</v>
      </c>
      <c r="L86" s="15" t="n">
        <v>4</v>
      </c>
      <c r="M86" s="43" t="inlineStr">
        <is>
          <t>Loss</t>
        </is>
      </c>
      <c r="N86" s="17">
        <f>IF(M86="Win",IF(F86="Bet",(I86-1)*K86,K86),IF(M86="Loss",IF(F86="Bet",-K86,-(I86-1)*K86),IF(M86="Void",0,"")))</f>
        <v/>
      </c>
      <c r="O86" s="18">
        <f>IF(OR(M86="Win",M86="Loss"),IF(F86="Bet",K86,(I86-1)*K86),"")</f>
        <v/>
      </c>
    </row>
    <row r="87">
      <c r="A87" s="44" t="n">
        <v>46278</v>
      </c>
      <c r="B87" s="45" t="inlineStr">
        <is>
          <t>Bathurst</t>
        </is>
      </c>
      <c r="C87" s="21" t="n">
        <v>5</v>
      </c>
      <c r="D87" s="21" t="n">
        <v>1</v>
      </c>
      <c r="E87" s="20" t="inlineStr">
        <is>
          <t>Inquiring Minds</t>
        </is>
      </c>
      <c r="F87" s="46" t="inlineStr">
        <is>
          <t>Lay</t>
        </is>
      </c>
      <c r="G87" s="47" t="inlineStr">
        <is>
          <t>Lay</t>
        </is>
      </c>
      <c r="H87" s="48" t="n">
        <v>4.8</v>
      </c>
      <c r="I87" s="48" t="n">
        <v>3.3</v>
      </c>
      <c r="J87" s="22" t="n">
        <v>-0.0935</v>
      </c>
      <c r="K87" s="49" t="n">
        <v>1</v>
      </c>
      <c r="L87" s="21" t="n">
        <v>2</v>
      </c>
      <c r="M87" s="50" t="inlineStr">
        <is>
          <t>Win</t>
        </is>
      </c>
      <c r="N87" s="23">
        <f>IF(M87="Win",IF(F87="Bet",(I87-1)*K87,K87),IF(M87="Loss",IF(F87="Bet",-K87,-(I87-1)*K87),IF(M87="Void",0,"")))</f>
        <v/>
      </c>
      <c r="O87" s="24">
        <f>IF(OR(M87="Win",M87="Loss"),IF(F87="Bet",K87,(I87-1)*K87),"")</f>
        <v/>
      </c>
    </row>
    <row r="88">
      <c r="A88" s="37" t="n">
        <v>46278</v>
      </c>
      <c r="B88" s="38" t="inlineStr">
        <is>
          <t>Bathurst</t>
        </is>
      </c>
      <c r="C88" s="15" t="n">
        <v>6</v>
      </c>
      <c r="D88" s="15" t="n">
        <v>16</v>
      </c>
      <c r="E88" s="14" t="inlineStr">
        <is>
          <t>Tom Vegas</t>
        </is>
      </c>
      <c r="F88" s="43" t="inlineStr">
        <is>
          <t>Lay</t>
        </is>
      </c>
      <c r="G88" s="47" t="inlineStr">
        <is>
          <t>Lay</t>
        </is>
      </c>
      <c r="H88" s="41" t="n">
        <v>5.7</v>
      </c>
      <c r="I88" s="41" t="n">
        <v>3.4</v>
      </c>
      <c r="J88" s="16" t="n">
        <v>-0.1194</v>
      </c>
      <c r="K88" s="42" t="n">
        <v>1</v>
      </c>
      <c r="L88" s="15" t="n">
        <v>2</v>
      </c>
      <c r="M88" s="51" t="inlineStr">
        <is>
          <t>Win</t>
        </is>
      </c>
      <c r="N88" s="17">
        <f>IF(M88="Win",IF(F88="Bet",(I88-1)*K88,K88),IF(M88="Loss",IF(F88="Bet",-K88,-(I88-1)*K88),IF(M88="Void",0,"")))</f>
        <v/>
      </c>
      <c r="O88" s="18">
        <f>IF(OR(M88="Win",M88="Loss"),IF(F88="Bet",K88,(I88-1)*K88),"")</f>
        <v/>
      </c>
    </row>
    <row r="89">
      <c r="A89" s="44" t="n">
        <v>46278</v>
      </c>
      <c r="B89" s="45" t="inlineStr">
        <is>
          <t>Northam</t>
        </is>
      </c>
      <c r="C89" s="21" t="n">
        <v>1</v>
      </c>
      <c r="D89" s="21" t="n">
        <v>1</v>
      </c>
      <c r="E89" s="20" t="inlineStr">
        <is>
          <t>Who's Bent</t>
        </is>
      </c>
      <c r="F89" s="52" t="inlineStr">
        <is>
          <t>Bet</t>
        </is>
      </c>
      <c r="G89" s="40" t="inlineStr">
        <is>
          <t>Bet</t>
        </is>
      </c>
      <c r="H89" s="48" t="n">
        <v>3.5</v>
      </c>
      <c r="I89" s="48" t="n">
        <v>4.2</v>
      </c>
      <c r="J89" s="22" t="n">
        <v>0.0477</v>
      </c>
      <c r="K89" s="49" t="n">
        <v>1</v>
      </c>
      <c r="L89" s="21" t="n">
        <v>1</v>
      </c>
      <c r="M89" s="50" t="inlineStr">
        <is>
          <t>Win</t>
        </is>
      </c>
      <c r="N89" s="23">
        <f>IF(M89="Win",IF(F89="Bet",(I89-1)*K89,K89),IF(M89="Loss",IF(F89="Bet",-K89,-(I89-1)*K89),IF(M89="Void",0,"")))</f>
        <v/>
      </c>
      <c r="O89" s="24">
        <f>IF(OR(M89="Win",M89="Loss"),IF(F89="Bet",K89,(I89-1)*K89),"")</f>
        <v/>
      </c>
    </row>
    <row r="90">
      <c r="A90" s="37" t="n">
        <v>46278</v>
      </c>
      <c r="B90" s="38" t="inlineStr">
        <is>
          <t>Bathurst</t>
        </is>
      </c>
      <c r="C90" s="15" t="n">
        <v>7</v>
      </c>
      <c r="D90" s="15" t="n">
        <v>2</v>
      </c>
      <c r="E90" s="14" t="inlineStr">
        <is>
          <t>Fearn Trick</t>
        </is>
      </c>
      <c r="F90" s="39" t="inlineStr">
        <is>
          <t>Bet</t>
        </is>
      </c>
      <c r="G90" s="40" t="inlineStr">
        <is>
          <t>Bet</t>
        </is>
      </c>
      <c r="H90" s="41" t="n">
        <v>7.5</v>
      </c>
      <c r="I90" s="41" t="n">
        <v>9.5</v>
      </c>
      <c r="J90" s="16" t="n">
        <v>0.0279</v>
      </c>
      <c r="K90" s="42" t="n">
        <v>1</v>
      </c>
      <c r="L90" s="15" t="n"/>
      <c r="M90" s="54" t="inlineStr">
        <is>
          <t>Void</t>
        </is>
      </c>
      <c r="N90" s="17">
        <f>IF(M90="Win",IF(F90="Bet",(I90-1)*K90,K90),IF(M90="Loss",IF(F90="Bet",-K90,-(I90-1)*K90),IF(M90="Void",0,"")))</f>
        <v/>
      </c>
      <c r="O90" s="18">
        <f>IF(OR(M90="Win",M90="Loss"),IF(F90="Bet",K90,(I90-1)*K90),"")</f>
        <v/>
      </c>
    </row>
    <row r="91">
      <c r="A91" s="44" t="n">
        <v>46278</v>
      </c>
      <c r="B91" s="45" t="inlineStr">
        <is>
          <t>Dalby</t>
        </is>
      </c>
      <c r="C91" s="21" t="n">
        <v>3</v>
      </c>
      <c r="D91" s="21" t="n">
        <v>4</v>
      </c>
      <c r="E91" s="20" t="inlineStr">
        <is>
          <t>Royal Diplomat</t>
        </is>
      </c>
      <c r="F91" s="46" t="inlineStr">
        <is>
          <t>Lay</t>
        </is>
      </c>
      <c r="G91" s="47" t="inlineStr">
        <is>
          <t>Lay</t>
        </is>
      </c>
      <c r="H91" s="48" t="n">
        <v>2.35</v>
      </c>
      <c r="I91" s="48" t="n">
        <v>2.05</v>
      </c>
      <c r="J91" s="22" t="n">
        <v>-0.06320000000000001</v>
      </c>
      <c r="K91" s="49" t="n">
        <v>1</v>
      </c>
      <c r="L91" s="21" t="n">
        <v>1</v>
      </c>
      <c r="M91" s="46" t="inlineStr">
        <is>
          <t>Loss</t>
        </is>
      </c>
      <c r="N91" s="23">
        <f>IF(M91="Win",IF(F91="Bet",(I91-1)*K91,K91),IF(M91="Loss",IF(F91="Bet",-K91,-(I91-1)*K91),IF(M91="Void",0,"")))</f>
        <v/>
      </c>
      <c r="O91" s="24">
        <f>IF(OR(M91="Win",M91="Loss"),IF(F91="Bet",K91,(I91-1)*K91),"")</f>
        <v/>
      </c>
    </row>
    <row r="92">
      <c r="A92" s="37" t="n">
        <v>46278</v>
      </c>
      <c r="B92" s="38" t="inlineStr">
        <is>
          <t>Sale</t>
        </is>
      </c>
      <c r="C92" s="15" t="n">
        <v>5</v>
      </c>
      <c r="D92" s="15" t="n">
        <v>10</v>
      </c>
      <c r="E92" s="14" t="inlineStr">
        <is>
          <t>Rhyme Dust</t>
        </is>
      </c>
      <c r="F92" s="43" t="inlineStr">
        <is>
          <t>Lay</t>
        </is>
      </c>
      <c r="G92" s="47" t="inlineStr">
        <is>
          <t>Lay</t>
        </is>
      </c>
      <c r="H92" s="41" t="n">
        <v>5.2</v>
      </c>
      <c r="I92" s="41" t="n">
        <v>3.7</v>
      </c>
      <c r="J92" s="16" t="n">
        <v>-0.07870000000000001</v>
      </c>
      <c r="K92" s="42" t="n">
        <v>1</v>
      </c>
      <c r="L92" s="15" t="n">
        <v>9</v>
      </c>
      <c r="M92" s="51" t="inlineStr">
        <is>
          <t>Win</t>
        </is>
      </c>
      <c r="N92" s="17">
        <f>IF(M92="Win",IF(F92="Bet",(I92-1)*K92,K92),IF(M92="Loss",IF(F92="Bet",-K92,-(I92-1)*K92),IF(M92="Void",0,"")))</f>
        <v/>
      </c>
      <c r="O92" s="18">
        <f>IF(OR(M92="Win",M92="Loss"),IF(F92="Bet",K92,(I92-1)*K92),"")</f>
        <v/>
      </c>
    </row>
    <row r="93">
      <c r="A93" s="44" t="n">
        <v>46279</v>
      </c>
      <c r="B93" s="45" t="inlineStr">
        <is>
          <t>Hamilton</t>
        </is>
      </c>
      <c r="C93" s="21" t="n">
        <v>3</v>
      </c>
      <c r="D93" s="21" t="n">
        <v>1</v>
      </c>
      <c r="E93" s="20" t="inlineStr">
        <is>
          <t>Asal</t>
        </is>
      </c>
      <c r="F93" s="46" t="inlineStr">
        <is>
          <t>Lay</t>
        </is>
      </c>
      <c r="G93" s="47" t="inlineStr">
        <is>
          <t>Lay</t>
        </is>
      </c>
      <c r="H93" s="48" t="n">
        <v>2.65</v>
      </c>
      <c r="I93" s="48" t="n">
        <v>2.1</v>
      </c>
      <c r="J93" s="22" t="n">
        <v>-0.1008</v>
      </c>
      <c r="K93" s="49" t="n">
        <v>1</v>
      </c>
      <c r="L93" s="21" t="n">
        <v>1</v>
      </c>
      <c r="M93" s="46" t="inlineStr">
        <is>
          <t>Loss</t>
        </is>
      </c>
      <c r="N93" s="23">
        <f>IF(M93="Win",IF(F93="Bet",(I93-1)*K93,K93),IF(M93="Loss",IF(F93="Bet",-K93,-(I93-1)*K93),IF(M93="Void",0,"")))</f>
        <v/>
      </c>
      <c r="O93" s="24">
        <f>IF(OR(M93="Win",M93="Loss"),IF(F93="Bet",K93,(I93-1)*K93),"")</f>
        <v/>
      </c>
    </row>
    <row r="94">
      <c r="A94" s="37" t="n">
        <v>46279</v>
      </c>
      <c r="B94" s="38" t="inlineStr">
        <is>
          <t>Hamilton</t>
        </is>
      </c>
      <c r="C94" s="15" t="n">
        <v>8</v>
      </c>
      <c r="D94" s="15" t="n">
        <v>6</v>
      </c>
      <c r="E94" s="14" t="inlineStr">
        <is>
          <t>Share The Stars</t>
        </is>
      </c>
      <c r="F94" s="43" t="inlineStr">
        <is>
          <t>Lay</t>
        </is>
      </c>
      <c r="G94" s="47" t="inlineStr">
        <is>
          <t>Lay</t>
        </is>
      </c>
      <c r="H94" s="41" t="n">
        <v>5.6</v>
      </c>
      <c r="I94" s="41" t="n">
        <v>3.5</v>
      </c>
      <c r="J94" s="16" t="n">
        <v>-0.1079</v>
      </c>
      <c r="K94" s="42" t="n">
        <v>1</v>
      </c>
      <c r="L94" s="15" t="n">
        <v>8</v>
      </c>
      <c r="M94" s="51" t="inlineStr">
        <is>
          <t>Win</t>
        </is>
      </c>
      <c r="N94" s="17">
        <f>IF(M94="Win",IF(F94="Bet",(I94-1)*K94,K94),IF(M94="Loss",IF(F94="Bet",-K94,-(I94-1)*K94),IF(M94="Void",0,"")))</f>
        <v/>
      </c>
      <c r="O94" s="18">
        <f>IF(OR(M94="Win",M94="Loss"),IF(F94="Bet",K94,(I94-1)*K94),"")</f>
        <v/>
      </c>
    </row>
    <row r="95">
      <c r="A95" s="44" t="n">
        <v>46279</v>
      </c>
      <c r="B95" s="45" t="inlineStr">
        <is>
          <t>Tamworth</t>
        </is>
      </c>
      <c r="C95" s="21" t="n">
        <v>1</v>
      </c>
      <c r="D95" s="21" t="n">
        <v>4</v>
      </c>
      <c r="E95" s="20" t="inlineStr">
        <is>
          <t>Heapy's Legacy</t>
        </is>
      </c>
      <c r="F95" s="46" t="inlineStr">
        <is>
          <t>Lay</t>
        </is>
      </c>
      <c r="G95" s="47" t="inlineStr">
        <is>
          <t>Lay</t>
        </is>
      </c>
      <c r="H95" s="48" t="n">
        <v>3.2</v>
      </c>
      <c r="I95" s="48" t="n">
        <v>2.4</v>
      </c>
      <c r="J95" s="22" t="n">
        <v>-0.1061</v>
      </c>
      <c r="K95" s="49" t="n">
        <v>1</v>
      </c>
      <c r="L95" s="21" t="n">
        <v>3</v>
      </c>
      <c r="M95" s="50" t="inlineStr">
        <is>
          <t>Win</t>
        </is>
      </c>
      <c r="N95" s="23">
        <f>IF(M95="Win",IF(F95="Bet",(I95-1)*K95,K95),IF(M95="Loss",IF(F95="Bet",-K95,-(I95-1)*K95),IF(M95="Void",0,"")))</f>
        <v/>
      </c>
      <c r="O95" s="24">
        <f>IF(OR(M95="Win",M95="Loss"),IF(F95="Bet",K95,(I95-1)*K95),"")</f>
        <v/>
      </c>
    </row>
    <row r="96">
      <c r="A96" s="37" t="n">
        <v>46279</v>
      </c>
      <c r="B96" s="38" t="inlineStr">
        <is>
          <t>Tamworth</t>
        </is>
      </c>
      <c r="C96" s="15" t="n">
        <v>2</v>
      </c>
      <c r="D96" s="15" t="n">
        <v>4</v>
      </c>
      <c r="E96" s="14" t="inlineStr">
        <is>
          <t>Sammaan City</t>
        </is>
      </c>
      <c r="F96" s="43" t="inlineStr">
        <is>
          <t>Lay</t>
        </is>
      </c>
      <c r="G96" s="47" t="inlineStr">
        <is>
          <t>Lay</t>
        </is>
      </c>
      <c r="H96" s="41" t="n">
        <v>2.05</v>
      </c>
      <c r="I96" s="41" t="n">
        <v>1.7</v>
      </c>
      <c r="J96" s="16" t="n">
        <v>-0.1013</v>
      </c>
      <c r="K96" s="42" t="n">
        <v>1</v>
      </c>
      <c r="L96" s="15" t="n">
        <v>6</v>
      </c>
      <c r="M96" s="51" t="inlineStr">
        <is>
          <t>Win</t>
        </is>
      </c>
      <c r="N96" s="17">
        <f>IF(M96="Win",IF(F96="Bet",(I96-1)*K96,K96),IF(M96="Loss",IF(F96="Bet",-K96,-(I96-1)*K96),IF(M96="Void",0,"")))</f>
        <v/>
      </c>
      <c r="O96" s="18">
        <f>IF(OR(M96="Win",M96="Loss"),IF(F96="Bet",K96,(I96-1)*K96),"")</f>
        <v/>
      </c>
    </row>
    <row r="97">
      <c r="A97" s="44" t="n">
        <v>46279</v>
      </c>
      <c r="B97" s="45" t="inlineStr">
        <is>
          <t>Tamworth</t>
        </is>
      </c>
      <c r="C97" s="21" t="n">
        <v>4</v>
      </c>
      <c r="D97" s="21" t="n">
        <v>2</v>
      </c>
      <c r="E97" s="20" t="inlineStr">
        <is>
          <t>Mongolian Master</t>
        </is>
      </c>
      <c r="F97" s="52" t="inlineStr">
        <is>
          <t>Bet</t>
        </is>
      </c>
      <c r="G97" s="40" t="inlineStr">
        <is>
          <t>Bet</t>
        </is>
      </c>
      <c r="H97" s="48" t="n">
        <v>6.9</v>
      </c>
      <c r="I97" s="48" t="n">
        <v>9.6</v>
      </c>
      <c r="J97" s="22" t="n">
        <v>0.0335</v>
      </c>
      <c r="K97" s="49" t="n">
        <v>1</v>
      </c>
      <c r="L97" s="21" t="n">
        <v>3</v>
      </c>
      <c r="M97" s="46" t="inlineStr">
        <is>
          <t>Loss</t>
        </is>
      </c>
      <c r="N97" s="23">
        <f>IF(M97="Win",IF(F97="Bet",(I97-1)*K97,K97),IF(M97="Loss",IF(F97="Bet",-K97,-(I97-1)*K97),IF(M97="Void",0,"")))</f>
        <v/>
      </c>
      <c r="O97" s="24">
        <f>IF(OR(M97="Win",M97="Loss"),IF(F97="Bet",K97,(I97-1)*K97),"")</f>
        <v/>
      </c>
    </row>
    <row r="98">
      <c r="A98" s="37" t="n">
        <v>46279</v>
      </c>
      <c r="B98" s="38" t="inlineStr">
        <is>
          <t>Tamworth</t>
        </is>
      </c>
      <c r="C98" s="15" t="n">
        <v>5</v>
      </c>
      <c r="D98" s="15" t="n">
        <v>1</v>
      </c>
      <c r="E98" s="14" t="inlineStr">
        <is>
          <t>Dunquin</t>
        </is>
      </c>
      <c r="F98" s="43" t="inlineStr">
        <is>
          <t>Lay</t>
        </is>
      </c>
      <c r="G98" s="47" t="inlineStr">
        <is>
          <t>Lay</t>
        </is>
      </c>
      <c r="H98" s="41" t="n">
        <v>3.3</v>
      </c>
      <c r="I98" s="41" t="n">
        <v>2.2</v>
      </c>
      <c r="J98" s="16" t="n">
        <v>-0.1514</v>
      </c>
      <c r="K98" s="42" t="n">
        <v>1</v>
      </c>
      <c r="L98" s="15" t="n">
        <v>2</v>
      </c>
      <c r="M98" s="51" t="inlineStr">
        <is>
          <t>Win</t>
        </is>
      </c>
      <c r="N98" s="17">
        <f>IF(M98="Win",IF(F98="Bet",(I98-1)*K98,K98),IF(M98="Loss",IF(F98="Bet",-K98,-(I98-1)*K98),IF(M98="Void",0,"")))</f>
        <v/>
      </c>
      <c r="O98" s="18">
        <f>IF(OR(M98="Win",M98="Loss"),IF(F98="Bet",K98,(I98-1)*K98),"")</f>
        <v/>
      </c>
    </row>
    <row r="99">
      <c r="A99" s="44" t="n">
        <v>46279</v>
      </c>
      <c r="B99" s="45" t="inlineStr">
        <is>
          <t>Tamworth</t>
        </is>
      </c>
      <c r="C99" s="21" t="n">
        <v>6</v>
      </c>
      <c r="D99" s="21" t="n">
        <v>2</v>
      </c>
      <c r="E99" s="20" t="inlineStr">
        <is>
          <t>He's My Warrior</t>
        </is>
      </c>
      <c r="F99" s="52" t="inlineStr">
        <is>
          <t>Bet</t>
        </is>
      </c>
      <c r="G99" s="40" t="inlineStr">
        <is>
          <t>Bet</t>
        </is>
      </c>
      <c r="H99" s="48" t="n">
        <v>6.5</v>
      </c>
      <c r="I99" s="48" t="n">
        <v>8</v>
      </c>
      <c r="J99" s="22" t="n">
        <v>0.0286</v>
      </c>
      <c r="K99" s="49" t="n">
        <v>1</v>
      </c>
      <c r="L99" s="21" t="n">
        <v>6</v>
      </c>
      <c r="M99" s="46" t="inlineStr">
        <is>
          <t>Loss</t>
        </is>
      </c>
      <c r="N99" s="23">
        <f>IF(M99="Win",IF(F99="Bet",(I99-1)*K99,K99),IF(M99="Loss",IF(F99="Bet",-K99,-(I99-1)*K99),IF(M99="Void",0,"")))</f>
        <v/>
      </c>
      <c r="O99" s="24">
        <f>IF(OR(M99="Win",M99="Loss"),IF(F99="Bet",K99,(I99-1)*K99),"")</f>
        <v/>
      </c>
    </row>
    <row r="100">
      <c r="A100" s="37" t="n">
        <v>46279</v>
      </c>
      <c r="B100" s="38" t="inlineStr">
        <is>
          <t>Tamworth</t>
        </is>
      </c>
      <c r="C100" s="15" t="n">
        <v>6</v>
      </c>
      <c r="D100" s="15" t="n">
        <v>5</v>
      </c>
      <c r="E100" s="14" t="inlineStr">
        <is>
          <t>Sipping Shamus</t>
        </is>
      </c>
      <c r="F100" s="43" t="inlineStr">
        <is>
          <t>Lay</t>
        </is>
      </c>
      <c r="G100" s="47" t="inlineStr">
        <is>
          <t>Lay</t>
        </is>
      </c>
      <c r="H100" s="41" t="n">
        <v>6.3</v>
      </c>
      <c r="I100" s="41" t="n">
        <v>3.8</v>
      </c>
      <c r="J100" s="16" t="n">
        <v>-0.1049</v>
      </c>
      <c r="K100" s="42" t="n">
        <v>1</v>
      </c>
      <c r="L100" s="15" t="n">
        <v>5</v>
      </c>
      <c r="M100" s="51" t="inlineStr">
        <is>
          <t>Win</t>
        </is>
      </c>
      <c r="N100" s="17">
        <f>IF(M100="Win",IF(F100="Bet",(I100-1)*K100,K100),IF(M100="Loss",IF(F100="Bet",-K100,-(I100-1)*K100),IF(M100="Void",0,"")))</f>
        <v/>
      </c>
      <c r="O100" s="18">
        <f>IF(OR(M100="Win",M100="Loss"),IF(F100="Bet",K100,(I100-1)*K100),"")</f>
        <v/>
      </c>
    </row>
    <row r="101">
      <c r="A101" s="44" t="n">
        <v>46279</v>
      </c>
      <c r="B101" s="45" t="inlineStr">
        <is>
          <t>Corowa</t>
        </is>
      </c>
      <c r="C101" s="21" t="n">
        <v>5</v>
      </c>
      <c r="D101" s="21" t="n">
        <v>11</v>
      </c>
      <c r="E101" s="20" t="inlineStr">
        <is>
          <t>Levens Hall</t>
        </is>
      </c>
      <c r="F101" s="46" t="inlineStr">
        <is>
          <t>Lay</t>
        </is>
      </c>
      <c r="G101" s="47" t="inlineStr">
        <is>
          <t>Lay</t>
        </is>
      </c>
      <c r="H101" s="48" t="n">
        <v>2.4</v>
      </c>
      <c r="I101" s="48" t="n">
        <v>1.9</v>
      </c>
      <c r="J101" s="22" t="n">
        <v>-0.1072</v>
      </c>
      <c r="K101" s="49" t="n">
        <v>1</v>
      </c>
      <c r="L101" s="21" t="n">
        <v>2</v>
      </c>
      <c r="M101" s="50" t="inlineStr">
        <is>
          <t>Win</t>
        </is>
      </c>
      <c r="N101" s="23">
        <f>IF(M101="Win",IF(F101="Bet",(I101-1)*K101,K101),IF(M101="Loss",IF(F101="Bet",-K101,-(I101-1)*K101),IF(M101="Void",0,"")))</f>
        <v/>
      </c>
      <c r="O101" s="24">
        <f>IF(OR(M101="Win",M101="Loss"),IF(F101="Bet",K101,(I101-1)*K101),"")</f>
        <v/>
      </c>
    </row>
    <row r="102">
      <c r="A102" s="37" t="n">
        <v>46279</v>
      </c>
      <c r="B102" s="38" t="inlineStr">
        <is>
          <t>Corowa</t>
        </is>
      </c>
      <c r="C102" s="15" t="n">
        <v>6</v>
      </c>
      <c r="D102" s="15" t="n">
        <v>3</v>
      </c>
      <c r="E102" s="14" t="inlineStr">
        <is>
          <t>Chief Of War</t>
        </is>
      </c>
      <c r="F102" s="43" t="inlineStr">
        <is>
          <t>Lay</t>
        </is>
      </c>
      <c r="G102" s="47" t="inlineStr">
        <is>
          <t>Lay</t>
        </is>
      </c>
      <c r="H102" s="41" t="n">
        <v>2.15</v>
      </c>
      <c r="I102" s="41" t="n">
        <v>1.65</v>
      </c>
      <c r="J102" s="16" t="n">
        <v>-0.1403</v>
      </c>
      <c r="K102" s="42" t="n">
        <v>1</v>
      </c>
      <c r="L102" s="15" t="n">
        <v>2</v>
      </c>
      <c r="M102" s="51" t="inlineStr">
        <is>
          <t>Win</t>
        </is>
      </c>
      <c r="N102" s="17">
        <f>IF(M102="Win",IF(F102="Bet",(I102-1)*K102,K102),IF(M102="Loss",IF(F102="Bet",-K102,-(I102-1)*K102),IF(M102="Void",0,"")))</f>
        <v/>
      </c>
      <c r="O102" s="18">
        <f>IF(OR(M102="Win",M102="Loss"),IF(F102="Bet",K102,(I102-1)*K102),"")</f>
        <v/>
      </c>
    </row>
    <row r="103">
      <c r="A103" s="44" t="n">
        <v>46279</v>
      </c>
      <c r="B103" s="45" t="inlineStr">
        <is>
          <t>Corowa</t>
        </is>
      </c>
      <c r="C103" s="21" t="n">
        <v>3</v>
      </c>
      <c r="D103" s="21" t="n">
        <v>2</v>
      </c>
      <c r="E103" s="20" t="inlineStr">
        <is>
          <t>Canny Hell</t>
        </is>
      </c>
      <c r="F103" s="52" t="inlineStr">
        <is>
          <t>Bet</t>
        </is>
      </c>
      <c r="G103" s="53" t="inlineStr">
        <is>
          <t>Prime</t>
        </is>
      </c>
      <c r="H103" s="48" t="n">
        <v>2.55</v>
      </c>
      <c r="I103" s="48" t="n">
        <v>3.95</v>
      </c>
      <c r="J103" s="22" t="n">
        <v>0.07920000000000001</v>
      </c>
      <c r="K103" s="49" t="n">
        <v>1</v>
      </c>
      <c r="L103" s="21" t="n">
        <v>2</v>
      </c>
      <c r="M103" s="46" t="inlineStr">
        <is>
          <t>Loss</t>
        </is>
      </c>
      <c r="N103" s="23">
        <f>IF(M103="Win",IF(F103="Bet",(I103-1)*K103,K103),IF(M103="Loss",IF(F103="Bet",-K103,-(I103-1)*K103),IF(M103="Void",0,"")))</f>
        <v/>
      </c>
      <c r="O103" s="24">
        <f>IF(OR(M103="Win",M103="Loss"),IF(F103="Bet",K103,(I103-1)*K103),"")</f>
        <v/>
      </c>
    </row>
    <row r="104">
      <c r="A104" s="37" t="n">
        <v>46280</v>
      </c>
      <c r="B104" s="38" t="inlineStr">
        <is>
          <t>Wellington</t>
        </is>
      </c>
      <c r="C104" s="15" t="n">
        <v>1</v>
      </c>
      <c r="D104" s="15" t="n">
        <v>5</v>
      </c>
      <c r="E104" s="14" t="inlineStr">
        <is>
          <t>Chamber Of Secrets</t>
        </is>
      </c>
      <c r="F104" s="43" t="inlineStr">
        <is>
          <t>Lay</t>
        </is>
      </c>
      <c r="G104" s="47" t="inlineStr">
        <is>
          <t>Lay</t>
        </is>
      </c>
      <c r="H104" s="41" t="n">
        <v>2.9</v>
      </c>
      <c r="I104" s="41" t="n">
        <v>2</v>
      </c>
      <c r="J104" s="16" t="n">
        <v>-0.1561</v>
      </c>
      <c r="K104" s="42" t="n">
        <v>1</v>
      </c>
      <c r="L104" s="15" t="n">
        <v>2</v>
      </c>
      <c r="M104" s="51" t="inlineStr">
        <is>
          <t>Win</t>
        </is>
      </c>
      <c r="N104" s="17">
        <f>IF(M104="Win",IF(F104="Bet",(I104-1)*K104,K104),IF(M104="Loss",IF(F104="Bet",-K104,-(I104-1)*K104),IF(M104="Void",0,"")))</f>
        <v/>
      </c>
      <c r="O104" s="18">
        <f>IF(OR(M104="Win",M104="Loss"),IF(F104="Bet",K104,(I104-1)*K104),"")</f>
        <v/>
      </c>
    </row>
    <row r="105">
      <c r="A105" s="44" t="n">
        <v>46280</v>
      </c>
      <c r="B105" s="45" t="inlineStr">
        <is>
          <t>Wellington</t>
        </is>
      </c>
      <c r="C105" s="21" t="n">
        <v>4</v>
      </c>
      <c r="D105" s="21" t="n">
        <v>14</v>
      </c>
      <c r="E105" s="20" t="inlineStr">
        <is>
          <t>Cosmic Jinks</t>
        </is>
      </c>
      <c r="F105" s="46" t="inlineStr">
        <is>
          <t>Lay</t>
        </is>
      </c>
      <c r="G105" s="47" t="inlineStr">
        <is>
          <t>Lay</t>
        </is>
      </c>
      <c r="H105" s="48" t="n">
        <v>3.2</v>
      </c>
      <c r="I105" s="48" t="n">
        <v>2.2</v>
      </c>
      <c r="J105" s="22" t="n">
        <v>-0.1389</v>
      </c>
      <c r="K105" s="49" t="n">
        <v>1</v>
      </c>
      <c r="L105" s="21" t="n">
        <v>2</v>
      </c>
      <c r="M105" s="50" t="inlineStr">
        <is>
          <t>Win</t>
        </is>
      </c>
      <c r="N105" s="23">
        <f>IF(M105="Win",IF(F105="Bet",(I105-1)*K105,K105),IF(M105="Loss",IF(F105="Bet",-K105,-(I105-1)*K105),IF(M105="Void",0,"")))</f>
        <v/>
      </c>
      <c r="O105" s="24">
        <f>IF(OR(M105="Win",M105="Loss"),IF(F105="Bet",K105,(I105-1)*K105),"")</f>
        <v/>
      </c>
    </row>
    <row r="106">
      <c r="A106" s="37" t="n">
        <v>46280</v>
      </c>
      <c r="B106" s="38" t="inlineStr">
        <is>
          <t>Wellington</t>
        </is>
      </c>
      <c r="C106" s="15" t="n">
        <v>5</v>
      </c>
      <c r="D106" s="15" t="n">
        <v>4</v>
      </c>
      <c r="E106" s="14" t="inlineStr">
        <is>
          <t>Snow Dog</t>
        </is>
      </c>
      <c r="F106" s="43" t="inlineStr">
        <is>
          <t>Lay</t>
        </is>
      </c>
      <c r="G106" s="47" t="inlineStr">
        <is>
          <t>Lay</t>
        </is>
      </c>
      <c r="H106" s="41" t="n">
        <v>2.55</v>
      </c>
      <c r="I106" s="41" t="n">
        <v>2</v>
      </c>
      <c r="J106" s="16" t="n">
        <v>-0.1082</v>
      </c>
      <c r="K106" s="42" t="n">
        <v>1</v>
      </c>
      <c r="L106" s="15" t="n">
        <v>3</v>
      </c>
      <c r="M106" s="51" t="inlineStr">
        <is>
          <t>Win</t>
        </is>
      </c>
      <c r="N106" s="17">
        <f>IF(M106="Win",IF(F106="Bet",(I106-1)*K106,K106),IF(M106="Loss",IF(F106="Bet",-K106,-(I106-1)*K106),IF(M106="Void",0,"")))</f>
        <v/>
      </c>
      <c r="O106" s="18">
        <f>IF(OR(M106="Win",M106="Loss"),IF(F106="Bet",K106,(I106-1)*K106),"")</f>
        <v/>
      </c>
    </row>
    <row r="107">
      <c r="A107" s="44" t="n">
        <v>46280</v>
      </c>
      <c r="B107" s="45" t="inlineStr">
        <is>
          <t>Wellington</t>
        </is>
      </c>
      <c r="C107" s="21" t="n">
        <v>6</v>
      </c>
      <c r="D107" s="21" t="n">
        <v>4</v>
      </c>
      <c r="E107" s="20" t="inlineStr">
        <is>
          <t>Angie's Sister</t>
        </is>
      </c>
      <c r="F107" s="46" t="inlineStr">
        <is>
          <t>Lay</t>
        </is>
      </c>
      <c r="G107" s="47" t="inlineStr">
        <is>
          <t>Lay</t>
        </is>
      </c>
      <c r="H107" s="48" t="n">
        <v>1.8</v>
      </c>
      <c r="I107" s="48" t="n">
        <v>1.4</v>
      </c>
      <c r="J107" s="22" t="n">
        <v>-0.1578</v>
      </c>
      <c r="K107" s="49" t="n">
        <v>1</v>
      </c>
      <c r="L107" s="21" t="n">
        <v>1</v>
      </c>
      <c r="M107" s="46" t="inlineStr">
        <is>
          <t>Loss</t>
        </is>
      </c>
      <c r="N107" s="23">
        <f>IF(M107="Win",IF(F107="Bet",(I107-1)*K107,K107),IF(M107="Loss",IF(F107="Bet",-K107,-(I107-1)*K107),IF(M107="Void",0,"")))</f>
        <v/>
      </c>
      <c r="O107" s="24">
        <f>IF(OR(M107="Win",M107="Loss"),IF(F107="Bet",K107,(I107-1)*K107),"")</f>
        <v/>
      </c>
    </row>
    <row r="108">
      <c r="A108" s="37" t="n">
        <v>46280</v>
      </c>
      <c r="B108" s="38" t="inlineStr">
        <is>
          <t>Wellington</t>
        </is>
      </c>
      <c r="C108" s="15" t="n">
        <v>8</v>
      </c>
      <c r="D108" s="15" t="n">
        <v>10</v>
      </c>
      <c r="E108" s="14" t="inlineStr">
        <is>
          <t>Hanuman</t>
        </is>
      </c>
      <c r="F108" s="43" t="inlineStr">
        <is>
          <t>Lay</t>
        </is>
      </c>
      <c r="G108" s="47" t="inlineStr">
        <is>
          <t>Lay</t>
        </is>
      </c>
      <c r="H108" s="41" t="n">
        <v>6.8</v>
      </c>
      <c r="I108" s="41" t="n">
        <v>2.83</v>
      </c>
      <c r="J108" s="16" t="n">
        <v>-0.103</v>
      </c>
      <c r="K108" s="42" t="n">
        <v>1</v>
      </c>
      <c r="L108" s="15" t="n">
        <v>1</v>
      </c>
      <c r="M108" s="43" t="inlineStr">
        <is>
          <t>Loss</t>
        </is>
      </c>
      <c r="N108" s="17">
        <f>IF(M108="Win",IF(F108="Bet",(I108-1)*K108,K108),IF(M108="Loss",IF(F108="Bet",-K108,-(I108-1)*K108),IF(M108="Void",0,"")))</f>
        <v/>
      </c>
      <c r="O108" s="18">
        <f>IF(OR(M108="Win",M108="Loss"),IF(F108="Bet",K108,(I108-1)*K108),"")</f>
        <v/>
      </c>
    </row>
    <row r="109">
      <c r="A109" s="44" t="n">
        <v>46280</v>
      </c>
      <c r="B109" s="45" t="inlineStr">
        <is>
          <t>Moruya</t>
        </is>
      </c>
      <c r="C109" s="21" t="n">
        <v>3</v>
      </c>
      <c r="D109" s="21" t="n">
        <v>11</v>
      </c>
      <c r="E109" s="20" t="inlineStr">
        <is>
          <t>Yamashita</t>
        </is>
      </c>
      <c r="F109" s="46" t="inlineStr">
        <is>
          <t>Lay</t>
        </is>
      </c>
      <c r="G109" s="47" t="inlineStr">
        <is>
          <t>Lay</t>
        </is>
      </c>
      <c r="H109" s="48" t="n">
        <v>1.85</v>
      </c>
      <c r="I109" s="48" t="n">
        <v>1.41</v>
      </c>
      <c r="J109" s="22" t="n">
        <v>-0.142</v>
      </c>
      <c r="K109" s="49" t="n">
        <v>1</v>
      </c>
      <c r="L109" s="21" t="n">
        <v>1</v>
      </c>
      <c r="M109" s="46" t="inlineStr">
        <is>
          <t>Loss</t>
        </is>
      </c>
      <c r="N109" s="23">
        <f>IF(M109="Win",IF(F109="Bet",(I109-1)*K109,K109),IF(M109="Loss",IF(F109="Bet",-K109,-(I109-1)*K109),IF(M109="Void",0,"")))</f>
        <v/>
      </c>
      <c r="O109" s="24">
        <f>IF(OR(M109="Win",M109="Loss"),IF(F109="Bet",K109,(I109-1)*K109),"")</f>
        <v/>
      </c>
    </row>
    <row r="110">
      <c r="A110" s="37" t="n">
        <v>46280</v>
      </c>
      <c r="B110" s="38" t="inlineStr">
        <is>
          <t>Moruya</t>
        </is>
      </c>
      <c r="C110" s="15" t="n">
        <v>4</v>
      </c>
      <c r="D110" s="15" t="n">
        <v>8</v>
      </c>
      <c r="E110" s="14" t="inlineStr">
        <is>
          <t>Restless Spirit</t>
        </is>
      </c>
      <c r="F110" s="43" t="inlineStr">
        <is>
          <t>Lay</t>
        </is>
      </c>
      <c r="G110" s="47" t="inlineStr">
        <is>
          <t>Lay</t>
        </is>
      </c>
      <c r="H110" s="41" t="n">
        <v>3.4</v>
      </c>
      <c r="I110" s="41" t="n">
        <v>2.45</v>
      </c>
      <c r="J110" s="16" t="n">
        <v>-0.1144</v>
      </c>
      <c r="K110" s="42" t="n">
        <v>1</v>
      </c>
      <c r="L110" s="15" t="n">
        <v>1</v>
      </c>
      <c r="M110" s="43" t="inlineStr">
        <is>
          <t>Loss</t>
        </is>
      </c>
      <c r="N110" s="17">
        <f>IF(M110="Win",IF(F110="Bet",(I110-1)*K110,K110),IF(M110="Loss",IF(F110="Bet",-K110,-(I110-1)*K110),IF(M110="Void",0,"")))</f>
        <v/>
      </c>
      <c r="O110" s="18">
        <f>IF(OR(M110="Win",M110="Loss"),IF(F110="Bet",K110,(I110-1)*K110),"")</f>
        <v/>
      </c>
    </row>
    <row r="111">
      <c r="A111" s="44" t="n">
        <v>46280</v>
      </c>
      <c r="B111" s="45" t="inlineStr">
        <is>
          <t>Moruya</t>
        </is>
      </c>
      <c r="C111" s="21" t="n">
        <v>5</v>
      </c>
      <c r="D111" s="21" t="n">
        <v>2</v>
      </c>
      <c r="E111" s="20" t="inlineStr">
        <is>
          <t>Nights Inferno</t>
        </is>
      </c>
      <c r="F111" s="52" t="inlineStr">
        <is>
          <t>Bet</t>
        </is>
      </c>
      <c r="G111" s="40" t="inlineStr">
        <is>
          <t>Bet</t>
        </is>
      </c>
      <c r="H111" s="48" t="n">
        <v>5.5</v>
      </c>
      <c r="I111" s="48" t="n">
        <v>6.8</v>
      </c>
      <c r="J111" s="22" t="n">
        <v>0.0271</v>
      </c>
      <c r="K111" s="49" t="n">
        <v>1</v>
      </c>
      <c r="L111" s="21" t="n">
        <v>4</v>
      </c>
      <c r="M111" s="46" t="inlineStr">
        <is>
          <t>Loss</t>
        </is>
      </c>
      <c r="N111" s="23">
        <f>IF(M111="Win",IF(F111="Bet",(I111-1)*K111,K111),IF(M111="Loss",IF(F111="Bet",-K111,-(I111-1)*K111),IF(M111="Void",0,"")))</f>
        <v/>
      </c>
      <c r="O111" s="24">
        <f>IF(OR(M111="Win",M111="Loss"),IF(F111="Bet",K111,(I111-1)*K111),"")</f>
        <v/>
      </c>
    </row>
    <row r="112">
      <c r="A112" s="37" t="n">
        <v>46280</v>
      </c>
      <c r="B112" s="38" t="inlineStr">
        <is>
          <t>Bowen</t>
        </is>
      </c>
      <c r="C112" s="15" t="n">
        <v>1</v>
      </c>
      <c r="D112" s="15" t="n">
        <v>1</v>
      </c>
      <c r="E112" s="14" t="inlineStr">
        <is>
          <t>Touch Base</t>
        </is>
      </c>
      <c r="F112" s="43" t="inlineStr">
        <is>
          <t>Lay</t>
        </is>
      </c>
      <c r="G112" s="47" t="inlineStr">
        <is>
          <t>Lay</t>
        </is>
      </c>
      <c r="H112" s="41" t="n">
        <v>3.4</v>
      </c>
      <c r="I112" s="41" t="n">
        <v>2.25</v>
      </c>
      <c r="J112" s="16" t="n">
        <v>-0.1462</v>
      </c>
      <c r="K112" s="42" t="n">
        <v>1</v>
      </c>
      <c r="L112" s="15" t="n">
        <v>1</v>
      </c>
      <c r="M112" s="43" t="inlineStr">
        <is>
          <t>Loss</t>
        </is>
      </c>
      <c r="N112" s="17">
        <f>IF(M112="Win",IF(F112="Bet",(I112-1)*K112,K112),IF(M112="Loss",IF(F112="Bet",-K112,-(I112-1)*K112),IF(M112="Void",0,"")))</f>
        <v/>
      </c>
      <c r="O112" s="18">
        <f>IF(OR(M112="Win",M112="Loss"),IF(F112="Bet",K112,(I112-1)*K112),"")</f>
        <v/>
      </c>
    </row>
    <row r="113">
      <c r="A113" s="44" t="n">
        <v>46280</v>
      </c>
      <c r="B113" s="45" t="inlineStr">
        <is>
          <t>Bowen</t>
        </is>
      </c>
      <c r="C113" s="21" t="n">
        <v>2</v>
      </c>
      <c r="D113" s="21" t="n">
        <v>2</v>
      </c>
      <c r="E113" s="20" t="inlineStr">
        <is>
          <t>Faraway Downs</t>
        </is>
      </c>
      <c r="F113" s="46" t="inlineStr">
        <is>
          <t>Lay</t>
        </is>
      </c>
      <c r="G113" s="47" t="inlineStr">
        <is>
          <t>Lay</t>
        </is>
      </c>
      <c r="H113" s="48" t="n">
        <v>2.2</v>
      </c>
      <c r="I113" s="48" t="n">
        <v>1.65</v>
      </c>
      <c r="J113" s="22" t="n">
        <v>-0.1555</v>
      </c>
      <c r="K113" s="49" t="n">
        <v>1</v>
      </c>
      <c r="L113" s="21" t="n">
        <v>1</v>
      </c>
      <c r="M113" s="46" t="inlineStr">
        <is>
          <t>Loss</t>
        </is>
      </c>
      <c r="N113" s="23">
        <f>IF(M113="Win",IF(F113="Bet",(I113-1)*K113,K113),IF(M113="Loss",IF(F113="Bet",-K113,-(I113-1)*K113),IF(M113="Void",0,"")))</f>
        <v/>
      </c>
      <c r="O113" s="24">
        <f>IF(OR(M113="Win",M113="Loss"),IF(F113="Bet",K113,(I113-1)*K113),"")</f>
        <v/>
      </c>
    </row>
    <row r="114">
      <c r="A114" s="37" t="n">
        <v>46280</v>
      </c>
      <c r="B114" s="38" t="inlineStr">
        <is>
          <t>Bowen</t>
        </is>
      </c>
      <c r="C114" s="15" t="n">
        <v>5</v>
      </c>
      <c r="D114" s="15" t="n">
        <v>7</v>
      </c>
      <c r="E114" s="14" t="inlineStr">
        <is>
          <t>Pulsating</t>
        </is>
      </c>
      <c r="F114" s="43" t="inlineStr">
        <is>
          <t>Lay</t>
        </is>
      </c>
      <c r="G114" s="47" t="inlineStr">
        <is>
          <t>Lay</t>
        </is>
      </c>
      <c r="H114" s="41" t="n">
        <v>2.65</v>
      </c>
      <c r="I114" s="41" t="n">
        <v>1.95</v>
      </c>
      <c r="J114" s="16" t="n">
        <v>-0.1321</v>
      </c>
      <c r="K114" s="42" t="n">
        <v>1</v>
      </c>
      <c r="L114" s="15" t="n">
        <v>2</v>
      </c>
      <c r="M114" s="51" t="inlineStr">
        <is>
          <t>Win</t>
        </is>
      </c>
      <c r="N114" s="17">
        <f>IF(M114="Win",IF(F114="Bet",(I114-1)*K114,K114),IF(M114="Loss",IF(F114="Bet",-K114,-(I114-1)*K114),IF(M114="Void",0,"")))</f>
        <v/>
      </c>
      <c r="O114" s="18">
        <f>IF(OR(M114="Win",M114="Loss"),IF(F114="Bet",K114,(I114-1)*K114),"")</f>
        <v/>
      </c>
    </row>
    <row r="115">
      <c r="A115" s="44" t="n">
        <v>46280</v>
      </c>
      <c r="B115" s="45" t="inlineStr">
        <is>
          <t>Bowen</t>
        </is>
      </c>
      <c r="C115" s="21" t="n">
        <v>7</v>
      </c>
      <c r="D115" s="21" t="n">
        <v>10</v>
      </c>
      <c r="E115" s="20" t="inlineStr">
        <is>
          <t>Next Stop Jupiter</t>
        </is>
      </c>
      <c r="F115" s="46" t="inlineStr">
        <is>
          <t>Lay</t>
        </is>
      </c>
      <c r="G115" s="47" t="inlineStr">
        <is>
          <t>Lay</t>
        </is>
      </c>
      <c r="H115" s="48" t="n">
        <v>4</v>
      </c>
      <c r="I115" s="48" t="n">
        <v>2.5</v>
      </c>
      <c r="J115" s="22" t="n">
        <v>-0.1509</v>
      </c>
      <c r="K115" s="49" t="n">
        <v>1</v>
      </c>
      <c r="L115" s="21" t="n">
        <v>2</v>
      </c>
      <c r="M115" s="50" t="inlineStr">
        <is>
          <t>Win</t>
        </is>
      </c>
      <c r="N115" s="23">
        <f>IF(M115="Win",IF(F115="Bet",(I115-1)*K115,K115),IF(M115="Loss",IF(F115="Bet",-K115,-(I115-1)*K115),IF(M115="Void",0,"")))</f>
        <v/>
      </c>
      <c r="O115" s="24">
        <f>IF(OR(M115="Win",M115="Loss"),IF(F115="Bet",K115,(I115-1)*K115),"")</f>
        <v/>
      </c>
    </row>
    <row r="116">
      <c r="A116" s="37" t="n">
        <v>46280</v>
      </c>
      <c r="B116" s="38" t="inlineStr">
        <is>
          <t>Wodonga</t>
        </is>
      </c>
      <c r="C116" s="15" t="n">
        <v>1</v>
      </c>
      <c r="D116" s="15" t="n">
        <v>10</v>
      </c>
      <c r="E116" s="14" t="inlineStr">
        <is>
          <t>Daring Prince</t>
        </is>
      </c>
      <c r="F116" s="43" t="inlineStr">
        <is>
          <t>Lay</t>
        </is>
      </c>
      <c r="G116" s="47" t="inlineStr">
        <is>
          <t>Lay</t>
        </is>
      </c>
      <c r="H116" s="41" t="n">
        <v>3.8</v>
      </c>
      <c r="I116" s="41" t="n">
        <v>2.5</v>
      </c>
      <c r="J116" s="16" t="n">
        <v>-0.1399</v>
      </c>
      <c r="K116" s="42" t="n">
        <v>1</v>
      </c>
      <c r="L116" s="15" t="n">
        <v>3</v>
      </c>
      <c r="M116" s="51" t="inlineStr">
        <is>
          <t>Win</t>
        </is>
      </c>
      <c r="N116" s="17">
        <f>IF(M116="Win",IF(F116="Bet",(I116-1)*K116,K116),IF(M116="Loss",IF(F116="Bet",-K116,-(I116-1)*K116),IF(M116="Void",0,"")))</f>
        <v/>
      </c>
      <c r="O116" s="18">
        <f>IF(OR(M116="Win",M116="Loss"),IF(F116="Bet",K116,(I116-1)*K116),"")</f>
        <v/>
      </c>
    </row>
    <row r="117">
      <c r="A117" s="44" t="n">
        <v>46280</v>
      </c>
      <c r="B117" s="45" t="inlineStr">
        <is>
          <t>Wodonga</t>
        </is>
      </c>
      <c r="C117" s="21" t="n">
        <v>2</v>
      </c>
      <c r="D117" s="21" t="n">
        <v>14</v>
      </c>
      <c r="E117" s="20" t="inlineStr">
        <is>
          <t>Tommy's Lass</t>
        </is>
      </c>
      <c r="F117" s="46" t="inlineStr">
        <is>
          <t>Lay</t>
        </is>
      </c>
      <c r="G117" s="47" t="inlineStr">
        <is>
          <t>Lay</t>
        </is>
      </c>
      <c r="H117" s="48" t="n">
        <v>2.05</v>
      </c>
      <c r="I117" s="48" t="n">
        <v>1.65</v>
      </c>
      <c r="J117" s="22" t="n">
        <v>-0.122</v>
      </c>
      <c r="K117" s="49" t="n">
        <v>1</v>
      </c>
      <c r="L117" s="21" t="n">
        <v>2</v>
      </c>
      <c r="M117" s="50" t="inlineStr">
        <is>
          <t>Win</t>
        </is>
      </c>
      <c r="N117" s="23">
        <f>IF(M117="Win",IF(F117="Bet",(I117-1)*K117,K117),IF(M117="Loss",IF(F117="Bet",-K117,-(I117-1)*K117),IF(M117="Void",0,"")))</f>
        <v/>
      </c>
      <c r="O117" s="24">
        <f>IF(OR(M117="Win",M117="Loss"),IF(F117="Bet",K117,(I117-1)*K117),"")</f>
        <v/>
      </c>
    </row>
    <row r="118">
      <c r="A118" s="37" t="n">
        <v>46280</v>
      </c>
      <c r="B118" s="38" t="inlineStr">
        <is>
          <t>Wodonga</t>
        </is>
      </c>
      <c r="C118" s="15" t="n">
        <v>4</v>
      </c>
      <c r="D118" s="15" t="n">
        <v>9</v>
      </c>
      <c r="E118" s="14" t="inlineStr">
        <is>
          <t>Koolatah Queen</t>
        </is>
      </c>
      <c r="F118" s="43" t="inlineStr">
        <is>
          <t>Lay</t>
        </is>
      </c>
      <c r="G118" s="47" t="inlineStr">
        <is>
          <t>Lay</t>
        </is>
      </c>
      <c r="H118" s="41" t="n">
        <v>4.4</v>
      </c>
      <c r="I118" s="41" t="n">
        <v>2.7</v>
      </c>
      <c r="J118" s="16" t="n">
        <v>-0.1406</v>
      </c>
      <c r="K118" s="42" t="n">
        <v>1</v>
      </c>
      <c r="L118" s="15" t="n">
        <v>4</v>
      </c>
      <c r="M118" s="51" t="inlineStr">
        <is>
          <t>Win</t>
        </is>
      </c>
      <c r="N118" s="17">
        <f>IF(M118="Win",IF(F118="Bet",(I118-1)*K118,K118),IF(M118="Loss",IF(F118="Bet",-K118,-(I118-1)*K118),IF(M118="Void",0,"")))</f>
        <v/>
      </c>
      <c r="O118" s="18">
        <f>IF(OR(M118="Win",M118="Loss"),IF(F118="Bet",K118,(I118-1)*K118),"")</f>
        <v/>
      </c>
    </row>
    <row r="119">
      <c r="A119" s="44" t="n">
        <v>46280</v>
      </c>
      <c r="B119" s="45" t="inlineStr">
        <is>
          <t>Wodonga</t>
        </is>
      </c>
      <c r="C119" s="21" t="n">
        <v>5</v>
      </c>
      <c r="D119" s="21" t="n">
        <v>2</v>
      </c>
      <c r="E119" s="20" t="inlineStr">
        <is>
          <t>Aka Daka</t>
        </is>
      </c>
      <c r="F119" s="46" t="inlineStr">
        <is>
          <t>Lay</t>
        </is>
      </c>
      <c r="G119" s="47" t="inlineStr">
        <is>
          <t>Lay</t>
        </is>
      </c>
      <c r="H119" s="48" t="n">
        <v>3.2</v>
      </c>
      <c r="I119" s="48" t="n">
        <v>2.35</v>
      </c>
      <c r="J119" s="22" t="n">
        <v>-0.1125</v>
      </c>
      <c r="K119" s="49" t="n">
        <v>1</v>
      </c>
      <c r="L119" s="21" t="n">
        <v>1</v>
      </c>
      <c r="M119" s="46" t="inlineStr">
        <is>
          <t>Loss</t>
        </is>
      </c>
      <c r="N119" s="23">
        <f>IF(M119="Win",IF(F119="Bet",(I119-1)*K119,K119),IF(M119="Loss",IF(F119="Bet",-K119,-(I119-1)*K119),IF(M119="Void",0,"")))</f>
        <v/>
      </c>
      <c r="O119" s="24">
        <f>IF(OR(M119="Win",M119="Loss"),IF(F119="Bet",K119,(I119-1)*K119),"")</f>
        <v/>
      </c>
    </row>
    <row r="120">
      <c r="A120" s="37" t="n">
        <v>46280</v>
      </c>
      <c r="B120" s="38" t="inlineStr">
        <is>
          <t>Wodonga</t>
        </is>
      </c>
      <c r="C120" s="15" t="n">
        <v>7</v>
      </c>
      <c r="D120" s="15" t="n">
        <v>5</v>
      </c>
      <c r="E120" s="14" t="inlineStr">
        <is>
          <t>Yellowknife</t>
        </is>
      </c>
      <c r="F120" s="43" t="inlineStr">
        <is>
          <t>Lay</t>
        </is>
      </c>
      <c r="G120" s="47" t="inlineStr">
        <is>
          <t>Lay</t>
        </is>
      </c>
      <c r="H120" s="41" t="n">
        <v>6.5</v>
      </c>
      <c r="I120" s="41" t="n">
        <v>3.8</v>
      </c>
      <c r="J120" s="16" t="n">
        <v>-0.1092</v>
      </c>
      <c r="K120" s="42" t="n">
        <v>1</v>
      </c>
      <c r="L120" s="15" t="n">
        <v>2</v>
      </c>
      <c r="M120" s="51" t="inlineStr">
        <is>
          <t>Win</t>
        </is>
      </c>
      <c r="N120" s="17">
        <f>IF(M120="Win",IF(F120="Bet",(I120-1)*K120,K120),IF(M120="Loss",IF(F120="Bet",-K120,-(I120-1)*K120),IF(M120="Void",0,"")))</f>
        <v/>
      </c>
      <c r="O120" s="18">
        <f>IF(OR(M120="Win",M120="Loss"),IF(F120="Bet",K120,(I120-1)*K120),"")</f>
        <v/>
      </c>
    </row>
    <row r="121">
      <c r="A121" s="44" t="n">
        <v>46280</v>
      </c>
      <c r="B121" s="45" t="inlineStr">
        <is>
          <t>Bowen</t>
        </is>
      </c>
      <c r="C121" s="21" t="n">
        <v>1</v>
      </c>
      <c r="D121" s="21" t="n">
        <v>4</v>
      </c>
      <c r="E121" s="20" t="inlineStr">
        <is>
          <t>Missile Baby</t>
        </is>
      </c>
      <c r="F121" s="52" t="inlineStr">
        <is>
          <t>Bet</t>
        </is>
      </c>
      <c r="G121" s="53" t="inlineStr">
        <is>
          <t>Prime</t>
        </is>
      </c>
      <c r="H121" s="48" t="n">
        <v>4.1</v>
      </c>
      <c r="I121" s="48" t="n">
        <v>6.22</v>
      </c>
      <c r="J121" s="22" t="n">
        <v>0.06469999999999999</v>
      </c>
      <c r="K121" s="49" t="n">
        <v>1</v>
      </c>
      <c r="L121" s="21" t="n">
        <v>3</v>
      </c>
      <c r="M121" s="46" t="inlineStr">
        <is>
          <t>Loss</t>
        </is>
      </c>
      <c r="N121" s="23">
        <f>IF(M121="Win",IF(F121="Bet",(I121-1)*K121,K121),IF(M121="Loss",IF(F121="Bet",-K121,-(I121-1)*K121),IF(M121="Void",0,"")))</f>
        <v/>
      </c>
      <c r="O121" s="24">
        <f>IF(OR(M121="Win",M121="Loss"),IF(F121="Bet",K121,(I121-1)*K121),"")</f>
        <v/>
      </c>
    </row>
    <row r="122">
      <c r="A122" s="37" t="n">
        <v>46281</v>
      </c>
      <c r="B122" s="38" t="inlineStr">
        <is>
          <t>Doomben</t>
        </is>
      </c>
      <c r="C122" s="15" t="n">
        <v>1</v>
      </c>
      <c r="D122" s="15" t="n">
        <v>1</v>
      </c>
      <c r="E122" s="14" t="inlineStr">
        <is>
          <t>Bacetti</t>
        </is>
      </c>
      <c r="F122" s="39" t="inlineStr">
        <is>
          <t>Bet</t>
        </is>
      </c>
      <c r="G122" s="40" t="inlineStr">
        <is>
          <t>Bet</t>
        </is>
      </c>
      <c r="H122" s="41" t="n">
        <v>6.1</v>
      </c>
      <c r="I122" s="41" t="n">
        <v>9.539999999999999</v>
      </c>
      <c r="J122" s="16" t="n">
        <v>0.0296</v>
      </c>
      <c r="K122" s="42" t="n">
        <v>1</v>
      </c>
      <c r="L122" s="15" t="n">
        <v>3</v>
      </c>
      <c r="M122" s="43" t="inlineStr">
        <is>
          <t>Loss</t>
        </is>
      </c>
      <c r="N122" s="17">
        <f>IF(M122="Win",IF(F122="Bet",(I122-1)*K122,K122),IF(M122="Loss",IF(F122="Bet",-K122,-(I122-1)*K122),IF(M122="Void",0,"")))</f>
        <v/>
      </c>
      <c r="O122" s="18">
        <f>IF(OR(M122="Win",M122="Loss"),IF(F122="Bet",K122,(I122-1)*K122),"")</f>
        <v/>
      </c>
    </row>
    <row r="123">
      <c r="A123" s="44" t="n">
        <v>46281</v>
      </c>
      <c r="B123" s="45" t="inlineStr">
        <is>
          <t>Caulfield Heath</t>
        </is>
      </c>
      <c r="C123" s="21" t="n">
        <v>4</v>
      </c>
      <c r="D123" s="21" t="n">
        <v>13</v>
      </c>
      <c r="E123" s="20" t="inlineStr">
        <is>
          <t>Tuzemak</t>
        </is>
      </c>
      <c r="F123" s="52" t="inlineStr">
        <is>
          <t>Bet</t>
        </is>
      </c>
      <c r="G123" s="40" t="inlineStr">
        <is>
          <t>Bet</t>
        </is>
      </c>
      <c r="H123" s="48" t="n">
        <v>9.699999999999999</v>
      </c>
      <c r="I123" s="48" t="n">
        <v>17</v>
      </c>
      <c r="J123" s="22" t="n">
        <v>0.026</v>
      </c>
      <c r="K123" s="49" t="n">
        <v>1</v>
      </c>
      <c r="L123" s="21" t="n">
        <v>6</v>
      </c>
      <c r="M123" s="46" t="inlineStr">
        <is>
          <t>Loss</t>
        </is>
      </c>
      <c r="N123" s="23">
        <f>IF(M123="Win",IF(F123="Bet",(I123-1)*K123,K123),IF(M123="Loss",IF(F123="Bet",-K123,-(I123-1)*K123),IF(M123="Void",0,"")))</f>
        <v/>
      </c>
      <c r="O123" s="24">
        <f>IF(OR(M123="Win",M123="Loss"),IF(F123="Bet",K123,(I123-1)*K123),"")</f>
        <v/>
      </c>
    </row>
    <row r="124">
      <c r="A124" s="37" t="n">
        <v>46281</v>
      </c>
      <c r="B124" s="38" t="inlineStr">
        <is>
          <t>Caulfield Heath</t>
        </is>
      </c>
      <c r="C124" s="15" t="n">
        <v>5</v>
      </c>
      <c r="D124" s="15" t="n">
        <v>8</v>
      </c>
      <c r="E124" s="14" t="inlineStr">
        <is>
          <t>Killenaule</t>
        </is>
      </c>
      <c r="F124" s="43" t="inlineStr">
        <is>
          <t>Lay</t>
        </is>
      </c>
      <c r="G124" s="47" t="inlineStr">
        <is>
          <t>Lay</t>
        </is>
      </c>
      <c r="H124" s="41" t="n">
        <v>2.8</v>
      </c>
      <c r="I124" s="41" t="n">
        <v>1.85</v>
      </c>
      <c r="J124" s="16" t="n">
        <v>-0.166</v>
      </c>
      <c r="K124" s="42" t="n">
        <v>1</v>
      </c>
      <c r="L124" s="15" t="n">
        <v>2</v>
      </c>
      <c r="M124" s="51" t="inlineStr">
        <is>
          <t>Win</t>
        </is>
      </c>
      <c r="N124" s="17">
        <f>IF(M124="Win",IF(F124="Bet",(I124-1)*K124,K124),IF(M124="Loss",IF(F124="Bet",-K124,-(I124-1)*K124),IF(M124="Void",0,"")))</f>
        <v/>
      </c>
      <c r="O124" s="18">
        <f>IF(OR(M124="Win",M124="Loss"),IF(F124="Bet",K124,(I124-1)*K124),"")</f>
        <v/>
      </c>
    </row>
    <row r="125">
      <c r="A125" s="44" t="n">
        <v>46281</v>
      </c>
      <c r="B125" s="45" t="inlineStr">
        <is>
          <t>Caulfield Heath</t>
        </is>
      </c>
      <c r="C125" s="21" t="n">
        <v>2</v>
      </c>
      <c r="D125" s="21" t="n">
        <v>4</v>
      </c>
      <c r="E125" s="20" t="inlineStr">
        <is>
          <t>All Business</t>
        </is>
      </c>
      <c r="F125" s="52" t="inlineStr">
        <is>
          <t>Bet</t>
        </is>
      </c>
      <c r="G125" s="40" t="inlineStr">
        <is>
          <t>Bet</t>
        </is>
      </c>
      <c r="H125" s="48" t="n">
        <v>6</v>
      </c>
      <c r="I125" s="48" t="n">
        <v>7.5</v>
      </c>
      <c r="J125" s="22" t="n">
        <v>0.0335</v>
      </c>
      <c r="K125" s="49" t="n">
        <v>1</v>
      </c>
      <c r="L125" s="21" t="n">
        <v>1</v>
      </c>
      <c r="M125" s="50" t="inlineStr">
        <is>
          <t>Win</t>
        </is>
      </c>
      <c r="N125" s="23">
        <f>IF(M125="Win",IF(F125="Bet",(I125-1)*K125,K125),IF(M125="Loss",IF(F125="Bet",-K125,-(I125-1)*K125),IF(M125="Void",0,"")))</f>
        <v/>
      </c>
      <c r="O125" s="24">
        <f>IF(OR(M125="Win",M125="Loss"),IF(F125="Bet",K125,(I125-1)*K125),"")</f>
        <v/>
      </c>
    </row>
    <row r="126">
      <c r="A126" s="37" t="n">
        <v>46281</v>
      </c>
      <c r="B126" s="38" t="inlineStr">
        <is>
          <t>Doomben</t>
        </is>
      </c>
      <c r="C126" s="15" t="n">
        <v>2</v>
      </c>
      <c r="D126" s="15" t="n">
        <v>9</v>
      </c>
      <c r="E126" s="14" t="inlineStr">
        <is>
          <t>Cedrela</t>
        </is>
      </c>
      <c r="F126" s="43" t="inlineStr">
        <is>
          <t>Lay</t>
        </is>
      </c>
      <c r="G126" s="47" t="inlineStr">
        <is>
          <t>Lay</t>
        </is>
      </c>
      <c r="H126" s="41" t="n">
        <v>5.8</v>
      </c>
      <c r="I126" s="41" t="n">
        <v>2.55</v>
      </c>
      <c r="J126" s="16" t="n">
        <v>-0.1402</v>
      </c>
      <c r="K126" s="42" t="n">
        <v>1</v>
      </c>
      <c r="L126" s="15" t="n">
        <v>4</v>
      </c>
      <c r="M126" s="51" t="inlineStr">
        <is>
          <t>Win</t>
        </is>
      </c>
      <c r="N126" s="17">
        <f>IF(M126="Win",IF(F126="Bet",(I126-1)*K126,K126),IF(M126="Loss",IF(F126="Bet",-K126,-(I126-1)*K126),IF(M126="Void",0,"")))</f>
        <v/>
      </c>
      <c r="O126" s="18">
        <f>IF(OR(M126="Win",M126="Loss"),IF(F126="Bet",K126,(I126-1)*K126),"")</f>
        <v/>
      </c>
    </row>
    <row r="127">
      <c r="A127" s="44" t="n">
        <v>46281</v>
      </c>
      <c r="B127" s="45" t="inlineStr">
        <is>
          <t>Caulfield Heath</t>
        </is>
      </c>
      <c r="C127" s="21" t="n">
        <v>6</v>
      </c>
      <c r="D127" s="21" t="n">
        <v>11</v>
      </c>
      <c r="E127" s="20" t="inlineStr">
        <is>
          <t>Cabriole</t>
        </is>
      </c>
      <c r="F127" s="46" t="inlineStr">
        <is>
          <t>Lay</t>
        </is>
      </c>
      <c r="G127" s="47" t="inlineStr">
        <is>
          <t>Lay</t>
        </is>
      </c>
      <c r="H127" s="48" t="n">
        <v>4.3</v>
      </c>
      <c r="I127" s="48" t="n">
        <v>2.15</v>
      </c>
      <c r="J127" s="22" t="n">
        <v>-0.2047</v>
      </c>
      <c r="K127" s="49" t="n">
        <v>1</v>
      </c>
      <c r="L127" s="21" t="n">
        <v>1</v>
      </c>
      <c r="M127" s="46" t="inlineStr">
        <is>
          <t>Loss</t>
        </is>
      </c>
      <c r="N127" s="23">
        <f>IF(M127="Win",IF(F127="Bet",(I127-1)*K127,K127),IF(M127="Loss",IF(F127="Bet",-K127,-(I127-1)*K127),IF(M127="Void",0,"")))</f>
        <v/>
      </c>
      <c r="O127" s="24">
        <f>IF(OR(M127="Win",M127="Loss"),IF(F127="Bet",K127,(I127-1)*K127),"")</f>
        <v/>
      </c>
    </row>
    <row r="128">
      <c r="A128" s="37" t="n">
        <v>46281</v>
      </c>
      <c r="B128" s="38" t="inlineStr">
        <is>
          <t>Belmont</t>
        </is>
      </c>
      <c r="C128" s="15" t="n">
        <v>2</v>
      </c>
      <c r="D128" s="15" t="n">
        <v>1</v>
      </c>
      <c r="E128" s="14" t="inlineStr">
        <is>
          <t>Rocking In Vegas</t>
        </is>
      </c>
      <c r="F128" s="39" t="inlineStr">
        <is>
          <t>Bet</t>
        </is>
      </c>
      <c r="G128" s="53" t="inlineStr">
        <is>
          <t>Prime</t>
        </is>
      </c>
      <c r="H128" s="41" t="n">
        <v>4.6</v>
      </c>
      <c r="I128" s="41" t="n">
        <v>14.5</v>
      </c>
      <c r="J128" s="16" t="n">
        <v>0.1018</v>
      </c>
      <c r="K128" s="42" t="n">
        <v>1</v>
      </c>
      <c r="L128" s="15" t="n">
        <v>3</v>
      </c>
      <c r="M128" s="43" t="inlineStr">
        <is>
          <t>Loss</t>
        </is>
      </c>
      <c r="N128" s="17">
        <f>IF(M128="Win",IF(F128="Bet",(I128-1)*K128,K128),IF(M128="Loss",IF(F128="Bet",-K128,-(I128-1)*K128),IF(M128="Void",0,"")))</f>
        <v/>
      </c>
      <c r="O128" s="18">
        <f>IF(OR(M128="Win",M128="Loss"),IF(F128="Bet",K128,(I128-1)*K128),"")</f>
        <v/>
      </c>
    </row>
    <row r="129">
      <c r="A129" s="44" t="n">
        <v>46281</v>
      </c>
      <c r="B129" s="45" t="inlineStr">
        <is>
          <t>Belmont</t>
        </is>
      </c>
      <c r="C129" s="21" t="n">
        <v>2</v>
      </c>
      <c r="D129" s="21" t="n">
        <v>10</v>
      </c>
      <c r="E129" s="20" t="inlineStr">
        <is>
          <t>Treasured Legacy</t>
        </is>
      </c>
      <c r="F129" s="46" t="inlineStr">
        <is>
          <t>Lay</t>
        </is>
      </c>
      <c r="G129" s="47" t="inlineStr">
        <is>
          <t>Lay</t>
        </is>
      </c>
      <c r="H129" s="48" t="n">
        <v>5.3</v>
      </c>
      <c r="I129" s="48" t="n">
        <v>1.6</v>
      </c>
      <c r="J129" s="22" t="n">
        <v>-0.3981</v>
      </c>
      <c r="K129" s="49" t="n">
        <v>1</v>
      </c>
      <c r="L129" s="21" t="n">
        <v>1</v>
      </c>
      <c r="M129" s="46" t="inlineStr">
        <is>
          <t>Loss</t>
        </is>
      </c>
      <c r="N129" s="23">
        <f>IF(M129="Win",IF(F129="Bet",(I129-1)*K129,K129),IF(M129="Loss",IF(F129="Bet",-K129,-(I129-1)*K129),IF(M129="Void",0,"")))</f>
        <v/>
      </c>
      <c r="O129" s="24">
        <f>IF(OR(M129="Win",M129="Loss"),IF(F129="Bet",K129,(I129-1)*K129),"")</f>
        <v/>
      </c>
    </row>
    <row r="130">
      <c r="A130" s="37" t="n">
        <v>46281</v>
      </c>
      <c r="B130" s="38" t="inlineStr">
        <is>
          <t>Belmont</t>
        </is>
      </c>
      <c r="C130" s="15" t="n">
        <v>3</v>
      </c>
      <c r="D130" s="15" t="n">
        <v>4</v>
      </c>
      <c r="E130" s="14" t="inlineStr">
        <is>
          <t>Wiluna Lass</t>
        </is>
      </c>
      <c r="F130" s="39" t="inlineStr">
        <is>
          <t>Bet</t>
        </is>
      </c>
      <c r="G130" s="40" t="inlineStr">
        <is>
          <t>Bet</t>
        </is>
      </c>
      <c r="H130" s="41" t="n">
        <v>4.3</v>
      </c>
      <c r="I130" s="41" t="n">
        <v>5.5</v>
      </c>
      <c r="J130" s="16" t="n">
        <v>0.0264</v>
      </c>
      <c r="K130" s="42" t="n">
        <v>1</v>
      </c>
      <c r="L130" s="15" t="n">
        <v>1</v>
      </c>
      <c r="M130" s="51" t="inlineStr">
        <is>
          <t>Win</t>
        </is>
      </c>
      <c r="N130" s="17">
        <f>IF(M130="Win",IF(F130="Bet",(I130-1)*K130,K130),IF(M130="Loss",IF(F130="Bet",-K130,-(I130-1)*K130),IF(M130="Void",0,"")))</f>
        <v/>
      </c>
      <c r="O130" s="18">
        <f>IF(OR(M130="Win",M130="Loss"),IF(F130="Bet",K130,(I130-1)*K130),"")</f>
        <v/>
      </c>
    </row>
    <row r="131">
      <c r="A131" s="44" t="n">
        <v>46281</v>
      </c>
      <c r="B131" s="45" t="inlineStr">
        <is>
          <t>Launceston</t>
        </is>
      </c>
      <c r="C131" s="21" t="n">
        <v>2</v>
      </c>
      <c r="D131" s="21" t="n">
        <v>3</v>
      </c>
      <c r="E131" s="20" t="inlineStr">
        <is>
          <t>Lin Thizzy</t>
        </is>
      </c>
      <c r="F131" s="52" t="inlineStr">
        <is>
          <t>Bet</t>
        </is>
      </c>
      <c r="G131" s="40" t="inlineStr">
        <is>
          <t>Bet</t>
        </is>
      </c>
      <c r="H131" s="48" t="n">
        <v>3.4</v>
      </c>
      <c r="I131" s="48" t="n">
        <v>8.6</v>
      </c>
      <c r="J131" s="22" t="n">
        <v>0.0414</v>
      </c>
      <c r="K131" s="49" t="n">
        <v>1</v>
      </c>
      <c r="L131" s="21" t="n">
        <v>1</v>
      </c>
      <c r="M131" s="50" t="inlineStr">
        <is>
          <t>Win</t>
        </is>
      </c>
      <c r="N131" s="23">
        <f>IF(M131="Win",IF(F131="Bet",(I131-1)*K131,K131),IF(M131="Loss",IF(F131="Bet",-K131,-(I131-1)*K131),IF(M131="Void",0,"")))</f>
        <v/>
      </c>
      <c r="O131" s="24">
        <f>IF(OR(M131="Win",M131="Loss"),IF(F131="Bet",K131,(I131-1)*K131),"")</f>
        <v/>
      </c>
    </row>
    <row r="132">
      <c r="A132" s="37" t="n">
        <v>46281</v>
      </c>
      <c r="B132" s="38" t="inlineStr">
        <is>
          <t>Balaklava</t>
        </is>
      </c>
      <c r="C132" s="15" t="n">
        <v>9</v>
      </c>
      <c r="D132" s="15" t="n">
        <v>11</v>
      </c>
      <c r="E132" s="14" t="inlineStr">
        <is>
          <t>Cicala</t>
        </is>
      </c>
      <c r="F132" s="43" t="inlineStr">
        <is>
          <t>Lay</t>
        </is>
      </c>
      <c r="G132" s="47" t="inlineStr">
        <is>
          <t>Lay</t>
        </is>
      </c>
      <c r="H132" s="41" t="n">
        <v>7.1</v>
      </c>
      <c r="I132" s="41" t="n">
        <v>3</v>
      </c>
      <c r="J132" s="16" t="n">
        <v>-0.1823</v>
      </c>
      <c r="K132" s="42" t="n">
        <v>1</v>
      </c>
      <c r="L132" s="15" t="n">
        <v>4</v>
      </c>
      <c r="M132" s="51" t="inlineStr">
        <is>
          <t>Win</t>
        </is>
      </c>
      <c r="N132" s="17">
        <f>IF(M132="Win",IF(F132="Bet",(I132-1)*K132,K132),IF(M132="Loss",IF(F132="Bet",-K132,-(I132-1)*K132),IF(M132="Void",0,"")))</f>
        <v/>
      </c>
      <c r="O132" s="18">
        <f>IF(OR(M132="Win",M132="Loss"),IF(F132="Bet",K132,(I132-1)*K132),"")</f>
        <v/>
      </c>
    </row>
    <row r="133">
      <c r="A133" s="44" t="n">
        <v>46281</v>
      </c>
      <c r="B133" s="45" t="inlineStr">
        <is>
          <t>Caulfield Heath</t>
        </is>
      </c>
      <c r="C133" s="21" t="n">
        <v>7</v>
      </c>
      <c r="D133" s="21" t="n">
        <v>8</v>
      </c>
      <c r="E133" s="20" t="inlineStr">
        <is>
          <t>In'kantosstar</t>
        </is>
      </c>
      <c r="F133" s="46" t="inlineStr">
        <is>
          <t>Lay</t>
        </is>
      </c>
      <c r="G133" s="47" t="inlineStr">
        <is>
          <t>Lay</t>
        </is>
      </c>
      <c r="H133" s="48" t="n">
        <v>3.4</v>
      </c>
      <c r="I133" s="48" t="n">
        <v>1.55</v>
      </c>
      <c r="J133" s="22" t="n">
        <v>-0.274</v>
      </c>
      <c r="K133" s="49" t="n">
        <v>1</v>
      </c>
      <c r="L133" s="21" t="n">
        <v>1</v>
      </c>
      <c r="M133" s="46" t="inlineStr">
        <is>
          <t>Loss</t>
        </is>
      </c>
      <c r="N133" s="23">
        <f>IF(M133="Win",IF(F133="Bet",(I133-1)*K133,K133),IF(M133="Loss",IF(F133="Bet",-K133,-(I133-1)*K133),IF(M133="Void",0,"")))</f>
        <v/>
      </c>
      <c r="O133" s="24">
        <f>IF(OR(M133="Win",M133="Loss"),IF(F133="Bet",K133,(I133-1)*K133),"")</f>
        <v/>
      </c>
    </row>
    <row r="134">
      <c r="A134" s="37" t="n">
        <v>46281</v>
      </c>
      <c r="B134" s="38" t="inlineStr">
        <is>
          <t>Balaklava</t>
        </is>
      </c>
      <c r="C134" s="15" t="n">
        <v>4</v>
      </c>
      <c r="D134" s="15" t="n">
        <v>9</v>
      </c>
      <c r="E134" s="14" t="inlineStr">
        <is>
          <t>Canny Miss</t>
        </is>
      </c>
      <c r="F134" s="43" t="inlineStr">
        <is>
          <t>Lay</t>
        </is>
      </c>
      <c r="G134" s="47" t="inlineStr">
        <is>
          <t>Lay</t>
        </is>
      </c>
      <c r="H134" s="41" t="n">
        <v>7.5</v>
      </c>
      <c r="I134" s="41" t="n">
        <v>3.4</v>
      </c>
      <c r="J134" s="16" t="n">
        <v>-0.153</v>
      </c>
      <c r="K134" s="42" t="n">
        <v>1</v>
      </c>
      <c r="L134" s="15" t="n">
        <v>1</v>
      </c>
      <c r="M134" s="43" t="inlineStr">
        <is>
          <t>Loss</t>
        </is>
      </c>
      <c r="N134" s="17">
        <f>IF(M134="Win",IF(F134="Bet",(I134-1)*K134,K134),IF(M134="Loss",IF(F134="Bet",-K134,-(I134-1)*K134),IF(M134="Void",0,"")))</f>
        <v/>
      </c>
      <c r="O134" s="18">
        <f>IF(OR(M134="Win",M134="Loss"),IF(F134="Bet",K134,(I134-1)*K134),"")</f>
        <v/>
      </c>
    </row>
    <row r="135">
      <c r="A135" s="44" t="n">
        <v>46281</v>
      </c>
      <c r="B135" s="45" t="inlineStr">
        <is>
          <t>Canterbury</t>
        </is>
      </c>
      <c r="C135" s="21" t="n">
        <v>5</v>
      </c>
      <c r="D135" s="21" t="n">
        <v>2</v>
      </c>
      <c r="E135" s="20" t="inlineStr">
        <is>
          <t>Fierce</t>
        </is>
      </c>
      <c r="F135" s="46" t="inlineStr">
        <is>
          <t>Lay</t>
        </is>
      </c>
      <c r="G135" s="47" t="inlineStr">
        <is>
          <t>Lay</t>
        </is>
      </c>
      <c r="H135" s="48" t="n">
        <v>4</v>
      </c>
      <c r="I135" s="48" t="n">
        <v>2.25</v>
      </c>
      <c r="J135" s="22" t="n">
        <v>-0.1497</v>
      </c>
      <c r="K135" s="49" t="n">
        <v>1</v>
      </c>
      <c r="L135" s="21" t="n">
        <v>2</v>
      </c>
      <c r="M135" s="50" t="inlineStr">
        <is>
          <t>Win</t>
        </is>
      </c>
      <c r="N135" s="23">
        <f>IF(M135="Win",IF(F135="Bet",(I135-1)*K135,K135),IF(M135="Loss",IF(F135="Bet",-K135,-(I135-1)*K135),IF(M135="Void",0,"")))</f>
        <v/>
      </c>
      <c r="O135" s="24">
        <f>IF(OR(M135="Win",M135="Loss"),IF(F135="Bet",K135,(I135-1)*K135),"")</f>
        <v/>
      </c>
    </row>
    <row r="136">
      <c r="A136" s="37" t="n">
        <v>46281</v>
      </c>
      <c r="B136" s="38" t="inlineStr">
        <is>
          <t>Doomben</t>
        </is>
      </c>
      <c r="C136" s="15" t="n">
        <v>1</v>
      </c>
      <c r="D136" s="15" t="n">
        <v>7</v>
      </c>
      <c r="E136" s="14" t="inlineStr">
        <is>
          <t>Oregon Coast</t>
        </is>
      </c>
      <c r="F136" s="43" t="inlineStr">
        <is>
          <t>Lay</t>
        </is>
      </c>
      <c r="G136" s="47" t="inlineStr">
        <is>
          <t>Lay</t>
        </is>
      </c>
      <c r="H136" s="41" t="n">
        <v>2.8</v>
      </c>
      <c r="I136" s="41" t="n">
        <v>1.6</v>
      </c>
      <c r="J136" s="16" t="n">
        <v>-0.3115</v>
      </c>
      <c r="K136" s="42" t="n">
        <v>1</v>
      </c>
      <c r="L136" s="15" t="n">
        <v>9</v>
      </c>
      <c r="M136" s="51" t="inlineStr">
        <is>
          <t>Win</t>
        </is>
      </c>
      <c r="N136" s="17">
        <f>IF(M136="Win",IF(F136="Bet",(I136-1)*K136,K136),IF(M136="Loss",IF(F136="Bet",-K136,-(I136-1)*K136),IF(M136="Void",0,"")))</f>
        <v/>
      </c>
      <c r="O136" s="18">
        <f>IF(OR(M136="Win",M136="Loss"),IF(F136="Bet",K136,(I136-1)*K136),"")</f>
        <v/>
      </c>
    </row>
    <row r="137">
      <c r="A137" s="44" t="n">
        <v>46281</v>
      </c>
      <c r="B137" s="45" t="inlineStr">
        <is>
          <t>Canterbury</t>
        </is>
      </c>
      <c r="C137" s="21" t="n">
        <v>2</v>
      </c>
      <c r="D137" s="21" t="n">
        <v>6</v>
      </c>
      <c r="E137" s="20" t="inlineStr">
        <is>
          <t>Saffron Veil</t>
        </is>
      </c>
      <c r="F137" s="52" t="inlineStr">
        <is>
          <t>Bet</t>
        </is>
      </c>
      <c r="G137" s="40" t="inlineStr">
        <is>
          <t>Bet</t>
        </is>
      </c>
      <c r="H137" s="48" t="n">
        <v>1.8</v>
      </c>
      <c r="I137" s="48" t="n">
        <v>2.1</v>
      </c>
      <c r="J137" s="22" t="n">
        <v>0.0407</v>
      </c>
      <c r="K137" s="49" t="n">
        <v>1</v>
      </c>
      <c r="L137" s="21" t="n">
        <v>1</v>
      </c>
      <c r="M137" s="50" t="inlineStr">
        <is>
          <t>Win</t>
        </is>
      </c>
      <c r="N137" s="23">
        <f>IF(M137="Win",IF(F137="Bet",(I137-1)*K137,K137),IF(M137="Loss",IF(F137="Bet",-K137,-(I137-1)*K137),IF(M137="Void",0,"")))</f>
        <v/>
      </c>
      <c r="O137" s="24">
        <f>IF(OR(M137="Win",M137="Loss"),IF(F137="Bet",K137,(I137-1)*K137),"")</f>
        <v/>
      </c>
    </row>
    <row r="138">
      <c r="A138" s="37" t="n">
        <v>46281</v>
      </c>
      <c r="B138" s="38" t="inlineStr">
        <is>
          <t>Balaklava</t>
        </is>
      </c>
      <c r="C138" s="15" t="n">
        <v>9</v>
      </c>
      <c r="D138" s="15" t="n">
        <v>1</v>
      </c>
      <c r="E138" s="14" t="inlineStr">
        <is>
          <t>Air Assault</t>
        </is>
      </c>
      <c r="F138" s="39" t="inlineStr">
        <is>
          <t>Bet</t>
        </is>
      </c>
      <c r="G138" s="53" t="inlineStr">
        <is>
          <t>Prime</t>
        </is>
      </c>
      <c r="H138" s="41" t="n">
        <v>4.8</v>
      </c>
      <c r="I138" s="41" t="n">
        <v>10.35</v>
      </c>
      <c r="J138" s="16" t="n">
        <v>0.0524</v>
      </c>
      <c r="K138" s="42" t="n">
        <v>1</v>
      </c>
      <c r="L138" s="15" t="n">
        <v>2</v>
      </c>
      <c r="M138" s="43" t="inlineStr">
        <is>
          <t>Loss</t>
        </is>
      </c>
      <c r="N138" s="17">
        <f>IF(M138="Win",IF(F138="Bet",(I138-1)*K138,K138),IF(M138="Loss",IF(F138="Bet",-K138,-(I138-1)*K138),IF(M138="Void",0,"")))</f>
        <v/>
      </c>
      <c r="O138" s="18">
        <f>IF(OR(M138="Win",M138="Loss"),IF(F138="Bet",K138,(I138-1)*K138),"")</f>
        <v/>
      </c>
    </row>
    <row r="139">
      <c r="A139" s="44" t="n">
        <v>46281</v>
      </c>
      <c r="B139" s="45" t="inlineStr">
        <is>
          <t>Balaklava</t>
        </is>
      </c>
      <c r="C139" s="21" t="n">
        <v>1</v>
      </c>
      <c r="D139" s="21" t="n">
        <v>2</v>
      </c>
      <c r="E139" s="20" t="inlineStr">
        <is>
          <t>Tikkamos</t>
        </is>
      </c>
      <c r="F139" s="46" t="inlineStr">
        <is>
          <t>Lay</t>
        </is>
      </c>
      <c r="G139" s="47" t="inlineStr">
        <is>
          <t>Lay</t>
        </is>
      </c>
      <c r="H139" s="48" t="n">
        <v>5.5</v>
      </c>
      <c r="I139" s="48" t="n">
        <v>2.01</v>
      </c>
      <c r="J139" s="22" t="n">
        <v>-0.2346</v>
      </c>
      <c r="K139" s="49" t="n">
        <v>1</v>
      </c>
      <c r="L139" s="21" t="n">
        <v>1</v>
      </c>
      <c r="M139" s="46" t="inlineStr">
        <is>
          <t>Loss</t>
        </is>
      </c>
      <c r="N139" s="23">
        <f>IF(M139="Win",IF(F139="Bet",(I139-1)*K139,K139),IF(M139="Loss",IF(F139="Bet",-K139,-(I139-1)*K139),IF(M139="Void",0,"")))</f>
        <v/>
      </c>
      <c r="O139" s="24">
        <f>IF(OR(M139="Win",M139="Loss"),IF(F139="Bet",K139,(I139-1)*K139),"")</f>
        <v/>
      </c>
    </row>
    <row r="140">
      <c r="A140" s="37" t="n">
        <v>46281</v>
      </c>
      <c r="B140" s="38" t="inlineStr">
        <is>
          <t>Balaklava</t>
        </is>
      </c>
      <c r="C140" s="15" t="n">
        <v>1</v>
      </c>
      <c r="D140" s="15" t="n">
        <v>5</v>
      </c>
      <c r="E140" s="14" t="inlineStr">
        <is>
          <t>Leading Ride</t>
        </is>
      </c>
      <c r="F140" s="39" t="inlineStr">
        <is>
          <t>Bet</t>
        </is>
      </c>
      <c r="G140" s="40" t="inlineStr">
        <is>
          <t>Bet</t>
        </is>
      </c>
      <c r="H140" s="41" t="n">
        <v>4.6</v>
      </c>
      <c r="I140" s="41" t="n">
        <v>10.98</v>
      </c>
      <c r="J140" s="16" t="n">
        <v>0.037</v>
      </c>
      <c r="K140" s="42" t="n">
        <v>1</v>
      </c>
      <c r="L140" s="15" t="n">
        <v>3</v>
      </c>
      <c r="M140" s="43" t="inlineStr">
        <is>
          <t>Loss</t>
        </is>
      </c>
      <c r="N140" s="17">
        <f>IF(M140="Win",IF(F140="Bet",(I140-1)*K140,K140),IF(M140="Loss",IF(F140="Bet",-K140,-(I140-1)*K140),IF(M140="Void",0,"")))</f>
        <v/>
      </c>
      <c r="O140" s="18">
        <f>IF(OR(M140="Win",M140="Loss"),IF(F140="Bet",K140,(I140-1)*K140),"")</f>
        <v/>
      </c>
    </row>
    <row r="141">
      <c r="A141" s="44" t="n">
        <v>46281</v>
      </c>
      <c r="B141" s="45" t="inlineStr">
        <is>
          <t>Doomben</t>
        </is>
      </c>
      <c r="C141" s="21" t="n">
        <v>7</v>
      </c>
      <c r="D141" s="21" t="n">
        <v>6</v>
      </c>
      <c r="E141" s="20" t="inlineStr">
        <is>
          <t>Don'tcha Luv'er</t>
        </is>
      </c>
      <c r="F141" s="46" t="inlineStr">
        <is>
          <t>Lay</t>
        </is>
      </c>
      <c r="G141" s="47" t="inlineStr">
        <is>
          <t>Lay</t>
        </is>
      </c>
      <c r="H141" s="48" t="n">
        <v>4.5</v>
      </c>
      <c r="I141" s="48" t="n">
        <v>1.95</v>
      </c>
      <c r="J141" s="22" t="n">
        <v>-0.1611</v>
      </c>
      <c r="K141" s="49" t="n">
        <v>1</v>
      </c>
      <c r="L141" s="21" t="n">
        <v>8</v>
      </c>
      <c r="M141" s="50" t="inlineStr">
        <is>
          <t>Win</t>
        </is>
      </c>
      <c r="N141" s="23">
        <f>IF(M141="Win",IF(F141="Bet",(I141-1)*K141,K141),IF(M141="Loss",IF(F141="Bet",-K141,-(I141-1)*K141),IF(M141="Void",0,"")))</f>
        <v/>
      </c>
      <c r="O141" s="24">
        <f>IF(OR(M141="Win",M141="Loss"),IF(F141="Bet",K141,(I141-1)*K141),"")</f>
        <v/>
      </c>
    </row>
    <row r="142">
      <c r="A142" s="37" t="n">
        <v>46281</v>
      </c>
      <c r="B142" s="38" t="inlineStr">
        <is>
          <t>Canterbury</t>
        </is>
      </c>
      <c r="C142" s="15" t="n">
        <v>6</v>
      </c>
      <c r="D142" s="15" t="n">
        <v>5</v>
      </c>
      <c r="E142" s="14" t="inlineStr">
        <is>
          <t>Taxation</t>
        </is>
      </c>
      <c r="F142" s="43" t="inlineStr">
        <is>
          <t>Lay</t>
        </is>
      </c>
      <c r="G142" s="47" t="inlineStr">
        <is>
          <t>Lay</t>
        </is>
      </c>
      <c r="H142" s="41" t="n">
        <v>2.55</v>
      </c>
      <c r="I142" s="41" t="n">
        <v>1.51</v>
      </c>
      <c r="J142" s="16" t="n">
        <v>-0.1608</v>
      </c>
      <c r="K142" s="42" t="n">
        <v>1</v>
      </c>
      <c r="L142" s="15" t="n">
        <v>2</v>
      </c>
      <c r="M142" s="51" t="inlineStr">
        <is>
          <t>Win</t>
        </is>
      </c>
      <c r="N142" s="17">
        <f>IF(M142="Win",IF(F142="Bet",(I142-1)*K142,K142),IF(M142="Loss",IF(F142="Bet",-K142,-(I142-1)*K142),IF(M142="Void",0,"")))</f>
        <v/>
      </c>
      <c r="O142" s="18">
        <f>IF(OR(M142="Win",M142="Loss"),IF(F142="Bet",K142,(I142-1)*K142),"")</f>
        <v/>
      </c>
    </row>
    <row r="143">
      <c r="A143" s="44" t="n">
        <v>46281</v>
      </c>
      <c r="B143" s="45" t="inlineStr">
        <is>
          <t>Belmont</t>
        </is>
      </c>
      <c r="C143" s="21" t="n">
        <v>4</v>
      </c>
      <c r="D143" s="21" t="n">
        <v>5</v>
      </c>
      <c r="E143" s="20" t="inlineStr">
        <is>
          <t>Cheeto</t>
        </is>
      </c>
      <c r="F143" s="46" t="inlineStr">
        <is>
          <t>Lay</t>
        </is>
      </c>
      <c r="G143" s="47" t="inlineStr">
        <is>
          <t>Lay</t>
        </is>
      </c>
      <c r="H143" s="48" t="n">
        <v>3.4</v>
      </c>
      <c r="I143" s="48" t="n">
        <v>1.8</v>
      </c>
      <c r="J143" s="22" t="n">
        <v>-0.1778</v>
      </c>
      <c r="K143" s="49" t="n">
        <v>1</v>
      </c>
      <c r="L143" s="21" t="n">
        <v>8</v>
      </c>
      <c r="M143" s="50" t="inlineStr">
        <is>
          <t>Win</t>
        </is>
      </c>
      <c r="N143" s="23">
        <f>IF(M143="Win",IF(F143="Bet",(I143-1)*K143,K143),IF(M143="Loss",IF(F143="Bet",-K143,-(I143-1)*K143),IF(M143="Void",0,"")))</f>
        <v/>
      </c>
      <c r="O143" s="24">
        <f>IF(OR(M143="Win",M143="Loss"),IF(F143="Bet",K143,(I143-1)*K143),"")</f>
        <v/>
      </c>
    </row>
    <row r="144">
      <c r="A144" s="37" t="n">
        <v>46281</v>
      </c>
      <c r="B144" s="38" t="inlineStr">
        <is>
          <t>Belmont</t>
        </is>
      </c>
      <c r="C144" s="15" t="n">
        <v>7</v>
      </c>
      <c r="D144" s="15" t="n">
        <v>5</v>
      </c>
      <c r="E144" s="14" t="inlineStr">
        <is>
          <t>Vampi Queen</t>
        </is>
      </c>
      <c r="F144" s="43" t="inlineStr">
        <is>
          <t>Lay</t>
        </is>
      </c>
      <c r="G144" s="47" t="inlineStr">
        <is>
          <t>Lay</t>
        </is>
      </c>
      <c r="H144" s="41" t="n">
        <v>6</v>
      </c>
      <c r="I144" s="41" t="n">
        <v>2.5</v>
      </c>
      <c r="J144" s="16" t="n">
        <v>-0.1913</v>
      </c>
      <c r="K144" s="42" t="n">
        <v>1</v>
      </c>
      <c r="L144" s="15" t="n">
        <v>1</v>
      </c>
      <c r="M144" s="43" t="inlineStr">
        <is>
          <t>Loss</t>
        </is>
      </c>
      <c r="N144" s="17">
        <f>IF(M144="Win",IF(F144="Bet",(I144-1)*K144,K144),IF(M144="Loss",IF(F144="Bet",-K144,-(I144-1)*K144),IF(M144="Void",0,"")))</f>
        <v/>
      </c>
      <c r="O144" s="18">
        <f>IF(OR(M144="Win",M144="Loss"),IF(F144="Bet",K144,(I144-1)*K144),"")</f>
        <v/>
      </c>
    </row>
    <row r="145">
      <c r="A145" s="44" t="n">
        <v>46281</v>
      </c>
      <c r="B145" s="45" t="inlineStr">
        <is>
          <t>Caulfield Heath</t>
        </is>
      </c>
      <c r="C145" s="21" t="n">
        <v>2</v>
      </c>
      <c r="D145" s="21" t="n">
        <v>2</v>
      </c>
      <c r="E145" s="20" t="inlineStr">
        <is>
          <t>Lake Vostok</t>
        </is>
      </c>
      <c r="F145" s="52" t="inlineStr">
        <is>
          <t>Bet</t>
        </is>
      </c>
      <c r="G145" s="40" t="inlineStr">
        <is>
          <t>Bet</t>
        </is>
      </c>
      <c r="H145" s="48" t="n">
        <v>5.6</v>
      </c>
      <c r="I145" s="48" t="n">
        <v>7</v>
      </c>
      <c r="J145" s="22" t="n">
        <v>0.0355</v>
      </c>
      <c r="K145" s="49" t="n">
        <v>1</v>
      </c>
      <c r="L145" s="21" t="n"/>
      <c r="M145" s="55" t="inlineStr">
        <is>
          <t>Void</t>
        </is>
      </c>
      <c r="N145" s="23">
        <f>IF(M145="Win",IF(F145="Bet",(I145-1)*K145,K145),IF(M145="Loss",IF(F145="Bet",-K145,-(I145-1)*K145),IF(M145="Void",0,"")))</f>
        <v/>
      </c>
      <c r="O145" s="24">
        <f>IF(OR(M145="Win",M145="Loss"),IF(F145="Bet",K145,(I145-1)*K145),"")</f>
        <v/>
      </c>
    </row>
    <row r="146">
      <c r="A146" s="37" t="n">
        <v>46281</v>
      </c>
      <c r="B146" s="38" t="inlineStr">
        <is>
          <t>Canterbury</t>
        </is>
      </c>
      <c r="C146" s="15" t="n">
        <v>4</v>
      </c>
      <c r="D146" s="15" t="n">
        <v>8</v>
      </c>
      <c r="E146" s="14" t="inlineStr">
        <is>
          <t>Ertijaaj</t>
        </is>
      </c>
      <c r="F146" s="43" t="inlineStr">
        <is>
          <t>Lay</t>
        </is>
      </c>
      <c r="G146" s="47" t="inlineStr">
        <is>
          <t>Lay</t>
        </is>
      </c>
      <c r="H146" s="41" t="n">
        <v>10.4</v>
      </c>
      <c r="I146" s="41" t="n">
        <v>4.2</v>
      </c>
      <c r="J146" s="16" t="n">
        <v>-0.1417</v>
      </c>
      <c r="K146" s="42" t="n">
        <v>1</v>
      </c>
      <c r="L146" s="15" t="n"/>
      <c r="M146" s="54" t="inlineStr">
        <is>
          <t>Void</t>
        </is>
      </c>
      <c r="N146" s="17">
        <f>IF(M146="Win",IF(F146="Bet",(I146-1)*K146,K146),IF(M146="Loss",IF(F146="Bet",-K146,-(I146-1)*K146),IF(M146="Void",0,"")))</f>
        <v/>
      </c>
      <c r="O146" s="18">
        <f>IF(OR(M146="Win",M146="Loss"),IF(F146="Bet",K146,(I146-1)*K146),"")</f>
        <v/>
      </c>
    </row>
    <row r="147">
      <c r="A147" s="44" t="n">
        <v>46281</v>
      </c>
      <c r="B147" s="45" t="inlineStr">
        <is>
          <t>Caulfield Heath</t>
        </is>
      </c>
      <c r="C147" s="21" t="n">
        <v>1</v>
      </c>
      <c r="D147" s="21" t="n">
        <v>1</v>
      </c>
      <c r="E147" s="20" t="inlineStr">
        <is>
          <t>Corviglia</t>
        </is>
      </c>
      <c r="F147" s="52" t="inlineStr">
        <is>
          <t>Bet</t>
        </is>
      </c>
      <c r="G147" s="53" t="inlineStr">
        <is>
          <t>Prime</t>
        </is>
      </c>
      <c r="H147" s="48" t="n">
        <v>5.3</v>
      </c>
      <c r="I147" s="48" t="n">
        <v>9.359999999999999</v>
      </c>
      <c r="J147" s="22" t="n">
        <v>0.065</v>
      </c>
      <c r="K147" s="49" t="n">
        <v>1</v>
      </c>
      <c r="L147" s="21" t="n">
        <v>2</v>
      </c>
      <c r="M147" s="46" t="inlineStr">
        <is>
          <t>Loss</t>
        </is>
      </c>
      <c r="N147" s="23">
        <f>IF(M147="Win",IF(F147="Bet",(I147-1)*K147,K147),IF(M147="Loss",IF(F147="Bet",-K147,-(I147-1)*K147),IF(M147="Void",0,"")))</f>
        <v/>
      </c>
      <c r="O147" s="24">
        <f>IF(OR(M147="Win",M147="Loss"),IF(F147="Bet",K147,(I147-1)*K147),"")</f>
        <v/>
      </c>
    </row>
    <row r="148">
      <c r="A148" s="37" t="n">
        <v>46281</v>
      </c>
      <c r="B148" s="38" t="inlineStr">
        <is>
          <t>Launceston</t>
        </is>
      </c>
      <c r="C148" s="15" t="n">
        <v>6</v>
      </c>
      <c r="D148" s="15" t="n">
        <v>3</v>
      </c>
      <c r="E148" s="14" t="inlineStr">
        <is>
          <t>Vinraam</t>
        </is>
      </c>
      <c r="F148" s="43" t="inlineStr">
        <is>
          <t>Lay</t>
        </is>
      </c>
      <c r="G148" s="47" t="inlineStr">
        <is>
          <t>Lay</t>
        </is>
      </c>
      <c r="H148" s="41" t="n">
        <v>7.1</v>
      </c>
      <c r="I148" s="41" t="n">
        <v>3.4</v>
      </c>
      <c r="J148" s="16" t="n">
        <v>-0.1535</v>
      </c>
      <c r="K148" s="42" t="n">
        <v>1</v>
      </c>
      <c r="L148" s="15" t="n">
        <v>5</v>
      </c>
      <c r="M148" s="51" t="inlineStr">
        <is>
          <t>Win</t>
        </is>
      </c>
      <c r="N148" s="17">
        <f>IF(M148="Win",IF(F148="Bet",(I148-1)*K148,K148),IF(M148="Loss",IF(F148="Bet",-K148,-(I148-1)*K148),IF(M148="Void",0,"")))</f>
        <v/>
      </c>
      <c r="O148" s="18">
        <f>IF(OR(M148="Win",M148="Loss"),IF(F148="Bet",K148,(I148-1)*K148),"")</f>
        <v/>
      </c>
    </row>
    <row r="149">
      <c r="A149" s="44" t="n">
        <v>46281</v>
      </c>
      <c r="B149" s="45" t="inlineStr">
        <is>
          <t>Balaklava</t>
        </is>
      </c>
      <c r="C149" s="21" t="n">
        <v>1</v>
      </c>
      <c r="D149" s="21" t="n">
        <v>1</v>
      </c>
      <c r="E149" s="20" t="inlineStr">
        <is>
          <t>Sidebar</t>
        </is>
      </c>
      <c r="F149" s="52" t="inlineStr">
        <is>
          <t>Bet</t>
        </is>
      </c>
      <c r="G149" s="40" t="inlineStr">
        <is>
          <t>Bet</t>
        </is>
      </c>
      <c r="H149" s="48" t="n">
        <v>5.9</v>
      </c>
      <c r="I149" s="48" t="n">
        <v>10.5</v>
      </c>
      <c r="J149" s="22" t="n">
        <v>0.0262</v>
      </c>
      <c r="K149" s="49" t="n">
        <v>1</v>
      </c>
      <c r="L149" s="21" t="n">
        <v>4</v>
      </c>
      <c r="M149" s="46" t="inlineStr">
        <is>
          <t>Loss</t>
        </is>
      </c>
      <c r="N149" s="23">
        <f>IF(M149="Win",IF(F149="Bet",(I149-1)*K149,K149),IF(M149="Loss",IF(F149="Bet",-K149,-(I149-1)*K149),IF(M149="Void",0,"")))</f>
        <v/>
      </c>
      <c r="O149" s="24">
        <f>IF(OR(M149="Win",M149="Loss"),IF(F149="Bet",K149,(I149-1)*K149),"")</f>
        <v/>
      </c>
    </row>
    <row r="150">
      <c r="A150" s="37" t="n">
        <v>46281</v>
      </c>
      <c r="B150" s="38" t="inlineStr">
        <is>
          <t>Doomben</t>
        </is>
      </c>
      <c r="C150" s="15" t="n">
        <v>3</v>
      </c>
      <c r="D150" s="15" t="n">
        <v>9</v>
      </c>
      <c r="E150" s="14" t="inlineStr">
        <is>
          <t>Flaressence</t>
        </is>
      </c>
      <c r="F150" s="39" t="inlineStr">
        <is>
          <t>Bet</t>
        </is>
      </c>
      <c r="G150" s="40" t="inlineStr">
        <is>
          <t>Bet</t>
        </is>
      </c>
      <c r="H150" s="41" t="n">
        <v>3.9</v>
      </c>
      <c r="I150" s="41" t="n">
        <v>6</v>
      </c>
      <c r="J150" s="16" t="n">
        <v>0.0388</v>
      </c>
      <c r="K150" s="42" t="n">
        <v>1</v>
      </c>
      <c r="L150" s="15" t="n">
        <v>2</v>
      </c>
      <c r="M150" s="43" t="inlineStr">
        <is>
          <t>Loss</t>
        </is>
      </c>
      <c r="N150" s="17">
        <f>IF(M150="Win",IF(F150="Bet",(I150-1)*K150,K150),IF(M150="Loss",IF(F150="Bet",-K150,-(I150-1)*K150),IF(M150="Void",0,"")))</f>
        <v/>
      </c>
      <c r="O150" s="18">
        <f>IF(OR(M150="Win",M150="Loss"),IF(F150="Bet",K150,(I150-1)*K150),"")</f>
        <v/>
      </c>
    </row>
    <row r="151">
      <c r="A151" s="44" t="n">
        <v>46281</v>
      </c>
      <c r="B151" s="45" t="inlineStr">
        <is>
          <t>Caulfield Heath</t>
        </is>
      </c>
      <c r="C151" s="21" t="n">
        <v>7</v>
      </c>
      <c r="D151" s="21" t="n">
        <v>4</v>
      </c>
      <c r="E151" s="20" t="inlineStr">
        <is>
          <t>Rhapsody Chic</t>
        </is>
      </c>
      <c r="F151" s="52" t="inlineStr">
        <is>
          <t>Bet</t>
        </is>
      </c>
      <c r="G151" s="40" t="inlineStr">
        <is>
          <t>Bet</t>
        </is>
      </c>
      <c r="H151" s="48" t="n">
        <v>11.7</v>
      </c>
      <c r="I151" s="48" t="n">
        <v>31</v>
      </c>
      <c r="J151" s="22" t="n">
        <v>0.0264</v>
      </c>
      <c r="K151" s="49" t="n">
        <v>1</v>
      </c>
      <c r="L151" s="21" t="n">
        <v>8</v>
      </c>
      <c r="M151" s="46" t="inlineStr">
        <is>
          <t>Loss</t>
        </is>
      </c>
      <c r="N151" s="23">
        <f>IF(M151="Win",IF(F151="Bet",(I151-1)*K151,K151),IF(M151="Loss",IF(F151="Bet",-K151,-(I151-1)*K151),IF(M151="Void",0,"")))</f>
        <v/>
      </c>
      <c r="O151" s="24">
        <f>IF(OR(M151="Win",M151="Loss"),IF(F151="Bet",K151,(I151-1)*K151),"")</f>
        <v/>
      </c>
    </row>
    <row r="152">
      <c r="A152" s="37" t="n">
        <v>46281</v>
      </c>
      <c r="B152" s="38" t="inlineStr">
        <is>
          <t>Launceston</t>
        </is>
      </c>
      <c r="C152" s="15" t="n">
        <v>6</v>
      </c>
      <c r="D152" s="15" t="n">
        <v>2</v>
      </c>
      <c r="E152" s="14" t="inlineStr">
        <is>
          <t>Bailed</t>
        </is>
      </c>
      <c r="F152" s="43" t="inlineStr">
        <is>
          <t>Lay</t>
        </is>
      </c>
      <c r="G152" s="47" t="inlineStr">
        <is>
          <t>Lay</t>
        </is>
      </c>
      <c r="H152" s="41" t="n">
        <v>5.5</v>
      </c>
      <c r="I152" s="41" t="n">
        <v>2.6</v>
      </c>
      <c r="J152" s="16" t="n">
        <v>-0.1627</v>
      </c>
      <c r="K152" s="42" t="n">
        <v>1</v>
      </c>
      <c r="L152" s="15" t="n">
        <v>3</v>
      </c>
      <c r="M152" s="51" t="inlineStr">
        <is>
          <t>Win</t>
        </is>
      </c>
      <c r="N152" s="17">
        <f>IF(M152="Win",IF(F152="Bet",(I152-1)*K152,K152),IF(M152="Loss",IF(F152="Bet",-K152,-(I152-1)*K152),IF(M152="Void",0,"")))</f>
        <v/>
      </c>
      <c r="O152" s="18">
        <f>IF(OR(M152="Win",M152="Loss"),IF(F152="Bet",K152,(I152-1)*K152),"")</f>
        <v/>
      </c>
    </row>
    <row r="153">
      <c r="A153" s="44" t="n">
        <v>46281</v>
      </c>
      <c r="B153" s="45" t="inlineStr">
        <is>
          <t>Canterbury</t>
        </is>
      </c>
      <c r="C153" s="21" t="n">
        <v>5</v>
      </c>
      <c r="D153" s="21" t="n">
        <v>1</v>
      </c>
      <c r="E153" s="20" t="inlineStr">
        <is>
          <t>Tremonti</t>
        </is>
      </c>
      <c r="F153" s="52" t="inlineStr">
        <is>
          <t>Bet</t>
        </is>
      </c>
      <c r="G153" s="40" t="inlineStr">
        <is>
          <t>Bet</t>
        </is>
      </c>
      <c r="H153" s="48" t="n">
        <v>9.1</v>
      </c>
      <c r="I153" s="48" t="n">
        <v>21</v>
      </c>
      <c r="J153" s="22" t="n">
        <v>0.0426</v>
      </c>
      <c r="K153" s="49" t="n">
        <v>1</v>
      </c>
      <c r="L153" s="21" t="n">
        <v>10</v>
      </c>
      <c r="M153" s="46" t="inlineStr">
        <is>
          <t>Loss</t>
        </is>
      </c>
      <c r="N153" s="23">
        <f>IF(M153="Win",IF(F153="Bet",(I153-1)*K153,K153),IF(M153="Loss",IF(F153="Bet",-K153,-(I153-1)*K153),IF(M153="Void",0,"")))</f>
        <v/>
      </c>
      <c r="O153" s="24">
        <f>IF(OR(M153="Win",M153="Loss"),IF(F153="Bet",K153,(I153-1)*K153),"")</f>
        <v/>
      </c>
    </row>
    <row r="154">
      <c r="A154" s="37" t="n">
        <v>46281</v>
      </c>
      <c r="B154" s="38" t="inlineStr">
        <is>
          <t>Balaklava</t>
        </is>
      </c>
      <c r="C154" s="15" t="n">
        <v>8</v>
      </c>
      <c r="D154" s="15" t="n">
        <v>8</v>
      </c>
      <c r="E154" s="14" t="inlineStr">
        <is>
          <t>Embellisher</t>
        </is>
      </c>
      <c r="F154" s="43" t="inlineStr">
        <is>
          <t>Lay</t>
        </is>
      </c>
      <c r="G154" s="47" t="inlineStr">
        <is>
          <t>Lay</t>
        </is>
      </c>
      <c r="H154" s="41" t="n">
        <v>7.3</v>
      </c>
      <c r="I154" s="41" t="n">
        <v>3.1</v>
      </c>
      <c r="J154" s="16" t="n">
        <v>-0.1494</v>
      </c>
      <c r="K154" s="42" t="n">
        <v>1</v>
      </c>
      <c r="L154" s="15" t="n">
        <v>4</v>
      </c>
      <c r="M154" s="51" t="inlineStr">
        <is>
          <t>Win</t>
        </is>
      </c>
      <c r="N154" s="17">
        <f>IF(M154="Win",IF(F154="Bet",(I154-1)*K154,K154),IF(M154="Loss",IF(F154="Bet",-K154,-(I154-1)*K154),IF(M154="Void",0,"")))</f>
        <v/>
      </c>
      <c r="O154" s="18">
        <f>IF(OR(M154="Win",M154="Loss"),IF(F154="Bet",K154,(I154-1)*K154),"")</f>
        <v/>
      </c>
    </row>
    <row r="155">
      <c r="A155" s="44" t="n">
        <v>46281</v>
      </c>
      <c r="B155" s="45" t="inlineStr">
        <is>
          <t>Belmont</t>
        </is>
      </c>
      <c r="C155" s="21" t="n">
        <v>6</v>
      </c>
      <c r="D155" s="21" t="n">
        <v>7</v>
      </c>
      <c r="E155" s="20" t="inlineStr">
        <is>
          <t>Streamlined</t>
        </is>
      </c>
      <c r="F155" s="46" t="inlineStr">
        <is>
          <t>Lay</t>
        </is>
      </c>
      <c r="G155" s="47" t="inlineStr">
        <is>
          <t>Lay</t>
        </is>
      </c>
      <c r="H155" s="48" t="n">
        <v>3.1</v>
      </c>
      <c r="I155" s="48" t="n">
        <v>2.25</v>
      </c>
      <c r="J155" s="22" t="n">
        <v>-0.1047</v>
      </c>
      <c r="K155" s="49" t="n">
        <v>1</v>
      </c>
      <c r="L155" s="21" t="n">
        <v>1</v>
      </c>
      <c r="M155" s="46" t="inlineStr">
        <is>
          <t>Loss</t>
        </is>
      </c>
      <c r="N155" s="23">
        <f>IF(M155="Win",IF(F155="Bet",(I155-1)*K155,K155),IF(M155="Loss",IF(F155="Bet",-K155,-(I155-1)*K155),IF(M155="Void",0,"")))</f>
        <v/>
      </c>
      <c r="O155" s="24">
        <f>IF(OR(M155="Win",M155="Loss"),IF(F155="Bet",K155,(I155-1)*K155),"")</f>
        <v/>
      </c>
    </row>
    <row r="156">
      <c r="A156" s="37" t="n">
        <v>46281</v>
      </c>
      <c r="B156" s="38" t="inlineStr">
        <is>
          <t>Doomben</t>
        </is>
      </c>
      <c r="C156" s="15" t="n">
        <v>5</v>
      </c>
      <c r="D156" s="15" t="n">
        <v>1</v>
      </c>
      <c r="E156" s="14" t="inlineStr">
        <is>
          <t>Global Eclipse</t>
        </is>
      </c>
      <c r="F156" s="43" t="inlineStr">
        <is>
          <t>Lay</t>
        </is>
      </c>
      <c r="G156" s="47" t="inlineStr">
        <is>
          <t>Lay</t>
        </is>
      </c>
      <c r="H156" s="41" t="n">
        <v>4</v>
      </c>
      <c r="I156" s="41" t="n">
        <v>2.9</v>
      </c>
      <c r="J156" s="16" t="n">
        <v>-0.1072</v>
      </c>
      <c r="K156" s="42" t="n">
        <v>1</v>
      </c>
      <c r="L156" s="15" t="n">
        <v>1</v>
      </c>
      <c r="M156" s="43" t="inlineStr">
        <is>
          <t>Loss</t>
        </is>
      </c>
      <c r="N156" s="17">
        <f>IF(M156="Win",IF(F156="Bet",(I156-1)*K156,K156),IF(M156="Loss",IF(F156="Bet",-K156,-(I156-1)*K156),IF(M156="Void",0,"")))</f>
        <v/>
      </c>
      <c r="O156" s="18">
        <f>IF(OR(M156="Win",M156="Loss"),IF(F156="Bet",K156,(I156-1)*K156),"")</f>
        <v/>
      </c>
    </row>
    <row r="157">
      <c r="A157" s="44" t="n">
        <v>46281</v>
      </c>
      <c r="B157" s="45" t="inlineStr">
        <is>
          <t>Doomben</t>
        </is>
      </c>
      <c r="C157" s="21" t="n">
        <v>6</v>
      </c>
      <c r="D157" s="21" t="n">
        <v>4</v>
      </c>
      <c r="E157" s="20" t="inlineStr">
        <is>
          <t>Lockyer</t>
        </is>
      </c>
      <c r="F157" s="46" t="inlineStr">
        <is>
          <t>Lay</t>
        </is>
      </c>
      <c r="G157" s="47" t="inlineStr">
        <is>
          <t>Lay</t>
        </is>
      </c>
      <c r="H157" s="48" t="n">
        <v>3.1</v>
      </c>
      <c r="I157" s="48" t="n">
        <v>2.25</v>
      </c>
      <c r="J157" s="22" t="n">
        <v>-0.107</v>
      </c>
      <c r="K157" s="49" t="n">
        <v>1</v>
      </c>
      <c r="L157" s="21" t="n">
        <v>1</v>
      </c>
      <c r="M157" s="46" t="inlineStr">
        <is>
          <t>Loss</t>
        </is>
      </c>
      <c r="N157" s="23">
        <f>IF(M157="Win",IF(F157="Bet",(I157-1)*K157,K157),IF(M157="Loss",IF(F157="Bet",-K157,-(I157-1)*K157),IF(M157="Void",0,"")))</f>
        <v/>
      </c>
      <c r="O157" s="24">
        <f>IF(OR(M157="Win",M157="Loss"),IF(F157="Bet",K157,(I157-1)*K157),"")</f>
        <v/>
      </c>
    </row>
    <row r="158">
      <c r="A158" s="37" t="n">
        <v>46281</v>
      </c>
      <c r="B158" s="38" t="inlineStr">
        <is>
          <t>Balaklava</t>
        </is>
      </c>
      <c r="C158" s="15" t="n">
        <v>8</v>
      </c>
      <c r="D158" s="15" t="n">
        <v>1</v>
      </c>
      <c r="E158" s="14" t="inlineStr">
        <is>
          <t>Super Lad</t>
        </is>
      </c>
      <c r="F158" s="39" t="inlineStr">
        <is>
          <t>Bet</t>
        </is>
      </c>
      <c r="G158" s="40" t="inlineStr">
        <is>
          <t>Bet</t>
        </is>
      </c>
      <c r="H158" s="41" t="n">
        <v>5.2</v>
      </c>
      <c r="I158" s="41" t="n">
        <v>6</v>
      </c>
      <c r="J158" s="16" t="n">
        <v>0.0257</v>
      </c>
      <c r="K158" s="42" t="n">
        <v>1</v>
      </c>
      <c r="L158" s="15" t="n">
        <v>5</v>
      </c>
      <c r="M158" s="43" t="inlineStr">
        <is>
          <t>Loss</t>
        </is>
      </c>
      <c r="N158" s="17">
        <f>IF(M158="Win",IF(F158="Bet",(I158-1)*K158,K158),IF(M158="Loss",IF(F158="Bet",-K158,-(I158-1)*K158),IF(M158="Void",0,"")))</f>
        <v/>
      </c>
      <c r="O158" s="18">
        <f>IF(OR(M158="Win",M158="Loss"),IF(F158="Bet",K158,(I158-1)*K158),"")</f>
        <v/>
      </c>
    </row>
    <row r="159">
      <c r="A159" s="44" t="n">
        <v>46281</v>
      </c>
      <c r="B159" s="45" t="inlineStr">
        <is>
          <t>Balaklava</t>
        </is>
      </c>
      <c r="C159" s="21" t="n">
        <v>10</v>
      </c>
      <c r="D159" s="21" t="n">
        <v>3</v>
      </c>
      <c r="E159" s="20" t="inlineStr">
        <is>
          <t>Uptown Monk</t>
        </is>
      </c>
      <c r="F159" s="46" t="inlineStr">
        <is>
          <t>Lay</t>
        </is>
      </c>
      <c r="G159" s="47" t="inlineStr">
        <is>
          <t>Lay</t>
        </is>
      </c>
      <c r="H159" s="48" t="n">
        <v>3.7</v>
      </c>
      <c r="I159" s="48" t="n">
        <v>2.4</v>
      </c>
      <c r="J159" s="22" t="n">
        <v>-0.1074</v>
      </c>
      <c r="K159" s="49" t="n">
        <v>1</v>
      </c>
      <c r="L159" s="21" t="n">
        <v>1</v>
      </c>
      <c r="M159" s="46" t="inlineStr">
        <is>
          <t>Loss</t>
        </is>
      </c>
      <c r="N159" s="23">
        <f>IF(M159="Win",IF(F159="Bet",(I159-1)*K159,K159),IF(M159="Loss",IF(F159="Bet",-K159,-(I159-1)*K159),IF(M159="Void",0,"")))</f>
        <v/>
      </c>
      <c r="O159" s="24">
        <f>IF(OR(M159="Win",M159="Loss"),IF(F159="Bet",K159,(I159-1)*K159),"")</f>
        <v/>
      </c>
    </row>
    <row r="160">
      <c r="A160" s="37" t="n">
        <v>46281</v>
      </c>
      <c r="B160" s="38" t="inlineStr">
        <is>
          <t>Doomben</t>
        </is>
      </c>
      <c r="C160" s="15" t="n">
        <v>5</v>
      </c>
      <c r="D160" s="15" t="n">
        <v>3</v>
      </c>
      <c r="E160" s="14" t="inlineStr">
        <is>
          <t>Captain Eagle</t>
        </is>
      </c>
      <c r="F160" s="39" t="inlineStr">
        <is>
          <t>Bet</t>
        </is>
      </c>
      <c r="G160" s="40" t="inlineStr">
        <is>
          <t>Bet</t>
        </is>
      </c>
      <c r="H160" s="41" t="n">
        <v>8.6</v>
      </c>
      <c r="I160" s="41" t="n">
        <v>11</v>
      </c>
      <c r="J160" s="16" t="n">
        <v>0.0252</v>
      </c>
      <c r="K160" s="42" t="n">
        <v>1</v>
      </c>
      <c r="L160" s="15" t="n">
        <v>8</v>
      </c>
      <c r="M160" s="43" t="inlineStr">
        <is>
          <t>Loss</t>
        </is>
      </c>
      <c r="N160" s="17">
        <f>IF(M160="Win",IF(F160="Bet",(I160-1)*K160,K160),IF(M160="Loss",IF(F160="Bet",-K160,-(I160-1)*K160),IF(M160="Void",0,"")))</f>
        <v/>
      </c>
      <c r="O160" s="18">
        <f>IF(OR(M160="Win",M160="Loss"),IF(F160="Bet",K160,(I160-1)*K160),"")</f>
        <v/>
      </c>
    </row>
    <row r="161">
      <c r="A161" s="44" t="n">
        <v>46281</v>
      </c>
      <c r="B161" s="45" t="inlineStr">
        <is>
          <t>Canterbury</t>
        </is>
      </c>
      <c r="C161" s="21" t="n">
        <v>5</v>
      </c>
      <c r="D161" s="21" t="n">
        <v>8</v>
      </c>
      <c r="E161" s="20" t="inlineStr">
        <is>
          <t>Whatalegacy</t>
        </is>
      </c>
      <c r="F161" s="46" t="inlineStr">
        <is>
          <t>Lay</t>
        </is>
      </c>
      <c r="G161" s="47" t="inlineStr">
        <is>
          <t>Lay</t>
        </is>
      </c>
      <c r="H161" s="48" t="n">
        <v>2.85</v>
      </c>
      <c r="I161" s="48" t="n">
        <v>2.1</v>
      </c>
      <c r="J161" s="22" t="n">
        <v>-0.1223</v>
      </c>
      <c r="K161" s="49" t="n">
        <v>1</v>
      </c>
      <c r="L161" s="21" t="n">
        <v>1</v>
      </c>
      <c r="M161" s="46" t="inlineStr">
        <is>
          <t>Loss</t>
        </is>
      </c>
      <c r="N161" s="23">
        <f>IF(M161="Win",IF(F161="Bet",(I161-1)*K161,K161),IF(M161="Loss",IF(F161="Bet",-K161,-(I161-1)*K161),IF(M161="Void",0,"")))</f>
        <v/>
      </c>
      <c r="O161" s="24">
        <f>IF(OR(M161="Win",M161="Loss"),IF(F161="Bet",K161,(I161-1)*K161),"")</f>
        <v/>
      </c>
    </row>
    <row r="162">
      <c r="A162" s="37" t="n">
        <v>46281</v>
      </c>
      <c r="B162" s="38" t="inlineStr">
        <is>
          <t>Canterbury</t>
        </is>
      </c>
      <c r="C162" s="15" t="n">
        <v>7</v>
      </c>
      <c r="D162" s="15" t="n">
        <v>9</v>
      </c>
      <c r="E162" s="14" t="inlineStr">
        <is>
          <t>Rileycat</t>
        </is>
      </c>
      <c r="F162" s="39" t="inlineStr">
        <is>
          <t>Bet</t>
        </is>
      </c>
      <c r="G162" s="40" t="inlineStr">
        <is>
          <t>Bet</t>
        </is>
      </c>
      <c r="H162" s="41" t="n">
        <v>11.7</v>
      </c>
      <c r="I162" s="41" t="n">
        <v>17</v>
      </c>
      <c r="J162" s="16" t="n">
        <v>0.027</v>
      </c>
      <c r="K162" s="42" t="n">
        <v>1</v>
      </c>
      <c r="L162" s="15" t="n">
        <v>10</v>
      </c>
      <c r="M162" s="43" t="inlineStr">
        <is>
          <t>Loss</t>
        </is>
      </c>
      <c r="N162" s="17">
        <f>IF(M162="Win",IF(F162="Bet",(I162-1)*K162,K162),IF(M162="Loss",IF(F162="Bet",-K162,-(I162-1)*K162),IF(M162="Void",0,"")))</f>
        <v/>
      </c>
      <c r="O162" s="18">
        <f>IF(OR(M162="Win",M162="Loss"),IF(F162="Bet",K162,(I162-1)*K162),"")</f>
        <v/>
      </c>
    </row>
    <row r="163">
      <c r="A163" s="44" t="n">
        <v>46281</v>
      </c>
      <c r="B163" s="45" t="inlineStr">
        <is>
          <t>Caulfield Heath</t>
        </is>
      </c>
      <c r="C163" s="21" t="n">
        <v>7</v>
      </c>
      <c r="D163" s="21" t="n">
        <v>3</v>
      </c>
      <c r="E163" s="20" t="inlineStr">
        <is>
          <t>Angland</t>
        </is>
      </c>
      <c r="F163" s="52" t="inlineStr">
        <is>
          <t>Bet</t>
        </is>
      </c>
      <c r="G163" s="40" t="inlineStr">
        <is>
          <t>Bet</t>
        </is>
      </c>
      <c r="H163" s="48" t="n">
        <v>10.3</v>
      </c>
      <c r="I163" s="48" t="n">
        <v>14</v>
      </c>
      <c r="J163" s="22" t="n">
        <v>0.0255</v>
      </c>
      <c r="K163" s="49" t="n">
        <v>1</v>
      </c>
      <c r="L163" s="21" t="n">
        <v>3</v>
      </c>
      <c r="M163" s="46" t="inlineStr">
        <is>
          <t>Loss</t>
        </is>
      </c>
      <c r="N163" s="23">
        <f>IF(M163="Win",IF(F163="Bet",(I163-1)*K163,K163),IF(M163="Loss",IF(F163="Bet",-K163,-(I163-1)*K163),IF(M163="Void",0,"")))</f>
        <v/>
      </c>
      <c r="O163" s="24">
        <f>IF(OR(M163="Win",M163="Loss"),IF(F163="Bet",K163,(I163-1)*K163),"")</f>
        <v/>
      </c>
    </row>
    <row r="164">
      <c r="A164" s="37" t="n">
        <v>46282</v>
      </c>
      <c r="B164" s="38" t="inlineStr">
        <is>
          <t>Mornington</t>
        </is>
      </c>
      <c r="C164" s="15" t="n">
        <v>2</v>
      </c>
      <c r="D164" s="15" t="n">
        <v>4</v>
      </c>
      <c r="E164" s="14" t="inlineStr">
        <is>
          <t>Top Conti</t>
        </is>
      </c>
      <c r="F164" s="43" t="inlineStr">
        <is>
          <t>Lay</t>
        </is>
      </c>
      <c r="G164" s="47" t="inlineStr">
        <is>
          <t>Lay</t>
        </is>
      </c>
      <c r="H164" s="41" t="n">
        <v>2.45</v>
      </c>
      <c r="I164" s="41" t="n">
        <v>1.74</v>
      </c>
      <c r="J164" s="16" t="n">
        <v>-0.1485</v>
      </c>
      <c r="K164" s="42" t="n">
        <v>1</v>
      </c>
      <c r="L164" s="15" t="n">
        <v>1</v>
      </c>
      <c r="M164" s="43" t="inlineStr">
        <is>
          <t>Loss</t>
        </is>
      </c>
      <c r="N164" s="17">
        <f>IF(M164="Win",IF(F164="Bet",(I164-1)*K164,K164),IF(M164="Loss",IF(F164="Bet",-K164,-(I164-1)*K164),IF(M164="Void",0,"")))</f>
        <v/>
      </c>
      <c r="O164" s="18">
        <f>IF(OR(M164="Win",M164="Loss"),IF(F164="Bet",K164,(I164-1)*K164),"")</f>
        <v/>
      </c>
    </row>
    <row r="165">
      <c r="A165" s="44" t="n">
        <v>46282</v>
      </c>
      <c r="B165" s="45" t="inlineStr">
        <is>
          <t>Illawarra Grange</t>
        </is>
      </c>
      <c r="C165" s="21" t="n">
        <v>2</v>
      </c>
      <c r="D165" s="21" t="n">
        <v>6</v>
      </c>
      <c r="E165" s="20" t="inlineStr">
        <is>
          <t>Slander</t>
        </is>
      </c>
      <c r="F165" s="46" t="inlineStr">
        <is>
          <t>Lay</t>
        </is>
      </c>
      <c r="G165" s="47" t="inlineStr">
        <is>
          <t>Lay</t>
        </is>
      </c>
      <c r="H165" s="48" t="n">
        <v>3.3</v>
      </c>
      <c r="I165" s="48" t="n">
        <v>1.82</v>
      </c>
      <c r="J165" s="22" t="n">
        <v>-0.1331</v>
      </c>
      <c r="K165" s="49" t="n">
        <v>1</v>
      </c>
      <c r="L165" s="21" t="n">
        <v>1</v>
      </c>
      <c r="M165" s="46" t="inlineStr">
        <is>
          <t>Loss</t>
        </is>
      </c>
      <c r="N165" s="23">
        <f>IF(M165="Win",IF(F165="Bet",(I165-1)*K165,K165),IF(M165="Loss",IF(F165="Bet",-K165,-(I165-1)*K165),IF(M165="Void",0,"")))</f>
        <v/>
      </c>
      <c r="O165" s="24">
        <f>IF(OR(M165="Win",M165="Loss"),IF(F165="Bet",K165,(I165-1)*K165),"")</f>
        <v/>
      </c>
    </row>
    <row r="166">
      <c r="A166" s="37" t="n">
        <v>46282</v>
      </c>
      <c r="B166" s="38" t="inlineStr">
        <is>
          <t>Bunbury</t>
        </is>
      </c>
      <c r="C166" s="15" t="n">
        <v>5</v>
      </c>
      <c r="D166" s="15" t="n">
        <v>7</v>
      </c>
      <c r="E166" s="14" t="inlineStr">
        <is>
          <t>Poppy's Roses</t>
        </is>
      </c>
      <c r="F166" s="43" t="inlineStr">
        <is>
          <t>Lay</t>
        </is>
      </c>
      <c r="G166" s="47" t="inlineStr">
        <is>
          <t>Lay</t>
        </is>
      </c>
      <c r="H166" s="41" t="n">
        <v>2.65</v>
      </c>
      <c r="I166" s="41" t="n">
        <v>2.2</v>
      </c>
      <c r="J166" s="16" t="n">
        <v>-0.1607</v>
      </c>
      <c r="K166" s="42" t="n">
        <v>1</v>
      </c>
      <c r="L166" s="15" t="n">
        <v>3</v>
      </c>
      <c r="M166" s="51" t="inlineStr">
        <is>
          <t>Win</t>
        </is>
      </c>
      <c r="N166" s="17">
        <f>IF(M166="Win",IF(F166="Bet",(I166-1)*K166,K166),IF(M166="Loss",IF(F166="Bet",-K166,-(I166-1)*K166),IF(M166="Void",0,"")))</f>
        <v/>
      </c>
      <c r="O166" s="18">
        <f>IF(OR(M166="Win",M166="Loss"),IF(F166="Bet",K166,(I166-1)*K166),"")</f>
        <v/>
      </c>
    </row>
    <row r="167">
      <c r="A167" s="44" t="n">
        <v>46282</v>
      </c>
      <c r="B167" s="45" t="inlineStr">
        <is>
          <t>Bunbury</t>
        </is>
      </c>
      <c r="C167" s="21" t="n">
        <v>8</v>
      </c>
      <c r="D167" s="21" t="n">
        <v>11</v>
      </c>
      <c r="E167" s="20" t="inlineStr">
        <is>
          <t>Return Of The Mach</t>
        </is>
      </c>
      <c r="F167" s="46" t="inlineStr">
        <is>
          <t>Lay</t>
        </is>
      </c>
      <c r="G167" s="47" t="inlineStr">
        <is>
          <t>Lay</t>
        </is>
      </c>
      <c r="H167" s="48" t="n">
        <v>5.5</v>
      </c>
      <c r="I167" s="48" t="n">
        <v>2.96</v>
      </c>
      <c r="J167" s="22" t="n">
        <v>-0.1107</v>
      </c>
      <c r="K167" s="49" t="n">
        <v>1</v>
      </c>
      <c r="L167" s="21" t="n">
        <v>2</v>
      </c>
      <c r="M167" s="50" t="inlineStr">
        <is>
          <t>Win</t>
        </is>
      </c>
      <c r="N167" s="23">
        <f>IF(M167="Win",IF(F167="Bet",(I167-1)*K167,K167),IF(M167="Loss",IF(F167="Bet",-K167,-(I167-1)*K167),IF(M167="Void",0,"")))</f>
        <v/>
      </c>
      <c r="O167" s="24">
        <f>IF(OR(M167="Win",M167="Loss"),IF(F167="Bet",K167,(I167-1)*K167),"")</f>
        <v/>
      </c>
    </row>
    <row r="168">
      <c r="A168" s="37" t="n">
        <v>46282</v>
      </c>
      <c r="B168" s="38" t="inlineStr">
        <is>
          <t>Illawarra Grange</t>
        </is>
      </c>
      <c r="C168" s="15" t="n">
        <v>7</v>
      </c>
      <c r="D168" s="15" t="n">
        <v>5</v>
      </c>
      <c r="E168" s="14" t="inlineStr">
        <is>
          <t>Lucand Magic</t>
        </is>
      </c>
      <c r="F168" s="43" t="inlineStr">
        <is>
          <t>Lay</t>
        </is>
      </c>
      <c r="G168" s="47" t="inlineStr">
        <is>
          <t>Lay</t>
        </is>
      </c>
      <c r="H168" s="41" t="n">
        <v>3.6</v>
      </c>
      <c r="I168" s="41" t="n">
        <v>2.6</v>
      </c>
      <c r="J168" s="16" t="n">
        <v>-0.122</v>
      </c>
      <c r="K168" s="42" t="n">
        <v>1</v>
      </c>
      <c r="L168" s="15" t="n">
        <v>5</v>
      </c>
      <c r="M168" s="51" t="inlineStr">
        <is>
          <t>Win</t>
        </is>
      </c>
      <c r="N168" s="17">
        <f>IF(M168="Win",IF(F168="Bet",(I168-1)*K168,K168),IF(M168="Loss",IF(F168="Bet",-K168,-(I168-1)*K168),IF(M168="Void",0,"")))</f>
        <v/>
      </c>
      <c r="O168" s="18">
        <f>IF(OR(M168="Win",M168="Loss"),IF(F168="Bet",K168,(I168-1)*K168),"")</f>
        <v/>
      </c>
    </row>
    <row r="169">
      <c r="A169" s="44" t="n">
        <v>46282</v>
      </c>
      <c r="B169" s="45" t="inlineStr">
        <is>
          <t>Beaudesert</t>
        </is>
      </c>
      <c r="C169" s="21" t="n">
        <v>1</v>
      </c>
      <c r="D169" s="21" t="n">
        <v>8</v>
      </c>
      <c r="E169" s="20" t="inlineStr">
        <is>
          <t>Wasai</t>
        </is>
      </c>
      <c r="F169" s="46" t="inlineStr">
        <is>
          <t>Lay</t>
        </is>
      </c>
      <c r="G169" s="47" t="inlineStr">
        <is>
          <t>Lay</t>
        </is>
      </c>
      <c r="H169" s="48" t="n">
        <v>2.35</v>
      </c>
      <c r="I169" s="48" t="n">
        <v>1.75</v>
      </c>
      <c r="J169" s="22" t="n">
        <v>-0.1418</v>
      </c>
      <c r="K169" s="49" t="n">
        <v>1</v>
      </c>
      <c r="L169" s="21" t="n">
        <v>3</v>
      </c>
      <c r="M169" s="50" t="inlineStr">
        <is>
          <t>Win</t>
        </is>
      </c>
      <c r="N169" s="23">
        <f>IF(M169="Win",IF(F169="Bet",(I169-1)*K169,K169),IF(M169="Loss",IF(F169="Bet",-K169,-(I169-1)*K169),IF(M169="Void",0,"")))</f>
        <v/>
      </c>
      <c r="O169" s="24">
        <f>IF(OR(M169="Win",M169="Loss"),IF(F169="Bet",K169,(I169-1)*K169),"")</f>
        <v/>
      </c>
    </row>
    <row r="170">
      <c r="A170" s="37" t="n">
        <v>46282</v>
      </c>
      <c r="B170" s="38" t="inlineStr">
        <is>
          <t>Mornington</t>
        </is>
      </c>
      <c r="C170" s="15" t="n">
        <v>7</v>
      </c>
      <c r="D170" s="15" t="n">
        <v>8</v>
      </c>
      <c r="E170" s="14" t="inlineStr">
        <is>
          <t>Justique</t>
        </is>
      </c>
      <c r="F170" s="43" t="inlineStr">
        <is>
          <t>Lay</t>
        </is>
      </c>
      <c r="G170" s="47" t="inlineStr">
        <is>
          <t>Lay</t>
        </is>
      </c>
      <c r="H170" s="41" t="n">
        <v>7.6</v>
      </c>
      <c r="I170" s="41" t="n">
        <v>4.2</v>
      </c>
      <c r="J170" s="16" t="n">
        <v>-0.1063</v>
      </c>
      <c r="K170" s="42" t="n">
        <v>1</v>
      </c>
      <c r="L170" s="15" t="n"/>
      <c r="M170" s="54" t="inlineStr">
        <is>
          <t>Void</t>
        </is>
      </c>
      <c r="N170" s="17">
        <f>IF(M170="Win",IF(F170="Bet",(I170-1)*K170,K170),IF(M170="Loss",IF(F170="Bet",-K170,-(I170-1)*K170),IF(M170="Void",0,"")))</f>
        <v/>
      </c>
      <c r="O170" s="18">
        <f>IF(OR(M170="Win",M170="Loss"),IF(F170="Bet",K170,(I170-1)*K170),"")</f>
        <v/>
      </c>
    </row>
    <row r="171">
      <c r="A171" s="44" t="n">
        <v>46282</v>
      </c>
      <c r="B171" s="45" t="inlineStr">
        <is>
          <t>Mornington</t>
        </is>
      </c>
      <c r="C171" s="21" t="n">
        <v>1</v>
      </c>
      <c r="D171" s="21" t="n">
        <v>11</v>
      </c>
      <c r="E171" s="20" t="inlineStr">
        <is>
          <t>Adakite</t>
        </is>
      </c>
      <c r="F171" s="46" t="inlineStr">
        <is>
          <t>Lay</t>
        </is>
      </c>
      <c r="G171" s="47" t="inlineStr">
        <is>
          <t>Lay</t>
        </is>
      </c>
      <c r="H171" s="48" t="n">
        <v>3.4</v>
      </c>
      <c r="I171" s="48" t="n">
        <v>2.15</v>
      </c>
      <c r="J171" s="22" t="n">
        <v>-0.122</v>
      </c>
      <c r="K171" s="49" t="n">
        <v>1</v>
      </c>
      <c r="L171" s="21" t="n">
        <v>2</v>
      </c>
      <c r="M171" s="50" t="inlineStr">
        <is>
          <t>Win</t>
        </is>
      </c>
      <c r="N171" s="23">
        <f>IF(M171="Win",IF(F171="Bet",(I171-1)*K171,K171),IF(M171="Loss",IF(F171="Bet",-K171,-(I171-1)*K171),IF(M171="Void",0,"")))</f>
        <v/>
      </c>
      <c r="O171" s="24">
        <f>IF(OR(M171="Win",M171="Loss"),IF(F171="Bet",K171,(I171-1)*K171),"")</f>
        <v/>
      </c>
    </row>
    <row r="172">
      <c r="A172" s="37" t="n">
        <v>46282</v>
      </c>
      <c r="B172" s="38" t="inlineStr">
        <is>
          <t>Beaudesert</t>
        </is>
      </c>
      <c r="C172" s="15" t="n">
        <v>9</v>
      </c>
      <c r="D172" s="15" t="n">
        <v>7</v>
      </c>
      <c r="E172" s="14" t="inlineStr">
        <is>
          <t>Ed I Am</t>
        </is>
      </c>
      <c r="F172" s="43" t="inlineStr">
        <is>
          <t>Lay</t>
        </is>
      </c>
      <c r="G172" s="47" t="inlineStr">
        <is>
          <t>Lay</t>
        </is>
      </c>
      <c r="H172" s="41" t="n">
        <v>3.2</v>
      </c>
      <c r="I172" s="41" t="n">
        <v>2.07</v>
      </c>
      <c r="J172" s="16" t="n">
        <v>-0.0618</v>
      </c>
      <c r="K172" s="42" t="n">
        <v>1</v>
      </c>
      <c r="L172" s="15" t="n">
        <v>1</v>
      </c>
      <c r="M172" s="43" t="inlineStr">
        <is>
          <t>Loss</t>
        </is>
      </c>
      <c r="N172" s="17">
        <f>IF(M172="Win",IF(F172="Bet",(I172-1)*K172,K172),IF(M172="Loss",IF(F172="Bet",-K172,-(I172-1)*K172),IF(M172="Void",0,"")))</f>
        <v/>
      </c>
      <c r="O172" s="18">
        <f>IF(OR(M172="Win",M172="Loss"),IF(F172="Bet",K172,(I172-1)*K172),"")</f>
        <v/>
      </c>
    </row>
    <row r="173">
      <c r="A173" s="44" t="n">
        <v>46282</v>
      </c>
      <c r="B173" s="45" t="inlineStr">
        <is>
          <t>Bunbury</t>
        </is>
      </c>
      <c r="C173" s="21" t="n">
        <v>7</v>
      </c>
      <c r="D173" s="21" t="n">
        <v>4</v>
      </c>
      <c r="E173" s="20" t="inlineStr">
        <is>
          <t>Bondi Star</t>
        </is>
      </c>
      <c r="F173" s="46" t="inlineStr">
        <is>
          <t>Lay</t>
        </is>
      </c>
      <c r="G173" s="47" t="inlineStr">
        <is>
          <t>Lay</t>
        </is>
      </c>
      <c r="H173" s="48" t="n">
        <v>4.7</v>
      </c>
      <c r="I173" s="48" t="n">
        <v>3.4</v>
      </c>
      <c r="J173" s="22" t="n">
        <v>-0.06510000000000001</v>
      </c>
      <c r="K173" s="49" t="n">
        <v>1</v>
      </c>
      <c r="L173" s="21" t="n">
        <v>3</v>
      </c>
      <c r="M173" s="50" t="inlineStr">
        <is>
          <t>Win</t>
        </is>
      </c>
      <c r="N173" s="23">
        <f>IF(M173="Win",IF(F173="Bet",(I173-1)*K173,K173),IF(M173="Loss",IF(F173="Bet",-K173,-(I173-1)*K173),IF(M173="Void",0,"")))</f>
        <v/>
      </c>
      <c r="O173" s="24">
        <f>IF(OR(M173="Win",M173="Loss"),IF(F173="Bet",K173,(I173-1)*K173),"")</f>
        <v/>
      </c>
    </row>
    <row r="174">
      <c r="A174" s="37" t="n">
        <v>46282</v>
      </c>
      <c r="B174" s="38" t="inlineStr">
        <is>
          <t>Bunbury</t>
        </is>
      </c>
      <c r="C174" s="15" t="n">
        <v>8</v>
      </c>
      <c r="D174" s="15" t="n">
        <v>10</v>
      </c>
      <c r="E174" s="14" t="inlineStr">
        <is>
          <t>Looks</t>
        </is>
      </c>
      <c r="F174" s="43" t="inlineStr">
        <is>
          <t>Lay</t>
        </is>
      </c>
      <c r="G174" s="47" t="inlineStr">
        <is>
          <t>Lay</t>
        </is>
      </c>
      <c r="H174" s="41" t="n">
        <v>6.8</v>
      </c>
      <c r="I174" s="41" t="n">
        <v>4.6</v>
      </c>
      <c r="J174" s="16" t="n">
        <v>-0.0696</v>
      </c>
      <c r="K174" s="42" t="n">
        <v>1</v>
      </c>
      <c r="L174" s="15" t="n">
        <v>8</v>
      </c>
      <c r="M174" s="51" t="inlineStr">
        <is>
          <t>Win</t>
        </is>
      </c>
      <c r="N174" s="17">
        <f>IF(M174="Win",IF(F174="Bet",(I174-1)*K174,K174),IF(M174="Loss",IF(F174="Bet",-K174,-(I174-1)*K174),IF(M174="Void",0,"")))</f>
        <v/>
      </c>
      <c r="O174" s="18">
        <f>IF(OR(M174="Win",M174="Loss"),IF(F174="Bet",K174,(I174-1)*K174),"")</f>
        <v/>
      </c>
    </row>
    <row r="175">
      <c r="A175" s="44" t="n">
        <v>46283</v>
      </c>
      <c r="B175" s="45" t="inlineStr">
        <is>
          <t>Canberra</t>
        </is>
      </c>
      <c r="C175" s="21" t="n">
        <v>2</v>
      </c>
      <c r="D175" s="21" t="n">
        <v>2</v>
      </c>
      <c r="E175" s="20" t="inlineStr">
        <is>
          <t>Inna Zou</t>
        </is>
      </c>
      <c r="F175" s="46" t="inlineStr">
        <is>
          <t>Lay</t>
        </is>
      </c>
      <c r="G175" s="47" t="inlineStr">
        <is>
          <t>Lay</t>
        </is>
      </c>
      <c r="H175" s="48" t="n">
        <v>5.5</v>
      </c>
      <c r="I175" s="48" t="n">
        <v>3.3</v>
      </c>
      <c r="J175" s="22" t="n">
        <v>-0.074</v>
      </c>
      <c r="K175" s="49" t="n">
        <v>1</v>
      </c>
      <c r="L175" s="21" t="n">
        <v>2</v>
      </c>
      <c r="M175" s="50" t="inlineStr">
        <is>
          <t>Win</t>
        </is>
      </c>
      <c r="N175" s="23">
        <f>IF(M175="Win",IF(F175="Bet",(I175-1)*K175,K175),IF(M175="Loss",IF(F175="Bet",-K175,-(I175-1)*K175),IF(M175="Void",0,"")))</f>
        <v/>
      </c>
      <c r="O175" s="24">
        <f>IF(OR(M175="Win",M175="Loss"),IF(F175="Bet",K175,(I175-1)*K175),"")</f>
        <v/>
      </c>
    </row>
    <row r="176">
      <c r="A176" s="37" t="n">
        <v>46283</v>
      </c>
      <c r="B176" s="38" t="inlineStr">
        <is>
          <t>Newcastle</t>
        </is>
      </c>
      <c r="C176" s="15" t="n">
        <v>7</v>
      </c>
      <c r="D176" s="15" t="n">
        <v>12</v>
      </c>
      <c r="E176" s="14" t="inlineStr">
        <is>
          <t>Mr Miller</t>
        </is>
      </c>
      <c r="F176" s="43" t="inlineStr">
        <is>
          <t>Lay</t>
        </is>
      </c>
      <c r="G176" s="47" t="inlineStr">
        <is>
          <t>Lay</t>
        </is>
      </c>
      <c r="H176" s="41" t="n">
        <v>3.5</v>
      </c>
      <c r="I176" s="41" t="n">
        <v>1.68</v>
      </c>
      <c r="J176" s="16" t="n">
        <v>-0.105</v>
      </c>
      <c r="K176" s="42" t="n">
        <v>1</v>
      </c>
      <c r="L176" s="15" t="n">
        <v>3</v>
      </c>
      <c r="M176" s="51" t="inlineStr">
        <is>
          <t>Win</t>
        </is>
      </c>
      <c r="N176" s="17">
        <f>IF(M176="Win",IF(F176="Bet",(I176-1)*K176,K176),IF(M176="Loss",IF(F176="Bet",-K176,-(I176-1)*K176),IF(M176="Void",0,"")))</f>
        <v/>
      </c>
      <c r="O176" s="18">
        <f>IF(OR(M176="Win",M176="Loss"),IF(F176="Bet",K176,(I176-1)*K176),"")</f>
        <v/>
      </c>
    </row>
    <row r="177">
      <c r="A177" s="44" t="n">
        <v>46283</v>
      </c>
      <c r="B177" s="45" t="inlineStr">
        <is>
          <t>Ballarat</t>
        </is>
      </c>
      <c r="C177" s="21" t="n">
        <v>1</v>
      </c>
      <c r="D177" s="21" t="n">
        <v>5</v>
      </c>
      <c r="E177" s="20" t="inlineStr">
        <is>
          <t>Aryaam</t>
        </is>
      </c>
      <c r="F177" s="46" t="inlineStr">
        <is>
          <t>Lay</t>
        </is>
      </c>
      <c r="G177" s="47" t="inlineStr">
        <is>
          <t>Lay</t>
        </is>
      </c>
      <c r="H177" s="48" t="n">
        <v>4</v>
      </c>
      <c r="I177" s="48" t="n">
        <v>3.2</v>
      </c>
      <c r="J177" s="22" t="n">
        <v>-0.0604</v>
      </c>
      <c r="K177" s="49" t="n">
        <v>1</v>
      </c>
      <c r="L177" s="21" t="n"/>
      <c r="M177" s="55" t="inlineStr">
        <is>
          <t>Void</t>
        </is>
      </c>
      <c r="N177" s="23">
        <f>IF(M177="Win",IF(F177="Bet",(I177-1)*K177,K177),IF(M177="Loss",IF(F177="Bet",-K177,-(I177-1)*K177),IF(M177="Void",0,"")))</f>
        <v/>
      </c>
      <c r="O177" s="24">
        <f>IF(OR(M177="Win",M177="Loss"),IF(F177="Bet",K177,(I177-1)*K177),"")</f>
        <v/>
      </c>
    </row>
    <row r="178">
      <c r="A178" s="37" t="n">
        <v>46283</v>
      </c>
      <c r="B178" s="38" t="inlineStr">
        <is>
          <t>Canberra</t>
        </is>
      </c>
      <c r="C178" s="15" t="n">
        <v>6</v>
      </c>
      <c r="D178" s="15" t="n">
        <v>11</v>
      </c>
      <c r="E178" s="14" t="inlineStr">
        <is>
          <t>Hello G'day</t>
        </is>
      </c>
      <c r="F178" s="43" t="inlineStr">
        <is>
          <t>Lay</t>
        </is>
      </c>
      <c r="G178" s="47" t="inlineStr">
        <is>
          <t>Lay</t>
        </is>
      </c>
      <c r="H178" s="41" t="n">
        <v>3.1</v>
      </c>
      <c r="I178" s="41" t="n">
        <v>1.47</v>
      </c>
      <c r="J178" s="16" t="n">
        <v>-0.0745</v>
      </c>
      <c r="K178" s="42" t="n">
        <v>1</v>
      </c>
      <c r="L178" s="15" t="n">
        <v>3</v>
      </c>
      <c r="M178" s="51" t="inlineStr">
        <is>
          <t>Win</t>
        </is>
      </c>
      <c r="N178" s="17">
        <f>IF(M178="Win",IF(F178="Bet",(I178-1)*K178,K178),IF(M178="Loss",IF(F178="Bet",-K178,-(I178-1)*K178),IF(M178="Void",0,"")))</f>
        <v/>
      </c>
      <c r="O178" s="18">
        <f>IF(OR(M178="Win",M178="Loss"),IF(F178="Bet",K178,(I178-1)*K178),"")</f>
        <v/>
      </c>
    </row>
    <row r="179">
      <c r="A179" s="44" t="n">
        <v>46283</v>
      </c>
      <c r="B179" s="45" t="inlineStr">
        <is>
          <t>Canberra</t>
        </is>
      </c>
      <c r="C179" s="21" t="n">
        <v>7</v>
      </c>
      <c r="D179" s="21" t="n">
        <v>2</v>
      </c>
      <c r="E179" s="20" t="inlineStr">
        <is>
          <t>Vella's Best</t>
        </is>
      </c>
      <c r="F179" s="46" t="inlineStr">
        <is>
          <t>Lay</t>
        </is>
      </c>
      <c r="G179" s="47" t="inlineStr">
        <is>
          <t>Lay</t>
        </is>
      </c>
      <c r="H179" s="48" t="n">
        <v>4.1</v>
      </c>
      <c r="I179" s="48" t="n">
        <v>2.76</v>
      </c>
      <c r="J179" s="22" t="n">
        <v>-0.0614</v>
      </c>
      <c r="K179" s="49" t="n">
        <v>1</v>
      </c>
      <c r="L179" s="21" t="n">
        <v>11</v>
      </c>
      <c r="M179" s="50" t="inlineStr">
        <is>
          <t>Win</t>
        </is>
      </c>
      <c r="N179" s="23">
        <f>IF(M179="Win",IF(F179="Bet",(I179-1)*K179,K179),IF(M179="Loss",IF(F179="Bet",-K179,-(I179-1)*K179),IF(M179="Void",0,"")))</f>
        <v/>
      </c>
      <c r="O179" s="24">
        <f>IF(OR(M179="Win",M179="Loss"),IF(F179="Bet",K179,(I179-1)*K179),"")</f>
        <v/>
      </c>
    </row>
    <row r="180">
      <c r="A180" s="37" t="n">
        <v>46283</v>
      </c>
      <c r="B180" s="38" t="inlineStr">
        <is>
          <t>Canberra</t>
        </is>
      </c>
      <c r="C180" s="15" t="n">
        <v>8</v>
      </c>
      <c r="D180" s="15" t="n">
        <v>10</v>
      </c>
      <c r="E180" s="14" t="inlineStr">
        <is>
          <t>Judith's Revenge</t>
        </is>
      </c>
      <c r="F180" s="43" t="inlineStr">
        <is>
          <t>Lay</t>
        </is>
      </c>
      <c r="G180" s="47" t="inlineStr">
        <is>
          <t>Lay</t>
        </is>
      </c>
      <c r="H180" s="41" t="n">
        <v>2</v>
      </c>
      <c r="I180" s="41" t="n">
        <v>1.75</v>
      </c>
      <c r="J180" s="16" t="n">
        <v>-0.0701</v>
      </c>
      <c r="K180" s="42" t="n">
        <v>1</v>
      </c>
      <c r="L180" s="15" t="n">
        <v>4</v>
      </c>
      <c r="M180" s="51" t="inlineStr">
        <is>
          <t>Win</t>
        </is>
      </c>
      <c r="N180" s="17">
        <f>IF(M180="Win",IF(F180="Bet",(I180-1)*K180,K180),IF(M180="Loss",IF(F180="Bet",-K180,-(I180-1)*K180),IF(M180="Void",0,"")))</f>
        <v/>
      </c>
      <c r="O180" s="18">
        <f>IF(OR(M180="Win",M180="Loss"),IF(F180="Bet",K180,(I180-1)*K180),"")</f>
        <v/>
      </c>
    </row>
    <row r="181">
      <c r="A181" s="44" t="n">
        <v>46283</v>
      </c>
      <c r="B181" s="45" t="inlineStr">
        <is>
          <t>Canberra</t>
        </is>
      </c>
      <c r="C181" s="21" t="n">
        <v>3</v>
      </c>
      <c r="D181" s="21" t="n">
        <v>2</v>
      </c>
      <c r="E181" s="20" t="inlineStr">
        <is>
          <t>Feazabeel</t>
        </is>
      </c>
      <c r="F181" s="46" t="inlineStr">
        <is>
          <t>Lay</t>
        </is>
      </c>
      <c r="G181" s="47" t="inlineStr">
        <is>
          <t>Lay</t>
        </is>
      </c>
      <c r="H181" s="48" t="n">
        <v>2.3</v>
      </c>
      <c r="I181" s="48" t="n">
        <v>1.78</v>
      </c>
      <c r="J181" s="22" t="n">
        <v>-0.0645</v>
      </c>
      <c r="K181" s="49" t="n">
        <v>1</v>
      </c>
      <c r="L181" s="21" t="n">
        <v>1</v>
      </c>
      <c r="M181" s="46" t="inlineStr">
        <is>
          <t>Loss</t>
        </is>
      </c>
      <c r="N181" s="23">
        <f>IF(M181="Win",IF(F181="Bet",(I181-1)*K181,K181),IF(M181="Loss",IF(F181="Bet",-K181,-(I181-1)*K181),IF(M181="Void",0,"")))</f>
        <v/>
      </c>
      <c r="O181" s="24">
        <f>IF(OR(M181="Win",M181="Loss"),IF(F181="Bet",K181,(I181-1)*K181),"")</f>
        <v/>
      </c>
    </row>
    <row r="182">
      <c r="A182" s="37" t="n">
        <v>46283</v>
      </c>
      <c r="B182" s="38" t="inlineStr">
        <is>
          <t>Newcastle</t>
        </is>
      </c>
      <c r="C182" s="15" t="n">
        <v>1</v>
      </c>
      <c r="D182" s="15" t="n">
        <v>4</v>
      </c>
      <c r="E182" s="14" t="inlineStr">
        <is>
          <t>Tacitly</t>
        </is>
      </c>
      <c r="F182" s="43" t="inlineStr">
        <is>
          <t>Lay</t>
        </is>
      </c>
      <c r="G182" s="47" t="inlineStr">
        <is>
          <t>Lay</t>
        </is>
      </c>
      <c r="H182" s="41" t="n">
        <v>5.1</v>
      </c>
      <c r="I182" s="41" t="n">
        <v>3.7</v>
      </c>
      <c r="J182" s="16" t="n">
        <v>-0.0759</v>
      </c>
      <c r="K182" s="42" t="n">
        <v>1</v>
      </c>
      <c r="L182" s="15" t="n">
        <v>2</v>
      </c>
      <c r="M182" s="51" t="inlineStr">
        <is>
          <t>Win</t>
        </is>
      </c>
      <c r="N182" s="17">
        <f>IF(M182="Win",IF(F182="Bet",(I182-1)*K182,K182),IF(M182="Loss",IF(F182="Bet",-K182,-(I182-1)*K182),IF(M182="Void",0,"")))</f>
        <v/>
      </c>
      <c r="O182" s="18">
        <f>IF(OR(M182="Win",M182="Loss"),IF(F182="Bet",K182,(I182-1)*K182),"")</f>
        <v/>
      </c>
    </row>
    <row r="183">
      <c r="A183" s="44" t="n">
        <v>46283</v>
      </c>
      <c r="B183" s="45" t="inlineStr">
        <is>
          <t>Canberra</t>
        </is>
      </c>
      <c r="C183" s="21" t="n">
        <v>1</v>
      </c>
      <c r="D183" s="21" t="n">
        <v>1</v>
      </c>
      <c r="E183" s="20" t="inlineStr">
        <is>
          <t>Liyah's Girl</t>
        </is>
      </c>
      <c r="F183" s="46" t="inlineStr">
        <is>
          <t>Lay</t>
        </is>
      </c>
      <c r="G183" s="47" t="inlineStr">
        <is>
          <t>Lay</t>
        </is>
      </c>
      <c r="H183" s="48" t="n">
        <v>3.6</v>
      </c>
      <c r="I183" s="48" t="n">
        <v>2.74</v>
      </c>
      <c r="J183" s="22" t="n">
        <v>-0.08550000000000001</v>
      </c>
      <c r="K183" s="49" t="n">
        <v>1</v>
      </c>
      <c r="L183" s="21" t="n">
        <v>2</v>
      </c>
      <c r="M183" s="50" t="inlineStr">
        <is>
          <t>Win</t>
        </is>
      </c>
      <c r="N183" s="23">
        <f>IF(M183="Win",IF(F183="Bet",(I183-1)*K183,K183),IF(M183="Loss",IF(F183="Bet",-K183,-(I183-1)*K183),IF(M183="Void",0,"")))</f>
        <v/>
      </c>
      <c r="O183" s="24">
        <f>IF(OR(M183="Win",M183="Loss"),IF(F183="Bet",K183,(I183-1)*K183),"")</f>
        <v/>
      </c>
    </row>
    <row r="184">
      <c r="A184" s="37" t="n">
        <v>46283</v>
      </c>
      <c r="B184" s="38" t="inlineStr">
        <is>
          <t>Canberra</t>
        </is>
      </c>
      <c r="C184" s="15" t="n">
        <v>1</v>
      </c>
      <c r="D184" s="15" t="n">
        <v>2</v>
      </c>
      <c r="E184" s="14" t="inlineStr">
        <is>
          <t>Unmatched</t>
        </is>
      </c>
      <c r="F184" s="39" t="inlineStr">
        <is>
          <t>Bet</t>
        </is>
      </c>
      <c r="G184" s="53" t="inlineStr">
        <is>
          <t>Prime</t>
        </is>
      </c>
      <c r="H184" s="41" t="n">
        <v>5.2</v>
      </c>
      <c r="I184" s="41" t="n">
        <v>9.640000000000001</v>
      </c>
      <c r="J184" s="16" t="n">
        <v>0.027</v>
      </c>
      <c r="K184" s="42" t="n">
        <v>1</v>
      </c>
      <c r="L184" s="15" t="n">
        <v>3</v>
      </c>
      <c r="M184" s="43" t="inlineStr">
        <is>
          <t>Loss</t>
        </is>
      </c>
      <c r="N184" s="17">
        <f>IF(M184="Win",IF(F184="Bet",(I184-1)*K184,K184),IF(M184="Loss",IF(F184="Bet",-K184,-(I184-1)*K184),IF(M184="Void",0,"")))</f>
        <v/>
      </c>
      <c r="O184" s="18">
        <f>IF(OR(M184="Win",M184="Loss"),IF(F184="Bet",K184,(I184-1)*K184),"")</f>
        <v/>
      </c>
    </row>
    <row r="185">
      <c r="A185" s="44" t="n">
        <v>46283</v>
      </c>
      <c r="B185" s="45" t="inlineStr">
        <is>
          <t>Townsville</t>
        </is>
      </c>
      <c r="C185" s="21" t="n">
        <v>8</v>
      </c>
      <c r="D185" s="21" t="n">
        <v>4</v>
      </c>
      <c r="E185" s="20" t="inlineStr">
        <is>
          <t>Metalcraft</t>
        </is>
      </c>
      <c r="F185" s="46" t="inlineStr">
        <is>
          <t>Lay</t>
        </is>
      </c>
      <c r="G185" s="47" t="inlineStr">
        <is>
          <t>Lay</t>
        </is>
      </c>
      <c r="H185" s="48" t="n">
        <v>8.5</v>
      </c>
      <c r="I185" s="48" t="n">
        <v>1.6</v>
      </c>
      <c r="J185" s="22" t="n">
        <v>-0.4085</v>
      </c>
      <c r="K185" s="49" t="n">
        <v>1</v>
      </c>
      <c r="L185" s="21" t="n">
        <v>1</v>
      </c>
      <c r="M185" s="46" t="inlineStr">
        <is>
          <t>Loss</t>
        </is>
      </c>
      <c r="N185" s="23">
        <f>IF(M185="Win",IF(F185="Bet",(I185-1)*K185,K185),IF(M185="Loss",IF(F185="Bet",-K185,-(I185-1)*K185),IF(M185="Void",0,"")))</f>
        <v/>
      </c>
      <c r="O185" s="24">
        <f>IF(OR(M185="Win",M185="Loss"),IF(F185="Bet",K185,(I185-1)*K185),"")</f>
        <v/>
      </c>
    </row>
    <row r="186">
      <c r="A186" s="37" t="n">
        <v>46283</v>
      </c>
      <c r="B186" s="38" t="inlineStr">
        <is>
          <t>Canberra</t>
        </is>
      </c>
      <c r="C186" s="15" t="n">
        <v>5</v>
      </c>
      <c r="D186" s="15" t="n">
        <v>3</v>
      </c>
      <c r="E186" s="14" t="inlineStr">
        <is>
          <t>Shaft Attack</t>
        </is>
      </c>
      <c r="F186" s="39" t="inlineStr">
        <is>
          <t>Bet</t>
        </is>
      </c>
      <c r="G186" s="40" t="inlineStr">
        <is>
          <t>Bet</t>
        </is>
      </c>
      <c r="H186" s="41" t="n">
        <v>6.3</v>
      </c>
      <c r="I186" s="41" t="n">
        <v>7.5</v>
      </c>
      <c r="J186" s="16" t="n">
        <v>0.0255</v>
      </c>
      <c r="K186" s="42" t="n">
        <v>1</v>
      </c>
      <c r="L186" s="15" t="n">
        <v>2</v>
      </c>
      <c r="M186" s="43" t="inlineStr">
        <is>
          <t>Loss</t>
        </is>
      </c>
      <c r="N186" s="17">
        <f>IF(M186="Win",IF(F186="Bet",(I186-1)*K186,K186),IF(M186="Loss",IF(F186="Bet",-K186,-(I186-1)*K186),IF(M186="Void",0,"")))</f>
        <v/>
      </c>
      <c r="O186" s="18">
        <f>IF(OR(M186="Win",M186="Loss"),IF(F186="Bet",K186,(I186-1)*K186),"")</f>
        <v/>
      </c>
    </row>
    <row r="187">
      <c r="A187" s="44" t="n">
        <v>46283</v>
      </c>
      <c r="B187" s="45" t="inlineStr">
        <is>
          <t>Townsville</t>
        </is>
      </c>
      <c r="C187" s="21" t="n">
        <v>8</v>
      </c>
      <c r="D187" s="21" t="n">
        <v>2</v>
      </c>
      <c r="E187" s="20" t="inlineStr">
        <is>
          <t>New Hampshire</t>
        </is>
      </c>
      <c r="F187" s="52" t="inlineStr">
        <is>
          <t>Bet</t>
        </is>
      </c>
      <c r="G187" s="40" t="inlineStr">
        <is>
          <t>Bet</t>
        </is>
      </c>
      <c r="H187" s="48" t="n">
        <v>11.3</v>
      </c>
      <c r="I187" s="48" t="n">
        <v>81</v>
      </c>
      <c r="J187" s="22" t="n">
        <v>0.0499</v>
      </c>
      <c r="K187" s="49" t="n">
        <v>1</v>
      </c>
      <c r="L187" s="21" t="n">
        <v>8</v>
      </c>
      <c r="M187" s="46" t="inlineStr">
        <is>
          <t>Loss</t>
        </is>
      </c>
      <c r="N187" s="23">
        <f>IF(M187="Win",IF(F187="Bet",(I187-1)*K187,K187),IF(M187="Loss",IF(F187="Bet",-K187,-(I187-1)*K187),IF(M187="Void",0,"")))</f>
        <v/>
      </c>
      <c r="O187" s="24">
        <f>IF(OR(M187="Win",M187="Loss"),IF(F187="Bet",K187,(I187-1)*K187),"")</f>
        <v/>
      </c>
    </row>
    <row r="188">
      <c r="A188" s="37" t="n">
        <v>46283</v>
      </c>
      <c r="B188" s="38" t="inlineStr">
        <is>
          <t>Townsville</t>
        </is>
      </c>
      <c r="C188" s="15" t="n">
        <v>8</v>
      </c>
      <c r="D188" s="15" t="n">
        <v>11</v>
      </c>
      <c r="E188" s="14" t="inlineStr">
        <is>
          <t>Singular</t>
        </is>
      </c>
      <c r="F188" s="39" t="inlineStr">
        <is>
          <t>Bet</t>
        </is>
      </c>
      <c r="G188" s="40" t="inlineStr">
        <is>
          <t>Bet</t>
        </is>
      </c>
      <c r="H188" s="41" t="n">
        <v>9.199999999999999</v>
      </c>
      <c r="I188" s="41" t="n">
        <v>23</v>
      </c>
      <c r="J188" s="16" t="n">
        <v>0.0537</v>
      </c>
      <c r="K188" s="42" t="n">
        <v>1</v>
      </c>
      <c r="L188" s="15" t="n">
        <v>7</v>
      </c>
      <c r="M188" s="43" t="inlineStr">
        <is>
          <t>Loss</t>
        </is>
      </c>
      <c r="N188" s="17">
        <f>IF(M188="Win",IF(F188="Bet",(I188-1)*K188,K188),IF(M188="Loss",IF(F188="Bet",-K188,-(I188-1)*K188),IF(M188="Void",0,"")))</f>
        <v/>
      </c>
      <c r="O188" s="18">
        <f>IF(OR(M188="Win",M188="Loss"),IF(F188="Bet",K188,(I188-1)*K188),"")</f>
        <v/>
      </c>
    </row>
    <row r="189">
      <c r="A189" s="44" t="n">
        <v>46283</v>
      </c>
      <c r="B189" s="45" t="inlineStr">
        <is>
          <t>Townsville</t>
        </is>
      </c>
      <c r="C189" s="21" t="n">
        <v>5</v>
      </c>
      <c r="D189" s="21" t="n">
        <v>8</v>
      </c>
      <c r="E189" s="20" t="inlineStr">
        <is>
          <t>Red Feathers</t>
        </is>
      </c>
      <c r="F189" s="46" t="inlineStr">
        <is>
          <t>Lay</t>
        </is>
      </c>
      <c r="G189" s="47" t="inlineStr">
        <is>
          <t>Lay</t>
        </is>
      </c>
      <c r="H189" s="48" t="n">
        <v>4.1</v>
      </c>
      <c r="I189" s="48" t="n">
        <v>1.95</v>
      </c>
      <c r="J189" s="22" t="n">
        <v>-0.09080000000000001</v>
      </c>
      <c r="K189" s="49" t="n">
        <v>1</v>
      </c>
      <c r="L189" s="21" t="n">
        <v>10</v>
      </c>
      <c r="M189" s="50" t="inlineStr">
        <is>
          <t>Win</t>
        </is>
      </c>
      <c r="N189" s="23">
        <f>IF(M189="Win",IF(F189="Bet",(I189-1)*K189,K189),IF(M189="Loss",IF(F189="Bet",-K189,-(I189-1)*K189),IF(M189="Void",0,"")))</f>
        <v/>
      </c>
      <c r="O189" s="24">
        <f>IF(OR(M189="Win",M189="Loss"),IF(F189="Bet",K189,(I189-1)*K189),"")</f>
        <v/>
      </c>
    </row>
    <row r="190">
      <c r="A190" s="37" t="n">
        <v>46283</v>
      </c>
      <c r="B190" s="38" t="inlineStr">
        <is>
          <t>Newcastle</t>
        </is>
      </c>
      <c r="C190" s="15" t="n">
        <v>8</v>
      </c>
      <c r="D190" s="15" t="n">
        <v>5</v>
      </c>
      <c r="E190" s="14" t="inlineStr">
        <is>
          <t>Red Rags To Bulls</t>
        </is>
      </c>
      <c r="F190" s="43" t="inlineStr">
        <is>
          <t>Lay</t>
        </is>
      </c>
      <c r="G190" s="47" t="inlineStr">
        <is>
          <t>Lay</t>
        </is>
      </c>
      <c r="H190" s="41" t="n">
        <v>5.2</v>
      </c>
      <c r="I190" s="41" t="n">
        <v>3.3</v>
      </c>
      <c r="J190" s="16" t="n">
        <v>-0.0635</v>
      </c>
      <c r="K190" s="42" t="n">
        <v>1</v>
      </c>
      <c r="L190" s="15" t="n">
        <v>2</v>
      </c>
      <c r="M190" s="51" t="inlineStr">
        <is>
          <t>Win</t>
        </is>
      </c>
      <c r="N190" s="17">
        <f>IF(M190="Win",IF(F190="Bet",(I190-1)*K190,K190),IF(M190="Loss",IF(F190="Bet",-K190,-(I190-1)*K190),IF(M190="Void",0,"")))</f>
        <v/>
      </c>
      <c r="O190" s="18">
        <f>IF(OR(M190="Win",M190="Loss"),IF(F190="Bet",K190,(I190-1)*K190),"")</f>
        <v/>
      </c>
    </row>
    <row r="191">
      <c r="A191" s="44" t="n">
        <v>46283</v>
      </c>
      <c r="B191" s="45" t="inlineStr">
        <is>
          <t>Ballarat</t>
        </is>
      </c>
      <c r="C191" s="21" t="n">
        <v>9</v>
      </c>
      <c r="D191" s="21" t="n">
        <v>7</v>
      </c>
      <c r="E191" s="20" t="inlineStr">
        <is>
          <t>Autumn In Grinzing</t>
        </is>
      </c>
      <c r="F191" s="46" t="inlineStr">
        <is>
          <t>Lay</t>
        </is>
      </c>
      <c r="G191" s="47" t="inlineStr">
        <is>
          <t>Lay</t>
        </is>
      </c>
      <c r="H191" s="48" t="n">
        <v>4.6</v>
      </c>
      <c r="I191" s="48" t="n">
        <v>2.92</v>
      </c>
      <c r="J191" s="22" t="n">
        <v>-0.0907</v>
      </c>
      <c r="K191" s="49" t="n">
        <v>1</v>
      </c>
      <c r="L191" s="21" t="n">
        <v>7</v>
      </c>
      <c r="M191" s="50" t="inlineStr">
        <is>
          <t>Win</t>
        </is>
      </c>
      <c r="N191" s="23">
        <f>IF(M191="Win",IF(F191="Bet",(I191-1)*K191,K191),IF(M191="Loss",IF(F191="Bet",-K191,-(I191-1)*K191),IF(M191="Void",0,"")))</f>
        <v/>
      </c>
      <c r="O191" s="24">
        <f>IF(OR(M191="Win",M191="Loss"),IF(F191="Bet",K191,(I191-1)*K191),"")</f>
        <v/>
      </c>
    </row>
    <row r="192">
      <c r="A192" s="37" t="n">
        <v>46283</v>
      </c>
      <c r="B192" s="38" t="inlineStr">
        <is>
          <t>Townsville</t>
        </is>
      </c>
      <c r="C192" s="15" t="n">
        <v>1</v>
      </c>
      <c r="D192" s="15" t="n">
        <v>3</v>
      </c>
      <c r="E192" s="14" t="inlineStr">
        <is>
          <t>Far And Wide</t>
        </is>
      </c>
      <c r="F192" s="39" t="inlineStr">
        <is>
          <t>Bet</t>
        </is>
      </c>
      <c r="G192" s="40" t="inlineStr">
        <is>
          <t>Bet</t>
        </is>
      </c>
      <c r="H192" s="41" t="n">
        <v>3.2</v>
      </c>
      <c r="I192" s="41" t="n">
        <v>4</v>
      </c>
      <c r="J192" s="16" t="n">
        <v>0.0616</v>
      </c>
      <c r="K192" s="42" t="n">
        <v>1</v>
      </c>
      <c r="L192" s="15" t="n">
        <v>2</v>
      </c>
      <c r="M192" s="43" t="inlineStr">
        <is>
          <t>Loss</t>
        </is>
      </c>
      <c r="N192" s="17">
        <f>IF(M192="Win",IF(F192="Bet",(I192-1)*K192,K192),IF(M192="Loss",IF(F192="Bet",-K192,-(I192-1)*K192),IF(M192="Void",0,"")))</f>
        <v/>
      </c>
      <c r="O192" s="18">
        <f>IF(OR(M192="Win",M192="Loss"),IF(F192="Bet",K192,(I192-1)*K192),"")</f>
        <v/>
      </c>
    </row>
    <row r="193">
      <c r="A193" s="44" t="n">
        <v>46283</v>
      </c>
      <c r="B193" s="45" t="inlineStr">
        <is>
          <t>Ballarat</t>
        </is>
      </c>
      <c r="C193" s="21" t="n">
        <v>4</v>
      </c>
      <c r="D193" s="21" t="n">
        <v>13</v>
      </c>
      <c r="E193" s="20" t="inlineStr">
        <is>
          <t>Expensive Taste</t>
        </is>
      </c>
      <c r="F193" s="46" t="inlineStr">
        <is>
          <t>Lay</t>
        </is>
      </c>
      <c r="G193" s="47" t="inlineStr">
        <is>
          <t>Lay</t>
        </is>
      </c>
      <c r="H193" s="48" t="n">
        <v>5.9</v>
      </c>
      <c r="I193" s="48" t="n">
        <v>4.2</v>
      </c>
      <c r="J193" s="22" t="n">
        <v>-0.063</v>
      </c>
      <c r="K193" s="49" t="n">
        <v>1</v>
      </c>
      <c r="L193" s="21" t="n">
        <v>6</v>
      </c>
      <c r="M193" s="50" t="inlineStr">
        <is>
          <t>Win</t>
        </is>
      </c>
      <c r="N193" s="23">
        <f>IF(M193="Win",IF(F193="Bet",(I193-1)*K193,K193),IF(M193="Loss",IF(F193="Bet",-K193,-(I193-1)*K193),IF(M193="Void",0,"")))</f>
        <v/>
      </c>
      <c r="O193" s="24">
        <f>IF(OR(M193="Win",M193="Loss"),IF(F193="Bet",K193,(I193-1)*K193),"")</f>
        <v/>
      </c>
    </row>
    <row r="194">
      <c r="A194" s="37" t="n">
        <v>46283</v>
      </c>
      <c r="B194" s="38" t="inlineStr">
        <is>
          <t>Townsville</t>
        </is>
      </c>
      <c r="C194" s="15" t="n">
        <v>3</v>
      </c>
      <c r="D194" s="15" t="n">
        <v>5</v>
      </c>
      <c r="E194" s="14" t="inlineStr">
        <is>
          <t>Looming One</t>
        </is>
      </c>
      <c r="F194" s="39" t="inlineStr">
        <is>
          <t>Bet</t>
        </is>
      </c>
      <c r="G194" s="40" t="inlineStr">
        <is>
          <t>Bet</t>
        </is>
      </c>
      <c r="H194" s="41" t="n">
        <v>11.5</v>
      </c>
      <c r="I194" s="41" t="n">
        <v>26.89</v>
      </c>
      <c r="J194" s="16" t="n">
        <v>0.0201</v>
      </c>
      <c r="K194" s="42" t="n">
        <v>1</v>
      </c>
      <c r="L194" s="15" t="n">
        <v>1</v>
      </c>
      <c r="M194" s="51" t="inlineStr">
        <is>
          <t>Win</t>
        </is>
      </c>
      <c r="N194" s="17">
        <f>IF(M194="Win",IF(F194="Bet",(I194-1)*K194,K194),IF(M194="Loss",IF(F194="Bet",-K194,-(I194-1)*K194),IF(M194="Void",0,"")))</f>
        <v/>
      </c>
      <c r="O194" s="18">
        <f>IF(OR(M194="Win",M194="Loss"),IF(F194="Bet",K194,(I194-1)*K194),"")</f>
        <v/>
      </c>
    </row>
    <row r="195">
      <c r="A195" s="44" t="n">
        <v>46283</v>
      </c>
      <c r="B195" s="45" t="inlineStr">
        <is>
          <t>Newcastle</t>
        </is>
      </c>
      <c r="C195" s="21" t="n">
        <v>4</v>
      </c>
      <c r="D195" s="21" t="n">
        <v>5</v>
      </c>
      <c r="E195" s="20" t="inlineStr">
        <is>
          <t>Pride To Follow</t>
        </is>
      </c>
      <c r="F195" s="52" t="inlineStr">
        <is>
          <t>Bet</t>
        </is>
      </c>
      <c r="G195" s="40" t="inlineStr">
        <is>
          <t>Bet</t>
        </is>
      </c>
      <c r="H195" s="48" t="n">
        <v>10.9</v>
      </c>
      <c r="I195" s="48" t="n">
        <v>17</v>
      </c>
      <c r="J195" s="22" t="n">
        <v>0.02</v>
      </c>
      <c r="K195" s="49" t="n">
        <v>1</v>
      </c>
      <c r="L195" s="21" t="n">
        <v>3</v>
      </c>
      <c r="M195" s="46" t="inlineStr">
        <is>
          <t>Loss</t>
        </is>
      </c>
      <c r="N195" s="23">
        <f>IF(M195="Win",IF(F195="Bet",(I195-1)*K195,K195),IF(M195="Loss",IF(F195="Bet",-K195,-(I195-1)*K195),IF(M195="Void",0,"")))</f>
        <v/>
      </c>
      <c r="O195" s="24">
        <f>IF(OR(M195="Win",M195="Loss"),IF(F195="Bet",K195,(I195-1)*K195),"")</f>
        <v/>
      </c>
    </row>
    <row r="196">
      <c r="A196" s="37" t="n">
        <v>46283</v>
      </c>
      <c r="B196" s="38" t="inlineStr">
        <is>
          <t>Townsville</t>
        </is>
      </c>
      <c r="C196" s="15" t="n">
        <v>1</v>
      </c>
      <c r="D196" s="15" t="n">
        <v>5</v>
      </c>
      <c r="E196" s="14" t="inlineStr">
        <is>
          <t>Red Scentsation</t>
        </is>
      </c>
      <c r="F196" s="43" t="inlineStr">
        <is>
          <t>Lay</t>
        </is>
      </c>
      <c r="G196" s="47" t="inlineStr">
        <is>
          <t>Lay</t>
        </is>
      </c>
      <c r="H196" s="41" t="n">
        <v>3.7</v>
      </c>
      <c r="I196" s="41" t="n">
        <v>2.94</v>
      </c>
      <c r="J196" s="16" t="n">
        <v>-0.0665</v>
      </c>
      <c r="K196" s="42" t="n">
        <v>1</v>
      </c>
      <c r="L196" s="15" t="n">
        <v>3</v>
      </c>
      <c r="M196" s="51" t="inlineStr">
        <is>
          <t>Win</t>
        </is>
      </c>
      <c r="N196" s="17">
        <f>IF(M196="Win",IF(F196="Bet",(I196-1)*K196,K196),IF(M196="Loss",IF(F196="Bet",-K196,-(I196-1)*K196),IF(M196="Void",0,"")))</f>
        <v/>
      </c>
      <c r="O196" s="18">
        <f>IF(OR(M196="Win",M196="Loss"),IF(F196="Bet",K196,(I196-1)*K196),"")</f>
        <v/>
      </c>
    </row>
    <row r="197">
      <c r="A197" s="44" t="n">
        <v>46283</v>
      </c>
      <c r="B197" s="45" t="inlineStr">
        <is>
          <t>Canberra</t>
        </is>
      </c>
      <c r="C197" s="21" t="n">
        <v>1</v>
      </c>
      <c r="D197" s="21" t="n">
        <v>4</v>
      </c>
      <c r="E197" s="20" t="inlineStr">
        <is>
          <t>Courting Emily</t>
        </is>
      </c>
      <c r="F197" s="46" t="inlineStr">
        <is>
          <t>Lay</t>
        </is>
      </c>
      <c r="G197" s="47" t="inlineStr">
        <is>
          <t>Lay</t>
        </is>
      </c>
      <c r="H197" s="48" t="n">
        <v>5.3</v>
      </c>
      <c r="I197" s="48" t="n">
        <v>3.6</v>
      </c>
      <c r="J197" s="22" t="n">
        <v>-0.0718</v>
      </c>
      <c r="K197" s="49" t="n">
        <v>1</v>
      </c>
      <c r="L197" s="21" t="n">
        <v>4</v>
      </c>
      <c r="M197" s="50" t="inlineStr">
        <is>
          <t>Win</t>
        </is>
      </c>
      <c r="N197" s="23">
        <f>IF(M197="Win",IF(F197="Bet",(I197-1)*K197,K197),IF(M197="Loss",IF(F197="Bet",-K197,-(I197-1)*K197),IF(M197="Void",0,"")))</f>
        <v/>
      </c>
      <c r="O197" s="24">
        <f>IF(OR(M197="Win",M197="Loss"),IF(F197="Bet",K197,(I197-1)*K197),"")</f>
        <v/>
      </c>
    </row>
    <row r="198">
      <c r="A198" s="37" t="n">
        <v>46283</v>
      </c>
      <c r="B198" s="38" t="inlineStr">
        <is>
          <t>Newcastle</t>
        </is>
      </c>
      <c r="C198" s="15" t="n">
        <v>1</v>
      </c>
      <c r="D198" s="15" t="n">
        <v>5</v>
      </c>
      <c r="E198" s="14" t="inlineStr">
        <is>
          <t>Think Itz You</t>
        </is>
      </c>
      <c r="F198" s="39" t="inlineStr">
        <is>
          <t>Bet</t>
        </is>
      </c>
      <c r="G198" s="40" t="inlineStr">
        <is>
          <t>Bet</t>
        </is>
      </c>
      <c r="H198" s="41" t="n">
        <v>3.1</v>
      </c>
      <c r="I198" s="41" t="n">
        <v>3.5</v>
      </c>
      <c r="J198" s="16" t="n">
        <v>0.0225</v>
      </c>
      <c r="K198" s="42" t="n">
        <v>1</v>
      </c>
      <c r="L198" s="15" t="n">
        <v>1</v>
      </c>
      <c r="M198" s="51" t="inlineStr">
        <is>
          <t>Win</t>
        </is>
      </c>
      <c r="N198" s="17">
        <f>IF(M198="Win",IF(F198="Bet",(I198-1)*K198,K198),IF(M198="Loss",IF(F198="Bet",-K198,-(I198-1)*K198),IF(M198="Void",0,"")))</f>
        <v/>
      </c>
      <c r="O198" s="18">
        <f>IF(OR(M198="Win",M198="Loss"),IF(F198="Bet",K198,(I198-1)*K198),"")</f>
        <v/>
      </c>
    </row>
    <row r="199">
      <c r="A199" s="44" t="n">
        <v>46283</v>
      </c>
      <c r="B199" s="45" t="inlineStr">
        <is>
          <t>Ballarat</t>
        </is>
      </c>
      <c r="C199" s="21" t="n">
        <v>2</v>
      </c>
      <c r="D199" s="21" t="n">
        <v>9</v>
      </c>
      <c r="E199" s="20" t="inlineStr">
        <is>
          <t>Miss Graff</t>
        </is>
      </c>
      <c r="F199" s="52" t="inlineStr">
        <is>
          <t>Bet</t>
        </is>
      </c>
      <c r="G199" s="40" t="inlineStr">
        <is>
          <t>Bet</t>
        </is>
      </c>
      <c r="H199" s="48" t="n">
        <v>4.2</v>
      </c>
      <c r="I199" s="48" t="n">
        <v>4.6</v>
      </c>
      <c r="J199" s="22" t="n">
        <v>0.0234</v>
      </c>
      <c r="K199" s="49" t="n">
        <v>1</v>
      </c>
      <c r="L199" s="21" t="n">
        <v>5</v>
      </c>
      <c r="M199" s="46" t="inlineStr">
        <is>
          <t>Loss</t>
        </is>
      </c>
      <c r="N199" s="23">
        <f>IF(M199="Win",IF(F199="Bet",(I199-1)*K199,K199),IF(M199="Loss",IF(F199="Bet",-K199,-(I199-1)*K199),IF(M199="Void",0,"")))</f>
        <v/>
      </c>
      <c r="O199" s="24">
        <f>IF(OR(M199="Win",M199="Loss"),IF(F199="Bet",K199,(I199-1)*K199),"")</f>
        <v/>
      </c>
    </row>
    <row r="200">
      <c r="A200" s="37" t="n">
        <v>46283</v>
      </c>
      <c r="B200" s="38" t="inlineStr">
        <is>
          <t>Ballarat</t>
        </is>
      </c>
      <c r="C200" s="15" t="n">
        <v>2</v>
      </c>
      <c r="D200" s="15" t="n">
        <v>12</v>
      </c>
      <c r="E200" s="14" t="inlineStr">
        <is>
          <t>Superbec</t>
        </is>
      </c>
      <c r="F200" s="43" t="inlineStr">
        <is>
          <t>Lay</t>
        </is>
      </c>
      <c r="G200" s="47" t="inlineStr">
        <is>
          <t>Lay</t>
        </is>
      </c>
      <c r="H200" s="41" t="n">
        <v>4.2</v>
      </c>
      <c r="I200" s="41" t="n">
        <v>2.83</v>
      </c>
      <c r="J200" s="16" t="n">
        <v>-0.06619999999999999</v>
      </c>
      <c r="K200" s="42" t="n">
        <v>1</v>
      </c>
      <c r="L200" s="15" t="n">
        <v>1</v>
      </c>
      <c r="M200" s="43" t="inlineStr">
        <is>
          <t>Loss</t>
        </is>
      </c>
      <c r="N200" s="17">
        <f>IF(M200="Win",IF(F200="Bet",(I200-1)*K200,K200),IF(M200="Loss",IF(F200="Bet",-K200,-(I200-1)*K200),IF(M200="Void",0,"")))</f>
        <v/>
      </c>
      <c r="O200" s="18">
        <f>IF(OR(M200="Win",M200="Loss"),IF(F200="Bet",K200,(I200-1)*K200),"")</f>
        <v/>
      </c>
    </row>
    <row r="201">
      <c r="A201" s="44" t="n">
        <v>46283</v>
      </c>
      <c r="B201" s="45" t="inlineStr">
        <is>
          <t>Townsville</t>
        </is>
      </c>
      <c r="C201" s="21" t="n">
        <v>2</v>
      </c>
      <c r="D201" s="21" t="n">
        <v>4</v>
      </c>
      <c r="E201" s="20" t="inlineStr">
        <is>
          <t>Overland</t>
        </is>
      </c>
      <c r="F201" s="46" t="inlineStr">
        <is>
          <t>Lay</t>
        </is>
      </c>
      <c r="G201" s="47" t="inlineStr">
        <is>
          <t>Lay</t>
        </is>
      </c>
      <c r="H201" s="48" t="n">
        <v>3.1</v>
      </c>
      <c r="I201" s="48" t="n">
        <v>2.58</v>
      </c>
      <c r="J201" s="22" t="n">
        <v>-0.0635</v>
      </c>
      <c r="K201" s="49" t="n">
        <v>1</v>
      </c>
      <c r="L201" s="21" t="n">
        <v>2</v>
      </c>
      <c r="M201" s="50" t="inlineStr">
        <is>
          <t>Win</t>
        </is>
      </c>
      <c r="N201" s="23">
        <f>IF(M201="Win",IF(F201="Bet",(I201-1)*K201,K201),IF(M201="Loss",IF(F201="Bet",-K201,-(I201-1)*K201),IF(M201="Void",0,"")))</f>
        <v/>
      </c>
      <c r="O201" s="24">
        <f>IF(OR(M201="Win",M201="Loss"),IF(F201="Bet",K201,(I201-1)*K201),"")</f>
        <v/>
      </c>
    </row>
    <row r="202">
      <c r="A202" s="37" t="n">
        <v>46283</v>
      </c>
      <c r="B202" s="38" t="inlineStr">
        <is>
          <t>Newcastle</t>
        </is>
      </c>
      <c r="C202" s="15" t="n">
        <v>2</v>
      </c>
      <c r="D202" s="15" t="n">
        <v>1</v>
      </c>
      <c r="E202" s="14" t="inlineStr">
        <is>
          <t>Federalist</t>
        </is>
      </c>
      <c r="F202" s="43" t="inlineStr">
        <is>
          <t>Lay</t>
        </is>
      </c>
      <c r="G202" s="47" t="inlineStr">
        <is>
          <t>Lay</t>
        </is>
      </c>
      <c r="H202" s="41" t="n">
        <v>1.55</v>
      </c>
      <c r="I202" s="41" t="n">
        <v>1.37</v>
      </c>
      <c r="J202" s="16" t="n">
        <v>-0.0679</v>
      </c>
      <c r="K202" s="42" t="n">
        <v>1</v>
      </c>
      <c r="L202" s="15" t="n">
        <v>1</v>
      </c>
      <c r="M202" s="43" t="inlineStr">
        <is>
          <t>Loss</t>
        </is>
      </c>
      <c r="N202" s="17">
        <f>IF(M202="Win",IF(F202="Bet",(I202-1)*K202,K202),IF(M202="Loss",IF(F202="Bet",-K202,-(I202-1)*K202),IF(M202="Void",0,"")))</f>
        <v/>
      </c>
      <c r="O202" s="18">
        <f>IF(OR(M202="Win",M202="Loss"),IF(F202="Bet",K202,(I202-1)*K202),"")</f>
        <v/>
      </c>
    </row>
    <row r="203">
      <c r="A203" s="44" t="n">
        <v>46283</v>
      </c>
      <c r="B203" s="45" t="inlineStr">
        <is>
          <t>Townsville</t>
        </is>
      </c>
      <c r="C203" s="21" t="n">
        <v>2</v>
      </c>
      <c r="D203" s="21" t="n">
        <v>6</v>
      </c>
      <c r="E203" s="20" t="inlineStr">
        <is>
          <t>Roth Authority</t>
        </is>
      </c>
      <c r="F203" s="46" t="inlineStr">
        <is>
          <t>Lay</t>
        </is>
      </c>
      <c r="G203" s="47" t="inlineStr">
        <is>
          <t>Lay</t>
        </is>
      </c>
      <c r="H203" s="48" t="n">
        <v>6.6</v>
      </c>
      <c r="I203" s="48" t="n">
        <v>3.92</v>
      </c>
      <c r="J203" s="22" t="n">
        <v>-0.0609</v>
      </c>
      <c r="K203" s="49" t="n">
        <v>1</v>
      </c>
      <c r="L203" s="21" t="n">
        <v>3</v>
      </c>
      <c r="M203" s="50" t="inlineStr">
        <is>
          <t>Win</t>
        </is>
      </c>
      <c r="N203" s="23">
        <f>IF(M203="Win",IF(F203="Bet",(I203-1)*K203,K203),IF(M203="Loss",IF(F203="Bet",-K203,-(I203-1)*K203),IF(M203="Void",0,"")))</f>
        <v/>
      </c>
      <c r="O203" s="24">
        <f>IF(OR(M203="Win",M203="Loss"),IF(F203="Bet",K203,(I203-1)*K203),"")</f>
        <v/>
      </c>
    </row>
    <row r="204">
      <c r="A204" s="37" t="n">
        <v>46283</v>
      </c>
      <c r="B204" s="38" t="inlineStr">
        <is>
          <t>Ballarat</t>
        </is>
      </c>
      <c r="C204" s="15" t="n">
        <v>3</v>
      </c>
      <c r="D204" s="15" t="n">
        <v>11</v>
      </c>
      <c r="E204" s="14" t="inlineStr">
        <is>
          <t>Keen Observer</t>
        </is>
      </c>
      <c r="F204" s="43" t="inlineStr">
        <is>
          <t>Lay</t>
        </is>
      </c>
      <c r="G204" s="47" t="inlineStr">
        <is>
          <t>Lay</t>
        </is>
      </c>
      <c r="H204" s="41" t="n">
        <v>3.6</v>
      </c>
      <c r="I204" s="41" t="n">
        <v>2.94</v>
      </c>
      <c r="J204" s="16" t="n">
        <v>-0.06370000000000001</v>
      </c>
      <c r="K204" s="42" t="n">
        <v>1</v>
      </c>
      <c r="L204" s="15" t="n">
        <v>3</v>
      </c>
      <c r="M204" s="51" t="inlineStr">
        <is>
          <t>Win</t>
        </is>
      </c>
      <c r="N204" s="17">
        <f>IF(M204="Win",IF(F204="Bet",(I204-1)*K204,K204),IF(M204="Loss",IF(F204="Bet",-K204,-(I204-1)*K204),IF(M204="Void",0,"")))</f>
        <v/>
      </c>
      <c r="O204" s="18">
        <f>IF(OR(M204="Win",M204="Loss"),IF(F204="Bet",K204,(I204-1)*K204),"")</f>
        <v/>
      </c>
    </row>
    <row r="205">
      <c r="A205" s="44" t="n">
        <v>46283</v>
      </c>
      <c r="B205" s="45" t="inlineStr">
        <is>
          <t>Ballarat</t>
        </is>
      </c>
      <c r="C205" s="21" t="n">
        <v>5</v>
      </c>
      <c r="D205" s="21" t="n">
        <v>4</v>
      </c>
      <c r="E205" s="20" t="inlineStr">
        <is>
          <t>Deny Entry</t>
        </is>
      </c>
      <c r="F205" s="46" t="inlineStr">
        <is>
          <t>Lay</t>
        </is>
      </c>
      <c r="G205" s="47" t="inlineStr">
        <is>
          <t>Lay</t>
        </is>
      </c>
      <c r="H205" s="48" t="n">
        <v>5.1</v>
      </c>
      <c r="I205" s="48" t="n">
        <v>2.96</v>
      </c>
      <c r="J205" s="22" t="n">
        <v>-0.0624</v>
      </c>
      <c r="K205" s="49" t="n">
        <v>1</v>
      </c>
      <c r="L205" s="21" t="n">
        <v>12</v>
      </c>
      <c r="M205" s="50" t="inlineStr">
        <is>
          <t>Win</t>
        </is>
      </c>
      <c r="N205" s="23">
        <f>IF(M205="Win",IF(F205="Bet",(I205-1)*K205,K205),IF(M205="Loss",IF(F205="Bet",-K205,-(I205-1)*K205),IF(M205="Void",0,"")))</f>
        <v/>
      </c>
      <c r="O205" s="24">
        <f>IF(OR(M205="Win",M205="Loss"),IF(F205="Bet",K205,(I205-1)*K205),"")</f>
        <v/>
      </c>
    </row>
    <row r="206">
      <c r="A206" s="37" t="n">
        <v>46283</v>
      </c>
      <c r="B206" s="38" t="inlineStr">
        <is>
          <t>Townsville</t>
        </is>
      </c>
      <c r="C206" s="15" t="n">
        <v>3</v>
      </c>
      <c r="D206" s="15" t="n">
        <v>11</v>
      </c>
      <c r="E206" s="14" t="inlineStr">
        <is>
          <t>Fake</t>
        </is>
      </c>
      <c r="F206" s="43" t="inlineStr">
        <is>
          <t>Lay</t>
        </is>
      </c>
      <c r="G206" s="47" t="inlineStr">
        <is>
          <t>Lay</t>
        </is>
      </c>
      <c r="H206" s="41" t="n">
        <v>7</v>
      </c>
      <c r="I206" s="41" t="n">
        <v>4.2</v>
      </c>
      <c r="J206" s="16" t="n">
        <v>-0.0703</v>
      </c>
      <c r="K206" s="42" t="n">
        <v>1</v>
      </c>
      <c r="L206" s="15" t="n">
        <v>6</v>
      </c>
      <c r="M206" s="51" t="inlineStr">
        <is>
          <t>Win</t>
        </is>
      </c>
      <c r="N206" s="17">
        <f>IF(M206="Win",IF(F206="Bet",(I206-1)*K206,K206),IF(M206="Loss",IF(F206="Bet",-K206,-(I206-1)*K206),IF(M206="Void",0,"")))</f>
        <v/>
      </c>
      <c r="O206" s="18">
        <f>IF(OR(M206="Win",M206="Loss"),IF(F206="Bet",K206,(I206-1)*K206),"")</f>
        <v/>
      </c>
    </row>
    <row r="207">
      <c r="A207" s="44" t="n">
        <v>46283</v>
      </c>
      <c r="B207" s="45" t="inlineStr">
        <is>
          <t>Ballarat</t>
        </is>
      </c>
      <c r="C207" s="21" t="n">
        <v>8</v>
      </c>
      <c r="D207" s="21" t="n">
        <v>4</v>
      </c>
      <c r="E207" s="20" t="inlineStr">
        <is>
          <t>Statuario</t>
        </is>
      </c>
      <c r="F207" s="52" t="inlineStr">
        <is>
          <t>Bet</t>
        </is>
      </c>
      <c r="G207" s="40" t="inlineStr">
        <is>
          <t>Bet</t>
        </is>
      </c>
      <c r="H207" s="48" t="n">
        <v>12.5</v>
      </c>
      <c r="I207" s="48" t="n">
        <v>19</v>
      </c>
      <c r="J207" s="22" t="n">
        <v>0.0246</v>
      </c>
      <c r="K207" s="49" t="n">
        <v>1</v>
      </c>
      <c r="L207" s="21" t="n">
        <v>10</v>
      </c>
      <c r="M207" s="46" t="inlineStr">
        <is>
          <t>Loss</t>
        </is>
      </c>
      <c r="N207" s="23">
        <f>IF(M207="Win",IF(F207="Bet",(I207-1)*K207,K207),IF(M207="Loss",IF(F207="Bet",-K207,-(I207-1)*K207),IF(M207="Void",0,"")))</f>
        <v/>
      </c>
      <c r="O207" s="24">
        <f>IF(OR(M207="Win",M207="Loss"),IF(F207="Bet",K207,(I207-1)*K207),"")</f>
        <v/>
      </c>
    </row>
    <row r="208">
      <c r="A208" s="37" t="n">
        <v>46283</v>
      </c>
      <c r="B208" s="38" t="inlineStr">
        <is>
          <t>Newcastle</t>
        </is>
      </c>
      <c r="C208" s="15" t="n">
        <v>4</v>
      </c>
      <c r="D208" s="15" t="n">
        <v>1</v>
      </c>
      <c r="E208" s="14" t="inlineStr">
        <is>
          <t>Generous Harry</t>
        </is>
      </c>
      <c r="F208" s="43" t="inlineStr">
        <is>
          <t>Lay</t>
        </is>
      </c>
      <c r="G208" s="47" t="inlineStr">
        <is>
          <t>Lay</t>
        </is>
      </c>
      <c r="H208" s="41" t="n">
        <v>5.2</v>
      </c>
      <c r="I208" s="41" t="n">
        <v>3</v>
      </c>
      <c r="J208" s="16" t="n">
        <v>-0.06519999999999999</v>
      </c>
      <c r="K208" s="42" t="n">
        <v>1</v>
      </c>
      <c r="L208" s="15" t="n">
        <v>1</v>
      </c>
      <c r="M208" s="43" t="inlineStr">
        <is>
          <t>Loss</t>
        </is>
      </c>
      <c r="N208" s="17">
        <f>IF(M208="Win",IF(F208="Bet",(I208-1)*K208,K208),IF(M208="Loss",IF(F208="Bet",-K208,-(I208-1)*K208),IF(M208="Void",0,"")))</f>
        <v/>
      </c>
      <c r="O208" s="18">
        <f>IF(OR(M208="Win",M208="Loss"),IF(F208="Bet",K208,(I208-1)*K208),"")</f>
        <v/>
      </c>
    </row>
    <row r="209">
      <c r="A209" s="44" t="n">
        <v>46283</v>
      </c>
      <c r="B209" s="45" t="inlineStr">
        <is>
          <t>Canberra</t>
        </is>
      </c>
      <c r="C209" s="21" t="n">
        <v>5</v>
      </c>
      <c r="D209" s="21" t="n">
        <v>8</v>
      </c>
      <c r="E209" s="20" t="inlineStr">
        <is>
          <t>Ballyhoo</t>
        </is>
      </c>
      <c r="F209" s="46" t="inlineStr">
        <is>
          <t>Lay</t>
        </is>
      </c>
      <c r="G209" s="47" t="inlineStr">
        <is>
          <t>Lay</t>
        </is>
      </c>
      <c r="H209" s="48" t="n">
        <v>4.9</v>
      </c>
      <c r="I209" s="48" t="n">
        <v>3.6</v>
      </c>
      <c r="J209" s="22" t="n">
        <v>-0.0668</v>
      </c>
      <c r="K209" s="49" t="n">
        <v>1</v>
      </c>
      <c r="L209" s="21" t="n">
        <v>1</v>
      </c>
      <c r="M209" s="46" t="inlineStr">
        <is>
          <t>Loss</t>
        </is>
      </c>
      <c r="N209" s="23">
        <f>IF(M209="Win",IF(F209="Bet",(I209-1)*K209,K209),IF(M209="Loss",IF(F209="Bet",-K209,-(I209-1)*K209),IF(M209="Void",0,"")))</f>
        <v/>
      </c>
      <c r="O209" s="24">
        <f>IF(OR(M209="Win",M209="Loss"),IF(F209="Bet",K209,(I209-1)*K209),"")</f>
        <v/>
      </c>
    </row>
    <row r="210">
      <c r="A210" s="37" t="n">
        <v>46283</v>
      </c>
      <c r="B210" s="38" t="inlineStr">
        <is>
          <t>Ballarat</t>
        </is>
      </c>
      <c r="C210" s="15" t="n">
        <v>6</v>
      </c>
      <c r="D210" s="15" t="n">
        <v>1</v>
      </c>
      <c r="E210" s="14" t="inlineStr">
        <is>
          <t>Commands Success</t>
        </is>
      </c>
      <c r="F210" s="39" t="inlineStr">
        <is>
          <t>Bet</t>
        </is>
      </c>
      <c r="G210" s="40" t="inlineStr">
        <is>
          <t>Bet</t>
        </is>
      </c>
      <c r="H210" s="41" t="n">
        <v>12</v>
      </c>
      <c r="I210" s="41" t="n">
        <v>16</v>
      </c>
      <c r="J210" s="16" t="n">
        <v>0.0208</v>
      </c>
      <c r="K210" s="42" t="n">
        <v>1</v>
      </c>
      <c r="L210" s="15" t="n">
        <v>8</v>
      </c>
      <c r="M210" s="43" t="inlineStr">
        <is>
          <t>Loss</t>
        </is>
      </c>
      <c r="N210" s="17">
        <f>IF(M210="Win",IF(F210="Bet",(I210-1)*K210,K210),IF(M210="Loss",IF(F210="Bet",-K210,-(I210-1)*K210),IF(M210="Void",0,"")))</f>
        <v/>
      </c>
      <c r="O210" s="18">
        <f>IF(OR(M210="Win",M210="Loss"),IF(F210="Bet",K210,(I210-1)*K210),"")</f>
        <v/>
      </c>
    </row>
    <row r="211">
      <c r="A211" s="44" t="n">
        <v>46283</v>
      </c>
      <c r="B211" s="45" t="inlineStr">
        <is>
          <t>Townsville</t>
        </is>
      </c>
      <c r="C211" s="21" t="n">
        <v>5</v>
      </c>
      <c r="D211" s="21" t="n">
        <v>9</v>
      </c>
      <c r="E211" s="20" t="inlineStr">
        <is>
          <t>She's A Sweet Star</t>
        </is>
      </c>
      <c r="F211" s="52" t="inlineStr">
        <is>
          <t>Bet</t>
        </is>
      </c>
      <c r="G211" s="40" t="inlineStr">
        <is>
          <t>Bet</t>
        </is>
      </c>
      <c r="H211" s="48" t="n">
        <v>7.9</v>
      </c>
      <c r="I211" s="48" t="n">
        <v>11</v>
      </c>
      <c r="J211" s="22" t="n">
        <v>0.0207</v>
      </c>
      <c r="K211" s="49" t="n">
        <v>1</v>
      </c>
      <c r="L211" s="21" t="n">
        <v>11</v>
      </c>
      <c r="M211" s="46" t="inlineStr">
        <is>
          <t>Loss</t>
        </is>
      </c>
      <c r="N211" s="23">
        <f>IF(M211="Win",IF(F211="Bet",(I211-1)*K211,K211),IF(M211="Loss",IF(F211="Bet",-K211,-(I211-1)*K211),IF(M211="Void",0,"")))</f>
        <v/>
      </c>
      <c r="O211" s="24">
        <f>IF(OR(M211="Win",M211="Loss"),IF(F211="Bet",K211,(I211-1)*K211),"")</f>
        <v/>
      </c>
    </row>
    <row r="212">
      <c r="A212" s="37" t="n">
        <v>46283</v>
      </c>
      <c r="B212" s="38" t="inlineStr">
        <is>
          <t>Ballarat</t>
        </is>
      </c>
      <c r="C212" s="15" t="n">
        <v>7</v>
      </c>
      <c r="D212" s="15" t="n">
        <v>10</v>
      </c>
      <c r="E212" s="14" t="inlineStr">
        <is>
          <t>Russian Choice</t>
        </is>
      </c>
      <c r="F212" s="39" t="inlineStr">
        <is>
          <t>Bet</t>
        </is>
      </c>
      <c r="G212" s="40" t="inlineStr">
        <is>
          <t>Bet</t>
        </is>
      </c>
      <c r="H212" s="41" t="n">
        <v>4.9</v>
      </c>
      <c r="I212" s="41" t="n">
        <v>5.5</v>
      </c>
      <c r="J212" s="16" t="n">
        <v>0.0232</v>
      </c>
      <c r="K212" s="42" t="n">
        <v>1</v>
      </c>
      <c r="L212" s="15" t="n">
        <v>10</v>
      </c>
      <c r="M212" s="43" t="inlineStr">
        <is>
          <t>Loss</t>
        </is>
      </c>
      <c r="N212" s="17">
        <f>IF(M212="Win",IF(F212="Bet",(I212-1)*K212,K212),IF(M212="Loss",IF(F212="Bet",-K212,-(I212-1)*K212),IF(M212="Void",0,"")))</f>
        <v/>
      </c>
      <c r="O212" s="18">
        <f>IF(OR(M212="Win",M212="Loss"),IF(F212="Bet",K212,(I212-1)*K212),"")</f>
        <v/>
      </c>
    </row>
    <row r="213">
      <c r="A213" s="44" t="n">
        <v>46283</v>
      </c>
      <c r="B213" s="45" t="inlineStr">
        <is>
          <t>Ballarat</t>
        </is>
      </c>
      <c r="C213" s="21" t="n">
        <v>8</v>
      </c>
      <c r="D213" s="21" t="n">
        <v>6</v>
      </c>
      <c r="E213" s="20" t="inlineStr">
        <is>
          <t>Ten Commandments</t>
        </is>
      </c>
      <c r="F213" s="46" t="inlineStr">
        <is>
          <t>Lay</t>
        </is>
      </c>
      <c r="G213" s="47" t="inlineStr">
        <is>
          <t>Lay</t>
        </is>
      </c>
      <c r="H213" s="48" t="n">
        <v>4.9</v>
      </c>
      <c r="I213" s="48" t="n">
        <v>3.44</v>
      </c>
      <c r="J213" s="22" t="n">
        <v>-0.0658</v>
      </c>
      <c r="K213" s="49" t="n">
        <v>1</v>
      </c>
      <c r="L213" s="21" t="n">
        <v>1</v>
      </c>
      <c r="M213" s="46" t="inlineStr">
        <is>
          <t>Loss</t>
        </is>
      </c>
      <c r="N213" s="23">
        <f>IF(M213="Win",IF(F213="Bet",(I213-1)*K213,K213),IF(M213="Loss",IF(F213="Bet",-K213,-(I213-1)*K213),IF(M213="Void",0,"")))</f>
        <v/>
      </c>
      <c r="O213" s="24">
        <f>IF(OR(M213="Win",M213="Loss"),IF(F213="Bet",K213,(I213-1)*K213),"")</f>
        <v/>
      </c>
    </row>
    <row r="214">
      <c r="A214" s="37" t="n">
        <v>46283</v>
      </c>
      <c r="B214" s="38" t="inlineStr">
        <is>
          <t>Townsville</t>
        </is>
      </c>
      <c r="C214" s="15" t="n">
        <v>6</v>
      </c>
      <c r="D214" s="15" t="n">
        <v>10</v>
      </c>
      <c r="E214" s="14" t="inlineStr">
        <is>
          <t>Zeamaize</t>
        </is>
      </c>
      <c r="F214" s="43" t="inlineStr">
        <is>
          <t>Lay</t>
        </is>
      </c>
      <c r="G214" s="47" t="inlineStr">
        <is>
          <t>Lay</t>
        </is>
      </c>
      <c r="H214" s="41" t="n">
        <v>8.6</v>
      </c>
      <c r="I214" s="41" t="n">
        <v>5.6</v>
      </c>
      <c r="J214" s="16" t="n">
        <v>-0.063</v>
      </c>
      <c r="K214" s="42" t="n">
        <v>1</v>
      </c>
      <c r="L214" s="15" t="n">
        <v>9</v>
      </c>
      <c r="M214" s="51" t="inlineStr">
        <is>
          <t>Win</t>
        </is>
      </c>
      <c r="N214" s="17">
        <f>IF(M214="Win",IF(F214="Bet",(I214-1)*K214,K214),IF(M214="Loss",IF(F214="Bet",-K214,-(I214-1)*K214),IF(M214="Void",0,"")))</f>
        <v/>
      </c>
      <c r="O214" s="18">
        <f>IF(OR(M214="Win",M214="Loss"),IF(F214="Bet",K214,(I214-1)*K214),"")</f>
        <v/>
      </c>
    </row>
    <row r="215">
      <c r="A215" s="44" t="n">
        <v>46283</v>
      </c>
      <c r="B215" s="45" t="inlineStr">
        <is>
          <t>Canberra</t>
        </is>
      </c>
      <c r="C215" s="21" t="n">
        <v>7</v>
      </c>
      <c r="D215" s="21" t="n">
        <v>7</v>
      </c>
      <c r="E215" s="20" t="inlineStr">
        <is>
          <t>My Last Hooray</t>
        </is>
      </c>
      <c r="F215" s="46" t="inlineStr">
        <is>
          <t>Lay</t>
        </is>
      </c>
      <c r="G215" s="47" t="inlineStr">
        <is>
          <t>Lay</t>
        </is>
      </c>
      <c r="H215" s="48" t="n">
        <v>11.9</v>
      </c>
      <c r="I215" s="48" t="n">
        <v>5.79</v>
      </c>
      <c r="J215" s="22" t="n">
        <v>-0.0633</v>
      </c>
      <c r="K215" s="49" t="n">
        <v>1</v>
      </c>
      <c r="L215" s="21" t="n">
        <v>2</v>
      </c>
      <c r="M215" s="50" t="inlineStr">
        <is>
          <t>Win</t>
        </is>
      </c>
      <c r="N215" s="23">
        <f>IF(M215="Win",IF(F215="Bet",(I215-1)*K215,K215),IF(M215="Loss",IF(F215="Bet",-K215,-(I215-1)*K215),IF(M215="Void",0,"")))</f>
        <v/>
      </c>
      <c r="O215" s="24">
        <f>IF(OR(M215="Win",M215="Loss"),IF(F215="Bet",K215,(I215-1)*K215),"")</f>
        <v/>
      </c>
    </row>
    <row r="216">
      <c r="A216" s="37" t="n">
        <v>46283</v>
      </c>
      <c r="B216" s="38" t="inlineStr">
        <is>
          <t>Canberra</t>
        </is>
      </c>
      <c r="C216" s="15" t="n">
        <v>7</v>
      </c>
      <c r="D216" s="15" t="n">
        <v>9</v>
      </c>
      <c r="E216" s="14" t="inlineStr">
        <is>
          <t>Keikoku</t>
        </is>
      </c>
      <c r="F216" s="39" t="inlineStr">
        <is>
          <t>Bet</t>
        </is>
      </c>
      <c r="G216" s="40" t="inlineStr">
        <is>
          <t>Bet</t>
        </is>
      </c>
      <c r="H216" s="41" t="n">
        <v>7.2</v>
      </c>
      <c r="I216" s="41" t="n">
        <v>11.78</v>
      </c>
      <c r="J216" s="16" t="n">
        <v>0.0212</v>
      </c>
      <c r="K216" s="42" t="n">
        <v>1</v>
      </c>
      <c r="L216" s="15" t="n">
        <v>1</v>
      </c>
      <c r="M216" s="51" t="inlineStr">
        <is>
          <t>Win</t>
        </is>
      </c>
      <c r="N216" s="17">
        <f>IF(M216="Win",IF(F216="Bet",(I216-1)*K216,K216),IF(M216="Loss",IF(F216="Bet",-K216,-(I216-1)*K216),IF(M216="Void",0,"")))</f>
        <v/>
      </c>
      <c r="O216" s="18">
        <f>IF(OR(M216="Win",M216="Loss"),IF(F216="Bet",K216,(I216-1)*K216),"")</f>
        <v/>
      </c>
    </row>
    <row r="217">
      <c r="A217" s="44" t="n">
        <v>46283</v>
      </c>
      <c r="B217" s="45" t="inlineStr">
        <is>
          <t>Townsville</t>
        </is>
      </c>
      <c r="C217" s="21" t="n">
        <v>7</v>
      </c>
      <c r="D217" s="21" t="n">
        <v>8</v>
      </c>
      <c r="E217" s="20" t="inlineStr">
        <is>
          <t>British Gem</t>
        </is>
      </c>
      <c r="F217" s="46" t="inlineStr">
        <is>
          <t>Lay</t>
        </is>
      </c>
      <c r="G217" s="47" t="inlineStr">
        <is>
          <t>Lay</t>
        </is>
      </c>
      <c r="H217" s="48" t="n">
        <v>5.2</v>
      </c>
      <c r="I217" s="48" t="n">
        <v>3.7</v>
      </c>
      <c r="J217" s="22" t="n">
        <v>-0.064</v>
      </c>
      <c r="K217" s="49" t="n">
        <v>1</v>
      </c>
      <c r="L217" s="21" t="n">
        <v>8</v>
      </c>
      <c r="M217" s="50" t="inlineStr">
        <is>
          <t>Win</t>
        </is>
      </c>
      <c r="N217" s="23">
        <f>IF(M217="Win",IF(F217="Bet",(I217-1)*K217,K217),IF(M217="Loss",IF(F217="Bet",-K217,-(I217-1)*K217),IF(M217="Void",0,"")))</f>
        <v/>
      </c>
      <c r="O217" s="24">
        <f>IF(OR(M217="Win",M217="Loss"),IF(F217="Bet",K217,(I217-1)*K217),"")</f>
        <v/>
      </c>
    </row>
    <row r="218">
      <c r="A218" s="37" t="n">
        <v>46283</v>
      </c>
      <c r="B218" s="38" t="inlineStr">
        <is>
          <t>Canberra</t>
        </is>
      </c>
      <c r="C218" s="15" t="n">
        <v>8</v>
      </c>
      <c r="D218" s="15" t="n">
        <v>1</v>
      </c>
      <c r="E218" s="14" t="inlineStr">
        <is>
          <t>Famoso</t>
        </is>
      </c>
      <c r="F218" s="39" t="inlineStr">
        <is>
          <t>Bet</t>
        </is>
      </c>
      <c r="G218" s="40" t="inlineStr">
        <is>
          <t>Bet</t>
        </is>
      </c>
      <c r="H218" s="41" t="n">
        <v>7.8</v>
      </c>
      <c r="I218" s="41" t="n">
        <v>9.5</v>
      </c>
      <c r="J218" s="16" t="n">
        <v>0.0232</v>
      </c>
      <c r="K218" s="42" t="n">
        <v>1</v>
      </c>
      <c r="L218" s="15" t="n">
        <v>5</v>
      </c>
      <c r="M218" s="43" t="inlineStr">
        <is>
          <t>Loss</t>
        </is>
      </c>
      <c r="N218" s="17">
        <f>IF(M218="Win",IF(F218="Bet",(I218-1)*K218,K218),IF(M218="Loss",IF(F218="Bet",-K218,-(I218-1)*K218),IF(M218="Void",0,"")))</f>
        <v/>
      </c>
      <c r="O218" s="18">
        <f>IF(OR(M218="Win",M218="Loss"),IF(F218="Bet",K218,(I218-1)*K218),"")</f>
        <v/>
      </c>
    </row>
    <row r="219">
      <c r="A219" s="44" t="n">
        <v>46283</v>
      </c>
      <c r="B219" s="45" t="inlineStr">
        <is>
          <t>Newcastle</t>
        </is>
      </c>
      <c r="C219" s="21" t="n">
        <v>7</v>
      </c>
      <c r="D219" s="21" t="n">
        <v>2</v>
      </c>
      <c r="E219" s="20" t="inlineStr">
        <is>
          <t>Vivy Air</t>
        </is>
      </c>
      <c r="F219" s="52" t="inlineStr">
        <is>
          <t>Bet</t>
        </is>
      </c>
      <c r="G219" s="56" t="inlineStr">
        <is>
          <t>Way</t>
        </is>
      </c>
      <c r="H219" s="48" t="n">
        <v>14.3</v>
      </c>
      <c r="I219" s="48" t="n">
        <v>21</v>
      </c>
      <c r="J219" s="22" t="n">
        <v>0.0222</v>
      </c>
      <c r="K219" s="49" t="n">
        <v>0.1</v>
      </c>
      <c r="L219" s="21" t="n">
        <v>8</v>
      </c>
      <c r="M219" s="46" t="inlineStr">
        <is>
          <t>Loss</t>
        </is>
      </c>
      <c r="N219" s="23">
        <f>IF(M219="Win",IF(F219="Bet",(I219-1)*K219,K219),IF(M219="Loss",IF(F219="Bet",-K219,-(I219-1)*K219),IF(M219="Void",0,"")))</f>
        <v/>
      </c>
      <c r="O219" s="24">
        <f>IF(OR(M219="Win",M219="Loss"),IF(F219="Bet",K219,(I219-1)*K219),"")</f>
        <v/>
      </c>
    </row>
    <row r="220">
      <c r="A220" s="37" t="n">
        <v>46283</v>
      </c>
      <c r="B220" s="38" t="inlineStr">
        <is>
          <t>Townsville</t>
        </is>
      </c>
      <c r="C220" s="15" t="n">
        <v>7</v>
      </c>
      <c r="D220" s="15" t="n">
        <v>4</v>
      </c>
      <c r="E220" s="14" t="inlineStr">
        <is>
          <t>Redlights On</t>
        </is>
      </c>
      <c r="F220" s="39" t="inlineStr">
        <is>
          <t>Bet</t>
        </is>
      </c>
      <c r="G220" s="56" t="inlineStr">
        <is>
          <t>Way</t>
        </is>
      </c>
      <c r="H220" s="41" t="n">
        <v>15.7</v>
      </c>
      <c r="I220" s="41" t="n">
        <v>23</v>
      </c>
      <c r="J220" s="16" t="n">
        <v>0.0203</v>
      </c>
      <c r="K220" s="42" t="n">
        <v>0.1</v>
      </c>
      <c r="L220" s="15" t="n">
        <v>7</v>
      </c>
      <c r="M220" s="43" t="inlineStr">
        <is>
          <t>Loss</t>
        </is>
      </c>
      <c r="N220" s="17">
        <f>IF(M220="Win",IF(F220="Bet",(I220-1)*K220,K220),IF(M220="Loss",IF(F220="Bet",-K220,-(I220-1)*K220),IF(M220="Void",0,"")))</f>
        <v/>
      </c>
      <c r="O220" s="18">
        <f>IF(OR(M220="Win",M220="Loss"),IF(F220="Bet",K220,(I220-1)*K220),"")</f>
        <v/>
      </c>
    </row>
    <row r="221">
      <c r="A221" s="44" t="n">
        <v>46283</v>
      </c>
      <c r="B221" s="45" t="inlineStr">
        <is>
          <t>Ballarat</t>
        </is>
      </c>
      <c r="C221" s="21" t="n">
        <v>9</v>
      </c>
      <c r="D221" s="21" t="n">
        <v>5</v>
      </c>
      <c r="E221" s="20" t="inlineStr">
        <is>
          <t>La Barrita</t>
        </is>
      </c>
      <c r="F221" s="46" t="inlineStr">
        <is>
          <t>Lay</t>
        </is>
      </c>
      <c r="G221" s="47" t="inlineStr">
        <is>
          <t>Lay</t>
        </is>
      </c>
      <c r="H221" s="48" t="n">
        <v>6</v>
      </c>
      <c r="I221" s="48" t="n">
        <v>3.61</v>
      </c>
      <c r="J221" s="22" t="n">
        <v>-0.0704</v>
      </c>
      <c r="K221" s="49" t="n">
        <v>1</v>
      </c>
      <c r="L221" s="21" t="n">
        <v>1</v>
      </c>
      <c r="M221" s="46" t="inlineStr">
        <is>
          <t>Loss</t>
        </is>
      </c>
      <c r="N221" s="23">
        <f>IF(M221="Win",IF(F221="Bet",(I221-1)*K221,K221),IF(M221="Loss",IF(F221="Bet",-K221,-(I221-1)*K221),IF(M221="Void",0,"")))</f>
        <v/>
      </c>
      <c r="O221" s="24">
        <f>IF(OR(M221="Win",M221="Loss"),IF(F221="Bet",K221,(I221-1)*K221),"")</f>
        <v/>
      </c>
    </row>
    <row r="222">
      <c r="A222" s="37" t="n">
        <v>46283</v>
      </c>
      <c r="B222" s="38" t="inlineStr">
        <is>
          <t>Ballarat</t>
        </is>
      </c>
      <c r="C222" s="15" t="n">
        <v>9</v>
      </c>
      <c r="D222" s="15" t="n">
        <v>3</v>
      </c>
      <c r="E222" s="14" t="inlineStr">
        <is>
          <t>Almost An Angel</t>
        </is>
      </c>
      <c r="F222" s="39" t="inlineStr">
        <is>
          <t>Bet</t>
        </is>
      </c>
      <c r="G222" s="40" t="inlineStr">
        <is>
          <t>Bet</t>
        </is>
      </c>
      <c r="H222" s="41" t="n">
        <v>7.2</v>
      </c>
      <c r="I222" s="41" t="n">
        <v>8.5</v>
      </c>
      <c r="J222" s="16" t="n">
        <v>0.0214</v>
      </c>
      <c r="K222" s="42" t="n">
        <v>1</v>
      </c>
      <c r="L222" s="15" t="n">
        <v>6</v>
      </c>
      <c r="M222" s="43" t="inlineStr">
        <is>
          <t>Loss</t>
        </is>
      </c>
      <c r="N222" s="17">
        <f>IF(M222="Win",IF(F222="Bet",(I222-1)*K222,K222),IF(M222="Loss",IF(F222="Bet",-K222,-(I222-1)*K222),IF(M222="Void",0,"")))</f>
        <v/>
      </c>
      <c r="O222" s="18">
        <f>IF(OR(M222="Win",M222="Loss"),IF(F222="Bet",K222,(I222-1)*K222),"")</f>
        <v/>
      </c>
    </row>
    <row r="223">
      <c r="A223" s="44" t="n">
        <v>46284</v>
      </c>
      <c r="B223" s="45" t="inlineStr">
        <is>
          <t>Randwick</t>
        </is>
      </c>
      <c r="C223" s="21" t="n">
        <v>2</v>
      </c>
      <c r="D223" s="21" t="n">
        <v>2</v>
      </c>
      <c r="E223" s="20" t="inlineStr">
        <is>
          <t>Barrengarry</t>
        </is>
      </c>
      <c r="F223" s="46" t="inlineStr">
        <is>
          <t>Lay</t>
        </is>
      </c>
      <c r="G223" s="47" t="inlineStr">
        <is>
          <t>Lay</t>
        </is>
      </c>
      <c r="H223" s="48" t="n">
        <v>2.6</v>
      </c>
      <c r="I223" s="48" t="n">
        <v>1.78</v>
      </c>
      <c r="J223" s="22" t="n">
        <v>-0.1063</v>
      </c>
      <c r="K223" s="49" t="n">
        <v>1</v>
      </c>
      <c r="L223" s="21" t="n">
        <v>1</v>
      </c>
      <c r="M223" s="46" t="inlineStr">
        <is>
          <t>Loss</t>
        </is>
      </c>
      <c r="N223" s="23">
        <f>IF(M223="Win",IF(F223="Bet",(I223-1)*K223,K223),IF(M223="Loss",IF(F223="Bet",-K223,-(I223-1)*K223),IF(M223="Void",0,"")))</f>
        <v/>
      </c>
      <c r="O223" s="24">
        <f>IF(OR(M223="Win",M223="Loss"),IF(F223="Bet",K223,(I223-1)*K223),"")</f>
        <v/>
      </c>
    </row>
    <row r="224">
      <c r="A224" s="37" t="n">
        <v>46284</v>
      </c>
      <c r="B224" s="38" t="inlineStr">
        <is>
          <t>Caulfield</t>
        </is>
      </c>
      <c r="C224" s="15" t="n">
        <v>4</v>
      </c>
      <c r="D224" s="15" t="n">
        <v>10</v>
      </c>
      <c r="E224" s="14" t="inlineStr">
        <is>
          <t>Saintly Dancer</t>
        </is>
      </c>
      <c r="F224" s="39" t="inlineStr">
        <is>
          <t>Bet</t>
        </is>
      </c>
      <c r="G224" s="40" t="inlineStr">
        <is>
          <t>Bet</t>
        </is>
      </c>
      <c r="H224" s="41" t="n">
        <v>6.3</v>
      </c>
      <c r="I224" s="41" t="n">
        <v>8.5</v>
      </c>
      <c r="J224" s="16" t="n">
        <v>0.0259</v>
      </c>
      <c r="K224" s="42" t="n">
        <v>1</v>
      </c>
      <c r="L224" s="15" t="n">
        <v>2</v>
      </c>
      <c r="M224" s="43" t="inlineStr">
        <is>
          <t>Loss</t>
        </is>
      </c>
      <c r="N224" s="17">
        <f>IF(M224="Win",IF(F224="Bet",(I224-1)*K224,K224),IF(M224="Loss",IF(F224="Bet",-K224,-(I224-1)*K224),IF(M224="Void",0,"")))</f>
        <v/>
      </c>
      <c r="O224" s="18">
        <f>IF(OR(M224="Win",M224="Loss"),IF(F224="Bet",K224,(I224-1)*K224),"")</f>
        <v/>
      </c>
    </row>
    <row r="225">
      <c r="A225" s="44" t="n">
        <v>46284</v>
      </c>
      <c r="B225" s="45" t="inlineStr">
        <is>
          <t>Morphettville Parks</t>
        </is>
      </c>
      <c r="C225" s="21" t="n">
        <v>3</v>
      </c>
      <c r="D225" s="21" t="n">
        <v>6</v>
      </c>
      <c r="E225" s="20" t="inlineStr">
        <is>
          <t>Light The Night</t>
        </is>
      </c>
      <c r="F225" s="46" t="inlineStr">
        <is>
          <t>Lay</t>
        </is>
      </c>
      <c r="G225" s="47" t="inlineStr">
        <is>
          <t>Lay</t>
        </is>
      </c>
      <c r="H225" s="48" t="n">
        <v>3.4</v>
      </c>
      <c r="I225" s="48" t="n">
        <v>2.5</v>
      </c>
      <c r="J225" s="22" t="n">
        <v>-0.0619</v>
      </c>
      <c r="K225" s="49" t="n">
        <v>1</v>
      </c>
      <c r="L225" s="21" t="n">
        <v>2</v>
      </c>
      <c r="M225" s="50" t="inlineStr">
        <is>
          <t>Win</t>
        </is>
      </c>
      <c r="N225" s="23">
        <f>IF(M225="Win",IF(F225="Bet",(I225-1)*K225,K225),IF(M225="Loss",IF(F225="Bet",-K225,-(I225-1)*K225),IF(M225="Void",0,"")))</f>
        <v/>
      </c>
      <c r="O225" s="24">
        <f>IF(OR(M225="Win",M225="Loss"),IF(F225="Bet",K225,(I225-1)*K225),"")</f>
        <v/>
      </c>
    </row>
    <row r="226">
      <c r="A226" s="37" t="n">
        <v>46284</v>
      </c>
      <c r="B226" s="38" t="inlineStr">
        <is>
          <t>Caulfield</t>
        </is>
      </c>
      <c r="C226" s="15" t="n">
        <v>8</v>
      </c>
      <c r="D226" s="15" t="n">
        <v>14</v>
      </c>
      <c r="E226" s="14" t="inlineStr">
        <is>
          <t>Zahrann</t>
        </is>
      </c>
      <c r="F226" s="43" t="inlineStr">
        <is>
          <t>Lay</t>
        </is>
      </c>
      <c r="G226" s="47" t="inlineStr">
        <is>
          <t>Lay</t>
        </is>
      </c>
      <c r="H226" s="41" t="n">
        <v>4.4</v>
      </c>
      <c r="I226" s="41" t="n">
        <v>3.05</v>
      </c>
      <c r="J226" s="16" t="n">
        <v>-0.0779</v>
      </c>
      <c r="K226" s="42" t="n">
        <v>1</v>
      </c>
      <c r="L226" s="15" t="n">
        <v>1</v>
      </c>
      <c r="M226" s="43" t="inlineStr">
        <is>
          <t>Loss</t>
        </is>
      </c>
      <c r="N226" s="17">
        <f>IF(M226="Win",IF(F226="Bet",(I226-1)*K226,K226),IF(M226="Loss",IF(F226="Bet",-K226,-(I226-1)*K226),IF(M226="Void",0,"")))</f>
        <v/>
      </c>
      <c r="O226" s="18">
        <f>IF(OR(M226="Win",M226="Loss"),IF(F226="Bet",K226,(I226-1)*K226),"")</f>
        <v/>
      </c>
    </row>
    <row r="227">
      <c r="A227" s="44" t="n">
        <v>46284</v>
      </c>
      <c r="B227" s="45" t="inlineStr">
        <is>
          <t>Wagga</t>
        </is>
      </c>
      <c r="C227" s="21" t="n">
        <v>4</v>
      </c>
      <c r="D227" s="21" t="n">
        <v>1</v>
      </c>
      <c r="E227" s="20" t="inlineStr">
        <is>
          <t>Super Paradise</t>
        </is>
      </c>
      <c r="F227" s="52" t="inlineStr">
        <is>
          <t>Bet</t>
        </is>
      </c>
      <c r="G227" s="40" t="inlineStr">
        <is>
          <t>Bet</t>
        </is>
      </c>
      <c r="H227" s="48" t="n">
        <v>9.6</v>
      </c>
      <c r="I227" s="48" t="n">
        <v>12</v>
      </c>
      <c r="J227" s="22" t="n">
        <v>0.0212</v>
      </c>
      <c r="K227" s="49" t="n">
        <v>1</v>
      </c>
      <c r="L227" s="21" t="n">
        <v>9</v>
      </c>
      <c r="M227" s="46" t="inlineStr">
        <is>
          <t>Loss</t>
        </is>
      </c>
      <c r="N227" s="23">
        <f>IF(M227="Win",IF(F227="Bet",(I227-1)*K227,K227),IF(M227="Loss",IF(F227="Bet",-K227,-(I227-1)*K227),IF(M227="Void",0,"")))</f>
        <v/>
      </c>
      <c r="O227" s="24">
        <f>IF(OR(M227="Win",M227="Loss"),IF(F227="Bet",K227,(I227-1)*K227),"")</f>
        <v/>
      </c>
    </row>
    <row r="228">
      <c r="A228" s="37" t="n">
        <v>46284</v>
      </c>
      <c r="B228" s="38" t="inlineStr">
        <is>
          <t>Eagle Farm</t>
        </is>
      </c>
      <c r="C228" s="15" t="n">
        <v>1</v>
      </c>
      <c r="D228" s="15" t="n">
        <v>1</v>
      </c>
      <c r="E228" s="14" t="inlineStr">
        <is>
          <t>Zweigelt</t>
        </is>
      </c>
      <c r="F228" s="43" t="inlineStr">
        <is>
          <t>Lay</t>
        </is>
      </c>
      <c r="G228" s="47" t="inlineStr">
        <is>
          <t>Lay</t>
        </is>
      </c>
      <c r="H228" s="41" t="n">
        <v>3.7</v>
      </c>
      <c r="I228" s="41" t="n">
        <v>2.86</v>
      </c>
      <c r="J228" s="16" t="n">
        <v>-0.0604</v>
      </c>
      <c r="K228" s="42" t="n">
        <v>1</v>
      </c>
      <c r="L228" s="15" t="n">
        <v>1</v>
      </c>
      <c r="M228" s="43" t="inlineStr">
        <is>
          <t>Loss</t>
        </is>
      </c>
      <c r="N228" s="17">
        <f>IF(M228="Win",IF(F228="Bet",(I228-1)*K228,K228),IF(M228="Loss",IF(F228="Bet",-K228,-(I228-1)*K228),IF(M228="Void",0,"")))</f>
        <v/>
      </c>
      <c r="O228" s="18">
        <f>IF(OR(M228="Win",M228="Loss"),IF(F228="Bet",K228,(I228-1)*K228),"")</f>
        <v/>
      </c>
    </row>
    <row r="229">
      <c r="A229" s="44" t="n">
        <v>46284</v>
      </c>
      <c r="B229" s="45" t="inlineStr">
        <is>
          <t>Gold Coast</t>
        </is>
      </c>
      <c r="C229" s="21" t="n">
        <v>8</v>
      </c>
      <c r="D229" s="21" t="n">
        <v>4</v>
      </c>
      <c r="E229" s="20" t="inlineStr">
        <is>
          <t>Metaphorically</t>
        </is>
      </c>
      <c r="F229" s="46" t="inlineStr">
        <is>
          <t>Lay</t>
        </is>
      </c>
      <c r="G229" s="47" t="inlineStr">
        <is>
          <t>Lay</t>
        </is>
      </c>
      <c r="H229" s="48" t="n">
        <v>5</v>
      </c>
      <c r="I229" s="48" t="n">
        <v>2.62</v>
      </c>
      <c r="J229" s="22" t="n">
        <v>-0.0759</v>
      </c>
      <c r="K229" s="49" t="n">
        <v>1</v>
      </c>
      <c r="L229" s="21" t="n">
        <v>1</v>
      </c>
      <c r="M229" s="46" t="inlineStr">
        <is>
          <t>Loss</t>
        </is>
      </c>
      <c r="N229" s="23">
        <f>IF(M229="Win",IF(F229="Bet",(I229-1)*K229,K229),IF(M229="Loss",IF(F229="Bet",-K229,-(I229-1)*K229),IF(M229="Void",0,"")))</f>
        <v/>
      </c>
      <c r="O229" s="24">
        <f>IF(OR(M229="Win",M229="Loss"),IF(F229="Bet",K229,(I229-1)*K229),"")</f>
        <v/>
      </c>
    </row>
    <row r="230">
      <c r="A230" s="37" t="n">
        <v>46284</v>
      </c>
      <c r="B230" s="38" t="inlineStr">
        <is>
          <t>Bowraville</t>
        </is>
      </c>
      <c r="C230" s="15" t="n">
        <v>3</v>
      </c>
      <c r="D230" s="15" t="n">
        <v>1</v>
      </c>
      <c r="E230" s="14" t="inlineStr">
        <is>
          <t>Dis Is Heaven</t>
        </is>
      </c>
      <c r="F230" s="39" t="inlineStr">
        <is>
          <t>Bet</t>
        </is>
      </c>
      <c r="G230" s="53" t="inlineStr">
        <is>
          <t>Prime</t>
        </is>
      </c>
      <c r="H230" s="41" t="n">
        <v>1.95</v>
      </c>
      <c r="I230" s="41" t="n">
        <v>3.52</v>
      </c>
      <c r="J230" s="16" t="n">
        <v>0.0328</v>
      </c>
      <c r="K230" s="42" t="n">
        <v>1</v>
      </c>
      <c r="L230" s="15" t="n">
        <v>3</v>
      </c>
      <c r="M230" s="43" t="inlineStr">
        <is>
          <t>Loss</t>
        </is>
      </c>
      <c r="N230" s="17">
        <f>IF(M230="Win",IF(F230="Bet",(I230-1)*K230,K230),IF(M230="Loss",IF(F230="Bet",-K230,-(I230-1)*K230),IF(M230="Void",0,"")))</f>
        <v/>
      </c>
      <c r="O230" s="18">
        <f>IF(OR(M230="Win",M230="Loss"),IF(F230="Bet",K230,(I230-1)*K230),"")</f>
        <v/>
      </c>
    </row>
    <row r="231">
      <c r="A231" s="44" t="n">
        <v>46284</v>
      </c>
      <c r="B231" s="45" t="inlineStr">
        <is>
          <t>Gold Coast</t>
        </is>
      </c>
      <c r="C231" s="21" t="n">
        <v>9</v>
      </c>
      <c r="D231" s="21" t="n">
        <v>8</v>
      </c>
      <c r="E231" s="20" t="inlineStr">
        <is>
          <t>Hurricane Lu</t>
        </is>
      </c>
      <c r="F231" s="46" t="inlineStr">
        <is>
          <t>Lay</t>
        </is>
      </c>
      <c r="G231" s="47" t="inlineStr">
        <is>
          <t>Lay</t>
        </is>
      </c>
      <c r="H231" s="48" t="n">
        <v>3.3</v>
      </c>
      <c r="I231" s="48" t="n">
        <v>1.91</v>
      </c>
      <c r="J231" s="22" t="n">
        <v>-0.0708</v>
      </c>
      <c r="K231" s="49" t="n">
        <v>1</v>
      </c>
      <c r="L231" s="21" t="n">
        <v>3</v>
      </c>
      <c r="M231" s="50" t="inlineStr">
        <is>
          <t>Win</t>
        </is>
      </c>
      <c r="N231" s="23">
        <f>IF(M231="Win",IF(F231="Bet",(I231-1)*K231,K231),IF(M231="Loss",IF(F231="Bet",-K231,-(I231-1)*K231),IF(M231="Void",0,"")))</f>
        <v/>
      </c>
      <c r="O231" s="24">
        <f>IF(OR(M231="Win",M231="Loss"),IF(F231="Bet",K231,(I231-1)*K231),"")</f>
        <v/>
      </c>
    </row>
    <row r="232">
      <c r="A232" s="37" t="n">
        <v>46284</v>
      </c>
      <c r="B232" s="38" t="inlineStr">
        <is>
          <t>Darwin</t>
        </is>
      </c>
      <c r="C232" s="15" t="n">
        <v>3</v>
      </c>
      <c r="D232" s="15" t="n">
        <v>1</v>
      </c>
      <c r="E232" s="14" t="inlineStr">
        <is>
          <t>Wild Beau</t>
        </is>
      </c>
      <c r="F232" s="43" t="inlineStr">
        <is>
          <t>Lay</t>
        </is>
      </c>
      <c r="G232" s="47" t="inlineStr">
        <is>
          <t>Lay</t>
        </is>
      </c>
      <c r="H232" s="41" t="n">
        <v>1.55</v>
      </c>
      <c r="I232" s="41" t="n">
        <v>1.36</v>
      </c>
      <c r="J232" s="16" t="n">
        <v>-0.0697</v>
      </c>
      <c r="K232" s="42" t="n">
        <v>1</v>
      </c>
      <c r="L232" s="15" t="n">
        <v>1</v>
      </c>
      <c r="M232" s="43" t="inlineStr">
        <is>
          <t>Loss</t>
        </is>
      </c>
      <c r="N232" s="17">
        <f>IF(M232="Win",IF(F232="Bet",(I232-1)*K232,K232),IF(M232="Loss",IF(F232="Bet",-K232,-(I232-1)*K232),IF(M232="Void",0,"")))</f>
        <v/>
      </c>
      <c r="O232" s="18">
        <f>IF(OR(M232="Win",M232="Loss"),IF(F232="Bet",K232,(I232-1)*K232),"")</f>
        <v/>
      </c>
    </row>
    <row r="233">
      <c r="A233" s="44" t="n">
        <v>46284</v>
      </c>
      <c r="B233" s="45" t="inlineStr">
        <is>
          <t>Randwick</t>
        </is>
      </c>
      <c r="C233" s="21" t="n">
        <v>1</v>
      </c>
      <c r="D233" s="21" t="n">
        <v>5</v>
      </c>
      <c r="E233" s="20" t="inlineStr">
        <is>
          <t>Brave Xena</t>
        </is>
      </c>
      <c r="F233" s="52" t="inlineStr">
        <is>
          <t>Bet</t>
        </is>
      </c>
      <c r="G233" s="40" t="inlineStr">
        <is>
          <t>Bet</t>
        </is>
      </c>
      <c r="H233" s="48" t="n">
        <v>5.9</v>
      </c>
      <c r="I233" s="48" t="n">
        <v>11.54</v>
      </c>
      <c r="J233" s="22" t="n">
        <v>0.0253</v>
      </c>
      <c r="K233" s="49" t="n">
        <v>1</v>
      </c>
      <c r="L233" s="21" t="n">
        <v>3</v>
      </c>
      <c r="M233" s="46" t="inlineStr">
        <is>
          <t>Loss</t>
        </is>
      </c>
      <c r="N233" s="23">
        <f>IF(M233="Win",IF(F233="Bet",(I233-1)*K233,K233),IF(M233="Loss",IF(F233="Bet",-K233,-(I233-1)*K233),IF(M233="Void",0,"")))</f>
        <v/>
      </c>
      <c r="O233" s="24">
        <f>IF(OR(M233="Win",M233="Loss"),IF(F233="Bet",K233,(I233-1)*K233),"")</f>
        <v/>
      </c>
    </row>
    <row r="234">
      <c r="A234" s="37" t="n">
        <v>46284</v>
      </c>
      <c r="B234" s="38" t="inlineStr">
        <is>
          <t>Newcastle</t>
        </is>
      </c>
      <c r="C234" s="15" t="n">
        <v>4</v>
      </c>
      <c r="D234" s="15" t="n">
        <v>5</v>
      </c>
      <c r="E234" s="14" t="inlineStr">
        <is>
          <t>Mr Fabulous</t>
        </is>
      </c>
      <c r="F234" s="39" t="inlineStr">
        <is>
          <t>Bet</t>
        </is>
      </c>
      <c r="G234" s="40" t="inlineStr">
        <is>
          <t>Bet</t>
        </is>
      </c>
      <c r="H234" s="41" t="n">
        <v>10</v>
      </c>
      <c r="I234" s="41" t="n">
        <v>18</v>
      </c>
      <c r="J234" s="16" t="n">
        <v>0.0287</v>
      </c>
      <c r="K234" s="42" t="n">
        <v>1</v>
      </c>
      <c r="L234" s="15" t="n">
        <v>4</v>
      </c>
      <c r="M234" s="43" t="inlineStr">
        <is>
          <t>Loss</t>
        </is>
      </c>
      <c r="N234" s="17">
        <f>IF(M234="Win",IF(F234="Bet",(I234-1)*K234,K234),IF(M234="Loss",IF(F234="Bet",-K234,-(I234-1)*K234),IF(M234="Void",0,"")))</f>
        <v/>
      </c>
      <c r="O234" s="18">
        <f>IF(OR(M234="Win",M234="Loss"),IF(F234="Bet",K234,(I234-1)*K234),"")</f>
        <v/>
      </c>
    </row>
    <row r="235">
      <c r="A235" s="44" t="n">
        <v>46284</v>
      </c>
      <c r="B235" s="45" t="inlineStr">
        <is>
          <t>Randwick</t>
        </is>
      </c>
      <c r="C235" s="21" t="n">
        <v>1</v>
      </c>
      <c r="D235" s="21" t="n">
        <v>10</v>
      </c>
      <c r="E235" s="20" t="inlineStr">
        <is>
          <t>Cruizingthestars</t>
        </is>
      </c>
      <c r="F235" s="46" t="inlineStr">
        <is>
          <t>Lay</t>
        </is>
      </c>
      <c r="G235" s="47" t="inlineStr">
        <is>
          <t>Lay</t>
        </is>
      </c>
      <c r="H235" s="48" t="n">
        <v>5.7</v>
      </c>
      <c r="I235" s="48" t="n">
        <v>3.23</v>
      </c>
      <c r="J235" s="22" t="n">
        <v>-0.0639</v>
      </c>
      <c r="K235" s="49" t="n">
        <v>1</v>
      </c>
      <c r="L235" s="21" t="n">
        <v>1</v>
      </c>
      <c r="M235" s="46" t="inlineStr">
        <is>
          <t>Loss</t>
        </is>
      </c>
      <c r="N235" s="23">
        <f>IF(M235="Win",IF(F235="Bet",(I235-1)*K235,K235),IF(M235="Loss",IF(F235="Bet",-K235,-(I235-1)*K235),IF(M235="Void",0,"")))</f>
        <v/>
      </c>
      <c r="O235" s="24">
        <f>IF(OR(M235="Win",M235="Loss"),IF(F235="Bet",K235,(I235-1)*K235),"")</f>
        <v/>
      </c>
    </row>
    <row r="236">
      <c r="A236" s="37" t="n">
        <v>46284</v>
      </c>
      <c r="B236" s="38" t="inlineStr">
        <is>
          <t>Darwin</t>
        </is>
      </c>
      <c r="C236" s="15" t="n">
        <v>2</v>
      </c>
      <c r="D236" s="15" t="n">
        <v>2</v>
      </c>
      <c r="E236" s="14" t="inlineStr">
        <is>
          <t>All Inclusive</t>
        </is>
      </c>
      <c r="F236" s="43" t="inlineStr">
        <is>
          <t>Lay</t>
        </is>
      </c>
      <c r="G236" s="47" t="inlineStr">
        <is>
          <t>Lay</t>
        </is>
      </c>
      <c r="H236" s="41" t="n">
        <v>3.7</v>
      </c>
      <c r="I236" s="41" t="n">
        <v>2.46</v>
      </c>
      <c r="J236" s="16" t="n">
        <v>-0.0757</v>
      </c>
      <c r="K236" s="42" t="n">
        <v>1</v>
      </c>
      <c r="L236" s="15" t="n">
        <v>1</v>
      </c>
      <c r="M236" s="43" t="inlineStr">
        <is>
          <t>Loss</t>
        </is>
      </c>
      <c r="N236" s="17">
        <f>IF(M236="Win",IF(F236="Bet",(I236-1)*K236,K236),IF(M236="Loss",IF(F236="Bet",-K236,-(I236-1)*K236),IF(M236="Void",0,"")))</f>
        <v/>
      </c>
      <c r="O236" s="18">
        <f>IF(OR(M236="Win",M236="Loss"),IF(F236="Bet",K236,(I236-1)*K236),"")</f>
        <v/>
      </c>
    </row>
    <row r="237">
      <c r="A237" s="44" t="n">
        <v>46284</v>
      </c>
      <c r="B237" s="45" t="inlineStr">
        <is>
          <t>Eagle Farm</t>
        </is>
      </c>
      <c r="C237" s="21" t="n">
        <v>2</v>
      </c>
      <c r="D237" s="21" t="n">
        <v>15</v>
      </c>
      <c r="E237" s="20" t="inlineStr">
        <is>
          <t>Metric</t>
        </is>
      </c>
      <c r="F237" s="46" t="inlineStr">
        <is>
          <t>Lay</t>
        </is>
      </c>
      <c r="G237" s="47" t="inlineStr">
        <is>
          <t>Lay</t>
        </is>
      </c>
      <c r="H237" s="48" t="n">
        <v>3.2</v>
      </c>
      <c r="I237" s="48" t="n">
        <v>2.28</v>
      </c>
      <c r="J237" s="22" t="n">
        <v>-0.07530000000000001</v>
      </c>
      <c r="K237" s="49" t="n">
        <v>1</v>
      </c>
      <c r="L237" s="21" t="n">
        <v>1</v>
      </c>
      <c r="M237" s="46" t="inlineStr">
        <is>
          <t>Loss</t>
        </is>
      </c>
      <c r="N237" s="23">
        <f>IF(M237="Win",IF(F237="Bet",(I237-1)*K237,K237),IF(M237="Loss",IF(F237="Bet",-K237,-(I237-1)*K237),IF(M237="Void",0,"")))</f>
        <v/>
      </c>
      <c r="O237" s="24">
        <f>IF(OR(M237="Win",M237="Loss"),IF(F237="Bet",K237,(I237-1)*K237),"")</f>
        <v/>
      </c>
    </row>
    <row r="238">
      <c r="A238" s="37" t="n">
        <v>46284</v>
      </c>
      <c r="B238" s="38" t="inlineStr">
        <is>
          <t>Eagle Farm</t>
        </is>
      </c>
      <c r="C238" s="15" t="n">
        <v>5</v>
      </c>
      <c r="D238" s="15" t="n">
        <v>1</v>
      </c>
      <c r="E238" s="14" t="inlineStr">
        <is>
          <t>Imperial Force</t>
        </is>
      </c>
      <c r="F238" s="39" t="inlineStr">
        <is>
          <t>Bet</t>
        </is>
      </c>
      <c r="G238" s="40" t="inlineStr">
        <is>
          <t>Bet</t>
        </is>
      </c>
      <c r="H238" s="41" t="n">
        <v>8.5</v>
      </c>
      <c r="I238" s="41" t="n">
        <v>11</v>
      </c>
      <c r="J238" s="16" t="n">
        <v>0.027</v>
      </c>
      <c r="K238" s="42" t="n">
        <v>1</v>
      </c>
      <c r="L238" s="15" t="n">
        <v>5</v>
      </c>
      <c r="M238" s="43" t="inlineStr">
        <is>
          <t>Loss</t>
        </is>
      </c>
      <c r="N238" s="17">
        <f>IF(M238="Win",IF(F238="Bet",(I238-1)*K238,K238),IF(M238="Loss",IF(F238="Bet",-K238,-(I238-1)*K238),IF(M238="Void",0,"")))</f>
        <v/>
      </c>
      <c r="O238" s="18">
        <f>IF(OR(M238="Win",M238="Loss"),IF(F238="Bet",K238,(I238-1)*K238),"")</f>
        <v/>
      </c>
    </row>
    <row r="239">
      <c r="A239" s="44" t="n">
        <v>46284</v>
      </c>
      <c r="B239" s="45" t="inlineStr">
        <is>
          <t>Belmont</t>
        </is>
      </c>
      <c r="C239" s="21" t="n">
        <v>4</v>
      </c>
      <c r="D239" s="21" t="n">
        <v>1</v>
      </c>
      <c r="E239" s="20" t="inlineStr">
        <is>
          <t>Too Dardy</t>
        </is>
      </c>
      <c r="F239" s="52" t="inlineStr">
        <is>
          <t>Bet</t>
        </is>
      </c>
      <c r="G239" s="40" t="inlineStr">
        <is>
          <t>Bet</t>
        </is>
      </c>
      <c r="H239" s="48" t="n">
        <v>4.7</v>
      </c>
      <c r="I239" s="48" t="n">
        <v>5.5</v>
      </c>
      <c r="J239" s="22" t="n">
        <v>0.0317</v>
      </c>
      <c r="K239" s="49" t="n">
        <v>1</v>
      </c>
      <c r="L239" s="21" t="n">
        <v>2</v>
      </c>
      <c r="M239" s="46" t="inlineStr">
        <is>
          <t>Loss</t>
        </is>
      </c>
      <c r="N239" s="23">
        <f>IF(M239="Win",IF(F239="Bet",(I239-1)*K239,K239),IF(M239="Loss",IF(F239="Bet",-K239,-(I239-1)*K239),IF(M239="Void",0,"")))</f>
        <v/>
      </c>
      <c r="O239" s="24">
        <f>IF(OR(M239="Win",M239="Loss"),IF(F239="Bet",K239,(I239-1)*K239),"")</f>
        <v/>
      </c>
    </row>
    <row r="240">
      <c r="A240" s="37" t="n">
        <v>46284</v>
      </c>
      <c r="B240" s="38" t="inlineStr">
        <is>
          <t>Gold Coast</t>
        </is>
      </c>
      <c r="C240" s="15" t="n">
        <v>3</v>
      </c>
      <c r="D240" s="15" t="n">
        <v>11</v>
      </c>
      <c r="E240" s="14" t="inlineStr">
        <is>
          <t>Brain Wave</t>
        </is>
      </c>
      <c r="F240" s="39" t="inlineStr">
        <is>
          <t>Bet</t>
        </is>
      </c>
      <c r="G240" s="40" t="inlineStr">
        <is>
          <t>Bet</t>
        </is>
      </c>
      <c r="H240" s="41" t="n">
        <v>8.699999999999999</v>
      </c>
      <c r="I240" s="41" t="n">
        <v>12</v>
      </c>
      <c r="J240" s="16" t="n">
        <v>0.0318</v>
      </c>
      <c r="K240" s="42" t="n">
        <v>1</v>
      </c>
      <c r="L240" s="15" t="n"/>
      <c r="M240" s="54" t="inlineStr">
        <is>
          <t>Void</t>
        </is>
      </c>
      <c r="N240" s="17">
        <f>IF(M240="Win",IF(F240="Bet",(I240-1)*K240,K240),IF(M240="Loss",IF(F240="Bet",-K240,-(I240-1)*K240),IF(M240="Void",0,"")))</f>
        <v/>
      </c>
      <c r="O240" s="18">
        <f>IF(OR(M240="Win",M240="Loss"),IF(F240="Bet",K240,(I240-1)*K240),"")</f>
        <v/>
      </c>
    </row>
    <row r="241">
      <c r="A241" s="44" t="n">
        <v>46284</v>
      </c>
      <c r="B241" s="45" t="inlineStr">
        <is>
          <t>Eagle Farm</t>
        </is>
      </c>
      <c r="C241" s="21" t="n">
        <v>5</v>
      </c>
      <c r="D241" s="21" t="n">
        <v>6</v>
      </c>
      <c r="E241" s="20" t="inlineStr">
        <is>
          <t>Esha</t>
        </is>
      </c>
      <c r="F241" s="46" t="inlineStr">
        <is>
          <t>Lay</t>
        </is>
      </c>
      <c r="G241" s="47" t="inlineStr">
        <is>
          <t>Lay</t>
        </is>
      </c>
      <c r="H241" s="48" t="n">
        <v>2.1</v>
      </c>
      <c r="I241" s="48" t="n">
        <v>1.57</v>
      </c>
      <c r="J241" s="22" t="n">
        <v>-0.07779999999999999</v>
      </c>
      <c r="K241" s="49" t="n">
        <v>1</v>
      </c>
      <c r="L241" s="21" t="n">
        <v>1</v>
      </c>
      <c r="M241" s="46" t="inlineStr">
        <is>
          <t>Loss</t>
        </is>
      </c>
      <c r="N241" s="23">
        <f>IF(M241="Win",IF(F241="Bet",(I241-1)*K241,K241),IF(M241="Loss",IF(F241="Bet",-K241,-(I241-1)*K241),IF(M241="Void",0,"")))</f>
        <v/>
      </c>
      <c r="O241" s="24">
        <f>IF(OR(M241="Win",M241="Loss"),IF(F241="Bet",K241,(I241-1)*K241),"")</f>
        <v/>
      </c>
    </row>
    <row r="242">
      <c r="A242" s="37" t="n">
        <v>46284</v>
      </c>
      <c r="B242" s="38" t="inlineStr">
        <is>
          <t>Eagle Farm</t>
        </is>
      </c>
      <c r="C242" s="15" t="n">
        <v>6</v>
      </c>
      <c r="D242" s="15" t="n">
        <v>1</v>
      </c>
      <c r="E242" s="14" t="inlineStr">
        <is>
          <t>Midnight Spirit</t>
        </is>
      </c>
      <c r="F242" s="39" t="inlineStr">
        <is>
          <t>Bet</t>
        </is>
      </c>
      <c r="G242" s="40" t="inlineStr">
        <is>
          <t>Bet</t>
        </is>
      </c>
      <c r="H242" s="41" t="n">
        <v>8.1</v>
      </c>
      <c r="I242" s="41" t="n">
        <v>11</v>
      </c>
      <c r="J242" s="16" t="n">
        <v>0.0325</v>
      </c>
      <c r="K242" s="42" t="n">
        <v>1</v>
      </c>
      <c r="L242" s="15" t="n">
        <v>3</v>
      </c>
      <c r="M242" s="43" t="inlineStr">
        <is>
          <t>Loss</t>
        </is>
      </c>
      <c r="N242" s="17">
        <f>IF(M242="Win",IF(F242="Bet",(I242-1)*K242,K242),IF(M242="Loss",IF(F242="Bet",-K242,-(I242-1)*K242),IF(M242="Void",0,"")))</f>
        <v/>
      </c>
      <c r="O242" s="18">
        <f>IF(OR(M242="Win",M242="Loss"),IF(F242="Bet",K242,(I242-1)*K242),"")</f>
        <v/>
      </c>
    </row>
    <row r="243">
      <c r="A243" s="44" t="n">
        <v>46284</v>
      </c>
      <c r="B243" s="45" t="inlineStr">
        <is>
          <t>Eagle Farm</t>
        </is>
      </c>
      <c r="C243" s="21" t="n">
        <v>6</v>
      </c>
      <c r="D243" s="21" t="n">
        <v>11</v>
      </c>
      <c r="E243" s="20" t="inlineStr">
        <is>
          <t>Miss Funny Honey</t>
        </is>
      </c>
      <c r="F243" s="52" t="inlineStr">
        <is>
          <t>Bet</t>
        </is>
      </c>
      <c r="G243" s="40" t="inlineStr">
        <is>
          <t>Bet</t>
        </is>
      </c>
      <c r="H243" s="48" t="n">
        <v>11.7</v>
      </c>
      <c r="I243" s="48" t="n">
        <v>16</v>
      </c>
      <c r="J243" s="22" t="n">
        <v>0.0231</v>
      </c>
      <c r="K243" s="49" t="n">
        <v>1</v>
      </c>
      <c r="L243" s="21" t="n"/>
      <c r="M243" s="55" t="inlineStr">
        <is>
          <t>Void</t>
        </is>
      </c>
      <c r="N243" s="23">
        <f>IF(M243="Win",IF(F243="Bet",(I243-1)*K243,K243),IF(M243="Loss",IF(F243="Bet",-K243,-(I243-1)*K243),IF(M243="Void",0,"")))</f>
        <v/>
      </c>
      <c r="O243" s="24">
        <f>IF(OR(M243="Win",M243="Loss"),IF(F243="Bet",K243,(I243-1)*K243),"")</f>
        <v/>
      </c>
    </row>
    <row r="244">
      <c r="A244" s="37" t="n">
        <v>46284</v>
      </c>
      <c r="B244" s="38" t="inlineStr">
        <is>
          <t>Eagle Farm</t>
        </is>
      </c>
      <c r="C244" s="15" t="n">
        <v>8</v>
      </c>
      <c r="D244" s="15" t="n">
        <v>12</v>
      </c>
      <c r="E244" s="14" t="inlineStr">
        <is>
          <t>Vincley</t>
        </is>
      </c>
      <c r="F244" s="43" t="inlineStr">
        <is>
          <t>Lay</t>
        </is>
      </c>
      <c r="G244" s="47" t="inlineStr">
        <is>
          <t>Lay</t>
        </is>
      </c>
      <c r="H244" s="41" t="n">
        <v>5.2</v>
      </c>
      <c r="I244" s="41" t="n">
        <v>3.8</v>
      </c>
      <c r="J244" s="16" t="n">
        <v>-0.06950000000000001</v>
      </c>
      <c r="K244" s="42" t="n">
        <v>1</v>
      </c>
      <c r="L244" s="15" t="n"/>
      <c r="M244" s="54" t="inlineStr">
        <is>
          <t>Void</t>
        </is>
      </c>
      <c r="N244" s="17">
        <f>IF(M244="Win",IF(F244="Bet",(I244-1)*K244,K244),IF(M244="Loss",IF(F244="Bet",-K244,-(I244-1)*K244),IF(M244="Void",0,"")))</f>
        <v/>
      </c>
      <c r="O244" s="18">
        <f>IF(OR(M244="Win",M244="Loss"),IF(F244="Bet",K244,(I244-1)*K244),"")</f>
        <v/>
      </c>
    </row>
    <row r="245">
      <c r="A245" s="44" t="n">
        <v>46284</v>
      </c>
      <c r="B245" s="45" t="inlineStr">
        <is>
          <t>Newcastle</t>
        </is>
      </c>
      <c r="C245" s="21" t="n">
        <v>1</v>
      </c>
      <c r="D245" s="21" t="n">
        <v>8</v>
      </c>
      <c r="E245" s="20" t="inlineStr">
        <is>
          <t>Excelluna</t>
        </is>
      </c>
      <c r="F245" s="46" t="inlineStr">
        <is>
          <t>Lay</t>
        </is>
      </c>
      <c r="G245" s="47" t="inlineStr">
        <is>
          <t>Lay</t>
        </is>
      </c>
      <c r="H245" s="48" t="n">
        <v>3.2</v>
      </c>
      <c r="I245" s="48" t="n">
        <v>2.6</v>
      </c>
      <c r="J245" s="22" t="n">
        <v>-0.0697</v>
      </c>
      <c r="K245" s="49" t="n">
        <v>1</v>
      </c>
      <c r="L245" s="21" t="n">
        <v>1</v>
      </c>
      <c r="M245" s="46" t="inlineStr">
        <is>
          <t>Loss</t>
        </is>
      </c>
      <c r="N245" s="23">
        <f>IF(M245="Win",IF(F245="Bet",(I245-1)*K245,K245),IF(M245="Loss",IF(F245="Bet",-K245,-(I245-1)*K245),IF(M245="Void",0,"")))</f>
        <v/>
      </c>
      <c r="O245" s="24">
        <f>IF(OR(M245="Win",M245="Loss"),IF(F245="Bet",K245,(I245-1)*K245),"")</f>
        <v/>
      </c>
    </row>
    <row r="246">
      <c r="A246" s="37" t="n">
        <v>46284</v>
      </c>
      <c r="B246" s="38" t="inlineStr">
        <is>
          <t>Newcastle</t>
        </is>
      </c>
      <c r="C246" s="15" t="n">
        <v>2</v>
      </c>
      <c r="D246" s="15" t="n">
        <v>7</v>
      </c>
      <c r="E246" s="14" t="inlineStr">
        <is>
          <t>Klocke</t>
        </is>
      </c>
      <c r="F246" s="43" t="inlineStr">
        <is>
          <t>Lay</t>
        </is>
      </c>
      <c r="G246" s="47" t="inlineStr">
        <is>
          <t>Lay</t>
        </is>
      </c>
      <c r="H246" s="41" t="n">
        <v>2.05</v>
      </c>
      <c r="I246" s="41" t="n">
        <v>1.41</v>
      </c>
      <c r="J246" s="16" t="n">
        <v>-0.0675</v>
      </c>
      <c r="K246" s="42" t="n">
        <v>1</v>
      </c>
      <c r="L246" s="15" t="n">
        <v>2</v>
      </c>
      <c r="M246" s="51" t="inlineStr">
        <is>
          <t>Win</t>
        </is>
      </c>
      <c r="N246" s="17">
        <f>IF(M246="Win",IF(F246="Bet",(I246-1)*K246,K246),IF(M246="Loss",IF(F246="Bet",-K246,-(I246-1)*K246),IF(M246="Void",0,"")))</f>
        <v/>
      </c>
      <c r="O246" s="18">
        <f>IF(OR(M246="Win",M246="Loss"),IF(F246="Bet",K246,(I246-1)*K246),"")</f>
        <v/>
      </c>
    </row>
    <row r="247">
      <c r="A247" s="44" t="n">
        <v>46284</v>
      </c>
      <c r="B247" s="45" t="inlineStr">
        <is>
          <t>Gold Coast</t>
        </is>
      </c>
      <c r="C247" s="21" t="n">
        <v>7</v>
      </c>
      <c r="D247" s="21" t="n">
        <v>1</v>
      </c>
      <c r="E247" s="20" t="inlineStr">
        <is>
          <t>Grand Impact</t>
        </is>
      </c>
      <c r="F247" s="46" t="inlineStr">
        <is>
          <t>Lay</t>
        </is>
      </c>
      <c r="G247" s="47" t="inlineStr">
        <is>
          <t>Lay</t>
        </is>
      </c>
      <c r="H247" s="48" t="n">
        <v>3.3</v>
      </c>
      <c r="I247" s="48" t="n">
        <v>2.48</v>
      </c>
      <c r="J247" s="22" t="n">
        <v>-0.0709</v>
      </c>
      <c r="K247" s="49" t="n">
        <v>1</v>
      </c>
      <c r="L247" s="21" t="n">
        <v>5</v>
      </c>
      <c r="M247" s="50" t="inlineStr">
        <is>
          <t>Win</t>
        </is>
      </c>
      <c r="N247" s="23">
        <f>IF(M247="Win",IF(F247="Bet",(I247-1)*K247,K247),IF(M247="Loss",IF(F247="Bet",-K247,-(I247-1)*K247),IF(M247="Void",0,"")))</f>
        <v/>
      </c>
      <c r="O247" s="24">
        <f>IF(OR(M247="Win",M247="Loss"),IF(F247="Bet",K247,(I247-1)*K247),"")</f>
        <v/>
      </c>
    </row>
    <row r="248">
      <c r="A248" s="37" t="n">
        <v>46284</v>
      </c>
      <c r="B248" s="38" t="inlineStr">
        <is>
          <t>Wagga</t>
        </is>
      </c>
      <c r="C248" s="15" t="n">
        <v>2</v>
      </c>
      <c r="D248" s="15" t="n">
        <v>9</v>
      </c>
      <c r="E248" s="14" t="inlineStr">
        <is>
          <t>El Cool Gee</t>
        </is>
      </c>
      <c r="F248" s="43" t="inlineStr">
        <is>
          <t>Lay</t>
        </is>
      </c>
      <c r="G248" s="47" t="inlineStr">
        <is>
          <t>Lay</t>
        </is>
      </c>
      <c r="H248" s="41" t="n">
        <v>3.3</v>
      </c>
      <c r="I248" s="41" t="n">
        <v>2.65</v>
      </c>
      <c r="J248" s="16" t="n">
        <v>-0.0634</v>
      </c>
      <c r="K248" s="42" t="n">
        <v>1</v>
      </c>
      <c r="L248" s="15" t="n">
        <v>2</v>
      </c>
      <c r="M248" s="51" t="inlineStr">
        <is>
          <t>Win</t>
        </is>
      </c>
      <c r="N248" s="17">
        <f>IF(M248="Win",IF(F248="Bet",(I248-1)*K248,K248),IF(M248="Loss",IF(F248="Bet",-K248,-(I248-1)*K248),IF(M248="Void",0,"")))</f>
        <v/>
      </c>
      <c r="O248" s="18">
        <f>IF(OR(M248="Win",M248="Loss"),IF(F248="Bet",K248,(I248-1)*K248),"")</f>
        <v/>
      </c>
    </row>
    <row r="249">
      <c r="A249" s="44" t="n">
        <v>46284</v>
      </c>
      <c r="B249" s="45" t="inlineStr">
        <is>
          <t>Morphettville Parks</t>
        </is>
      </c>
      <c r="C249" s="21" t="n">
        <v>4</v>
      </c>
      <c r="D249" s="21" t="n">
        <v>6</v>
      </c>
      <c r="E249" s="20" t="inlineStr">
        <is>
          <t>Flirt</t>
        </is>
      </c>
      <c r="F249" s="52" t="inlineStr">
        <is>
          <t>Bet</t>
        </is>
      </c>
      <c r="G249" s="40" t="inlineStr">
        <is>
          <t>Bet</t>
        </is>
      </c>
      <c r="H249" s="48" t="n">
        <v>10.4</v>
      </c>
      <c r="I249" s="48" t="n">
        <v>21.26</v>
      </c>
      <c r="J249" s="22" t="n">
        <v>0.0297</v>
      </c>
      <c r="K249" s="49" t="n">
        <v>1</v>
      </c>
      <c r="L249" s="21" t="n">
        <v>3</v>
      </c>
      <c r="M249" s="46" t="inlineStr">
        <is>
          <t>Loss</t>
        </is>
      </c>
      <c r="N249" s="23">
        <f>IF(M249="Win",IF(F249="Bet",(I249-1)*K249,K249),IF(M249="Loss",IF(F249="Bet",-K249,-(I249-1)*K249),IF(M249="Void",0,"")))</f>
        <v/>
      </c>
      <c r="O249" s="24">
        <f>IF(OR(M249="Win",M249="Loss"),IF(F249="Bet",K249,(I249-1)*K249),"")</f>
        <v/>
      </c>
    </row>
    <row r="250">
      <c r="A250" s="37" t="n">
        <v>46284</v>
      </c>
      <c r="B250" s="38" t="inlineStr">
        <is>
          <t>Morphettville Parks</t>
        </is>
      </c>
      <c r="C250" s="15" t="n">
        <v>9</v>
      </c>
      <c r="D250" s="15" t="n">
        <v>2</v>
      </c>
      <c r="E250" s="14" t="inlineStr">
        <is>
          <t>Nicish</t>
        </is>
      </c>
      <c r="F250" s="43" t="inlineStr">
        <is>
          <t>Lay</t>
        </is>
      </c>
      <c r="G250" s="47" t="inlineStr">
        <is>
          <t>Lay</t>
        </is>
      </c>
      <c r="H250" s="41" t="n">
        <v>4</v>
      </c>
      <c r="I250" s="41" t="n">
        <v>2.96</v>
      </c>
      <c r="J250" s="16" t="n">
        <v>-0.0687</v>
      </c>
      <c r="K250" s="42" t="n">
        <v>1</v>
      </c>
      <c r="L250" s="15" t="n">
        <v>9</v>
      </c>
      <c r="M250" s="51" t="inlineStr">
        <is>
          <t>Win</t>
        </is>
      </c>
      <c r="N250" s="17">
        <f>IF(M250="Win",IF(F250="Bet",(I250-1)*K250,K250),IF(M250="Loss",IF(F250="Bet",-K250,-(I250-1)*K250),IF(M250="Void",0,"")))</f>
        <v/>
      </c>
      <c r="O250" s="18">
        <f>IF(OR(M250="Win",M250="Loss"),IF(F250="Bet",K250,(I250-1)*K250),"")</f>
        <v/>
      </c>
    </row>
    <row r="251">
      <c r="A251" s="44" t="n">
        <v>46284</v>
      </c>
      <c r="B251" s="45" t="inlineStr">
        <is>
          <t>Caulfield</t>
        </is>
      </c>
      <c r="C251" s="21" t="n">
        <v>7</v>
      </c>
      <c r="D251" s="21" t="n">
        <v>1</v>
      </c>
      <c r="E251" s="20" t="inlineStr">
        <is>
          <t>Lindermann</t>
        </is>
      </c>
      <c r="F251" s="46" t="inlineStr">
        <is>
          <t>Lay</t>
        </is>
      </c>
      <c r="G251" s="47" t="inlineStr">
        <is>
          <t>Lay</t>
        </is>
      </c>
      <c r="H251" s="48" t="n">
        <v>3.7</v>
      </c>
      <c r="I251" s="48" t="n">
        <v>2.72</v>
      </c>
      <c r="J251" s="22" t="n">
        <v>-0.0621</v>
      </c>
      <c r="K251" s="49" t="n">
        <v>1</v>
      </c>
      <c r="L251" s="21" t="n">
        <v>8</v>
      </c>
      <c r="M251" s="50" t="inlineStr">
        <is>
          <t>Win</t>
        </is>
      </c>
      <c r="N251" s="23">
        <f>IF(M251="Win",IF(F251="Bet",(I251-1)*K251,K251),IF(M251="Loss",IF(F251="Bet",-K251,-(I251-1)*K251),IF(M251="Void",0,"")))</f>
        <v/>
      </c>
      <c r="O251" s="24">
        <f>IF(OR(M251="Win",M251="Loss"),IF(F251="Bet",K251,(I251-1)*K251),"")</f>
        <v/>
      </c>
    </row>
    <row r="252">
      <c r="A252" s="37" t="n">
        <v>46284</v>
      </c>
      <c r="B252" s="38" t="inlineStr">
        <is>
          <t>Morphettville Parks</t>
        </is>
      </c>
      <c r="C252" s="15" t="n">
        <v>4</v>
      </c>
      <c r="D252" s="15" t="n">
        <v>2</v>
      </c>
      <c r="E252" s="14" t="inlineStr">
        <is>
          <t>Codename</t>
        </is>
      </c>
      <c r="F252" s="39" t="inlineStr">
        <is>
          <t>Bet</t>
        </is>
      </c>
      <c r="G252" s="40" t="inlineStr">
        <is>
          <t>Bet</t>
        </is>
      </c>
      <c r="H252" s="41" t="n">
        <v>4.3</v>
      </c>
      <c r="I252" s="41" t="n">
        <v>7.5</v>
      </c>
      <c r="J252" s="16" t="n">
        <v>0.0233</v>
      </c>
      <c r="K252" s="42" t="n">
        <v>1</v>
      </c>
      <c r="L252" s="15" t="n">
        <v>5</v>
      </c>
      <c r="M252" s="43" t="inlineStr">
        <is>
          <t>Loss</t>
        </is>
      </c>
      <c r="N252" s="17">
        <f>IF(M252="Win",IF(F252="Bet",(I252-1)*K252,K252),IF(M252="Loss",IF(F252="Bet",-K252,-(I252-1)*K252),IF(M252="Void",0,"")))</f>
        <v/>
      </c>
      <c r="O252" s="18">
        <f>IF(OR(M252="Win",M252="Loss"),IF(F252="Bet",K252,(I252-1)*K252),"")</f>
        <v/>
      </c>
    </row>
    <row r="253">
      <c r="A253" s="44" t="n">
        <v>46284</v>
      </c>
      <c r="B253" s="45" t="inlineStr">
        <is>
          <t>Randwick</t>
        </is>
      </c>
      <c r="C253" s="21" t="n">
        <v>7</v>
      </c>
      <c r="D253" s="21" t="n">
        <v>3</v>
      </c>
      <c r="E253" s="20" t="inlineStr">
        <is>
          <t>Striking Alibi</t>
        </is>
      </c>
      <c r="F253" s="46" t="inlineStr">
        <is>
          <t>Lay</t>
        </is>
      </c>
      <c r="G253" s="47" t="inlineStr">
        <is>
          <t>Lay</t>
        </is>
      </c>
      <c r="H253" s="48" t="n">
        <v>5.5</v>
      </c>
      <c r="I253" s="48" t="n">
        <v>3.1</v>
      </c>
      <c r="J253" s="22" t="n">
        <v>-0.08069999999999999</v>
      </c>
      <c r="K253" s="49" t="n">
        <v>1</v>
      </c>
      <c r="L253" s="21" t="n">
        <v>2</v>
      </c>
      <c r="M253" s="50" t="inlineStr">
        <is>
          <t>Win</t>
        </is>
      </c>
      <c r="N253" s="23">
        <f>IF(M253="Win",IF(F253="Bet",(I253-1)*K253,K253),IF(M253="Loss",IF(F253="Bet",-K253,-(I253-1)*K253),IF(M253="Void",0,"")))</f>
        <v/>
      </c>
      <c r="O253" s="24">
        <f>IF(OR(M253="Win",M253="Loss"),IF(F253="Bet",K253,(I253-1)*K253),"")</f>
        <v/>
      </c>
    </row>
    <row r="254">
      <c r="A254" s="37" t="n">
        <v>46284</v>
      </c>
      <c r="B254" s="38" t="inlineStr">
        <is>
          <t>Morphettville Parks</t>
        </is>
      </c>
      <c r="C254" s="15" t="n">
        <v>4</v>
      </c>
      <c r="D254" s="15" t="n">
        <v>9</v>
      </c>
      <c r="E254" s="14" t="inlineStr">
        <is>
          <t>Zoutrail</t>
        </is>
      </c>
      <c r="F254" s="39" t="inlineStr">
        <is>
          <t>Bet</t>
        </is>
      </c>
      <c r="G254" s="40" t="inlineStr">
        <is>
          <t>Bet</t>
        </is>
      </c>
      <c r="H254" s="41" t="n">
        <v>6.3</v>
      </c>
      <c r="I254" s="41" t="n">
        <v>9</v>
      </c>
      <c r="J254" s="16" t="n">
        <v>0.0468</v>
      </c>
      <c r="K254" s="42" t="n">
        <v>1</v>
      </c>
      <c r="L254" s="15" t="n">
        <v>6</v>
      </c>
      <c r="M254" s="43" t="inlineStr">
        <is>
          <t>Loss</t>
        </is>
      </c>
      <c r="N254" s="17">
        <f>IF(M254="Win",IF(F254="Bet",(I254-1)*K254,K254),IF(M254="Loss",IF(F254="Bet",-K254,-(I254-1)*K254),IF(M254="Void",0,"")))</f>
        <v/>
      </c>
      <c r="O254" s="18">
        <f>IF(OR(M254="Win",M254="Loss"),IF(F254="Bet",K254,(I254-1)*K254),"")</f>
        <v/>
      </c>
    </row>
    <row r="255">
      <c r="A255" s="44" t="n">
        <v>46284</v>
      </c>
      <c r="B255" s="45" t="inlineStr">
        <is>
          <t>Gold Coast</t>
        </is>
      </c>
      <c r="C255" s="21" t="n">
        <v>2</v>
      </c>
      <c r="D255" s="21" t="n">
        <v>4</v>
      </c>
      <c r="E255" s="20" t="inlineStr">
        <is>
          <t>Weownachevy</t>
        </is>
      </c>
      <c r="F255" s="46" t="inlineStr">
        <is>
          <t>Lay</t>
        </is>
      </c>
      <c r="G255" s="47" t="inlineStr">
        <is>
          <t>Lay</t>
        </is>
      </c>
      <c r="H255" s="48" t="n">
        <v>4.3</v>
      </c>
      <c r="I255" s="48" t="n">
        <v>2.98</v>
      </c>
      <c r="J255" s="22" t="n">
        <v>-0.0983</v>
      </c>
      <c r="K255" s="49" t="n">
        <v>1</v>
      </c>
      <c r="L255" s="21" t="n">
        <v>1</v>
      </c>
      <c r="M255" s="46" t="inlineStr">
        <is>
          <t>Loss</t>
        </is>
      </c>
      <c r="N255" s="23">
        <f>IF(M255="Win",IF(F255="Bet",(I255-1)*K255,K255),IF(M255="Loss",IF(F255="Bet",-K255,-(I255-1)*K255),IF(M255="Void",0,"")))</f>
        <v/>
      </c>
      <c r="O255" s="24">
        <f>IF(OR(M255="Win",M255="Loss"),IF(F255="Bet",K255,(I255-1)*K255),"")</f>
        <v/>
      </c>
    </row>
    <row r="256">
      <c r="A256" s="37" t="n">
        <v>46284</v>
      </c>
      <c r="B256" s="38" t="inlineStr">
        <is>
          <t>Bowraville</t>
        </is>
      </c>
      <c r="C256" s="15" t="n">
        <v>7</v>
      </c>
      <c r="D256" s="15" t="n">
        <v>7</v>
      </c>
      <c r="E256" s="14" t="inlineStr">
        <is>
          <t>Enzoni</t>
        </is>
      </c>
      <c r="F256" s="43" t="inlineStr">
        <is>
          <t>Lay</t>
        </is>
      </c>
      <c r="G256" s="47" t="inlineStr">
        <is>
          <t>Lay</t>
        </is>
      </c>
      <c r="H256" s="41" t="n">
        <v>5.4</v>
      </c>
      <c r="I256" s="41" t="n">
        <v>3.35</v>
      </c>
      <c r="J256" s="16" t="n">
        <v>-0.0759</v>
      </c>
      <c r="K256" s="42" t="n">
        <v>1</v>
      </c>
      <c r="L256" s="15" t="n">
        <v>5</v>
      </c>
      <c r="M256" s="51" t="inlineStr">
        <is>
          <t>Win</t>
        </is>
      </c>
      <c r="N256" s="17">
        <f>IF(M256="Win",IF(F256="Bet",(I256-1)*K256,K256),IF(M256="Loss",IF(F256="Bet",-K256,-(I256-1)*K256),IF(M256="Void",0,"")))</f>
        <v/>
      </c>
      <c r="O256" s="18">
        <f>IF(OR(M256="Win",M256="Loss"),IF(F256="Bet",K256,(I256-1)*K256),"")</f>
        <v/>
      </c>
    </row>
    <row r="257">
      <c r="A257" s="44" t="n">
        <v>46284</v>
      </c>
      <c r="B257" s="45" t="inlineStr">
        <is>
          <t>Belmont</t>
        </is>
      </c>
      <c r="C257" s="21" t="n">
        <v>3</v>
      </c>
      <c r="D257" s="21" t="n">
        <v>1</v>
      </c>
      <c r="E257" s="20" t="inlineStr">
        <is>
          <t>Ginnivan</t>
        </is>
      </c>
      <c r="F257" s="46" t="inlineStr">
        <is>
          <t>Lay</t>
        </is>
      </c>
      <c r="G257" s="47" t="inlineStr">
        <is>
          <t>Lay</t>
        </is>
      </c>
      <c r="H257" s="48" t="n">
        <v>6</v>
      </c>
      <c r="I257" s="48" t="n">
        <v>3.2</v>
      </c>
      <c r="J257" s="22" t="n">
        <v>-0.0601</v>
      </c>
      <c r="K257" s="49" t="n">
        <v>1</v>
      </c>
      <c r="L257" s="21" t="n">
        <v>7</v>
      </c>
      <c r="M257" s="50" t="inlineStr">
        <is>
          <t>Win</t>
        </is>
      </c>
      <c r="N257" s="23">
        <f>IF(M257="Win",IF(F257="Bet",(I257-1)*K257,K257),IF(M257="Loss",IF(F257="Bet",-K257,-(I257-1)*K257),IF(M257="Void",0,"")))</f>
        <v/>
      </c>
      <c r="O257" s="24">
        <f>IF(OR(M257="Win",M257="Loss"),IF(F257="Bet",K257,(I257-1)*K257),"")</f>
        <v/>
      </c>
    </row>
    <row r="258">
      <c r="A258" s="37" t="n">
        <v>46284</v>
      </c>
      <c r="B258" s="38" t="inlineStr">
        <is>
          <t>Mt Magnet</t>
        </is>
      </c>
      <c r="C258" s="15" t="n">
        <v>6</v>
      </c>
      <c r="D258" s="15" t="n">
        <v>1</v>
      </c>
      <c r="E258" s="14" t="inlineStr">
        <is>
          <t>Another Nephew</t>
        </is>
      </c>
      <c r="F258" s="43" t="inlineStr">
        <is>
          <t>Lay</t>
        </is>
      </c>
      <c r="G258" s="47" t="inlineStr">
        <is>
          <t>Lay</t>
        </is>
      </c>
      <c r="H258" s="41" t="n">
        <v>2.9</v>
      </c>
      <c r="I258" s="41" t="n">
        <v>2.15</v>
      </c>
      <c r="J258" s="16" t="n">
        <v>-0.0859</v>
      </c>
      <c r="K258" s="42" t="n">
        <v>1</v>
      </c>
      <c r="L258" s="15" t="n"/>
      <c r="M258" s="54" t="inlineStr">
        <is>
          <t>Void</t>
        </is>
      </c>
      <c r="N258" s="17">
        <f>IF(M258="Win",IF(F258="Bet",(I258-1)*K258,K258),IF(M258="Loss",IF(F258="Bet",-K258,-(I258-1)*K258),IF(M258="Void",0,"")))</f>
        <v/>
      </c>
      <c r="O258" s="18">
        <f>IF(OR(M258="Win",M258="Loss"),IF(F258="Bet",K258,(I258-1)*K258),"")</f>
        <v/>
      </c>
    </row>
    <row r="259">
      <c r="A259" s="44" t="n">
        <v>46284</v>
      </c>
      <c r="B259" s="45" t="inlineStr">
        <is>
          <t>Bowraville</t>
        </is>
      </c>
      <c r="C259" s="21" t="n">
        <v>5</v>
      </c>
      <c r="D259" s="21" t="n">
        <v>3</v>
      </c>
      <c r="E259" s="20" t="inlineStr">
        <is>
          <t>Checks'n'balances</t>
        </is>
      </c>
      <c r="F259" s="52" t="inlineStr">
        <is>
          <t>Bet</t>
        </is>
      </c>
      <c r="G259" s="40" t="inlineStr">
        <is>
          <t>Bet</t>
        </is>
      </c>
      <c r="H259" s="48" t="n">
        <v>4</v>
      </c>
      <c r="I259" s="48" t="n">
        <v>4.6</v>
      </c>
      <c r="J259" s="22" t="n">
        <v>0.034</v>
      </c>
      <c r="K259" s="49" t="n">
        <v>1</v>
      </c>
      <c r="L259" s="21" t="n">
        <v>7</v>
      </c>
      <c r="M259" s="46" t="inlineStr">
        <is>
          <t>Loss</t>
        </is>
      </c>
      <c r="N259" s="23">
        <f>IF(M259="Win",IF(F259="Bet",(I259-1)*K259,K259),IF(M259="Loss",IF(F259="Bet",-K259,-(I259-1)*K259),IF(M259="Void",0,"")))</f>
        <v/>
      </c>
      <c r="O259" s="24">
        <f>IF(OR(M259="Win",M259="Loss"),IF(F259="Bet",K259,(I259-1)*K259),"")</f>
        <v/>
      </c>
    </row>
    <row r="260">
      <c r="A260" s="37" t="n">
        <v>46284</v>
      </c>
      <c r="B260" s="38" t="inlineStr">
        <is>
          <t>Bowraville</t>
        </is>
      </c>
      <c r="C260" s="15" t="n">
        <v>5</v>
      </c>
      <c r="D260" s="15" t="n">
        <v>4</v>
      </c>
      <c r="E260" s="14" t="inlineStr">
        <is>
          <t>Raining Luck</t>
        </is>
      </c>
      <c r="F260" s="39" t="inlineStr">
        <is>
          <t>Bet</t>
        </is>
      </c>
      <c r="G260" s="56" t="inlineStr">
        <is>
          <t>Way</t>
        </is>
      </c>
      <c r="H260" s="41" t="n">
        <v>15.9</v>
      </c>
      <c r="I260" s="41" t="n">
        <v>51</v>
      </c>
      <c r="J260" s="16" t="n">
        <v>0.0433</v>
      </c>
      <c r="K260" s="42" t="n">
        <v>0.1</v>
      </c>
      <c r="L260" s="15" t="n">
        <v>3</v>
      </c>
      <c r="M260" s="43" t="inlineStr">
        <is>
          <t>Loss</t>
        </is>
      </c>
      <c r="N260" s="17">
        <f>IF(M260="Win",IF(F260="Bet",(I260-1)*K260,K260),IF(M260="Loss",IF(F260="Bet",-K260,-(I260-1)*K260),IF(M260="Void",0,"")))</f>
        <v/>
      </c>
      <c r="O260" s="18">
        <f>IF(OR(M260="Win",M260="Loss"),IF(F260="Bet",K260,(I260-1)*K260),"")</f>
        <v/>
      </c>
    </row>
    <row r="261">
      <c r="A261" s="44" t="n">
        <v>46284</v>
      </c>
      <c r="B261" s="45" t="inlineStr">
        <is>
          <t>Bowraville</t>
        </is>
      </c>
      <c r="C261" s="21" t="n">
        <v>5</v>
      </c>
      <c r="D261" s="21" t="n">
        <v>8</v>
      </c>
      <c r="E261" s="20" t="inlineStr">
        <is>
          <t>Sizzling Suzie</t>
        </is>
      </c>
      <c r="F261" s="52" t="inlineStr">
        <is>
          <t>Bet</t>
        </is>
      </c>
      <c r="G261" s="40" t="inlineStr">
        <is>
          <t>Bet</t>
        </is>
      </c>
      <c r="H261" s="48" t="n">
        <v>8.9</v>
      </c>
      <c r="I261" s="48" t="n">
        <v>19</v>
      </c>
      <c r="J261" s="22" t="n">
        <v>0.0593</v>
      </c>
      <c r="K261" s="49" t="n">
        <v>1</v>
      </c>
      <c r="L261" s="21" t="n">
        <v>4</v>
      </c>
      <c r="M261" s="46" t="inlineStr">
        <is>
          <t>Loss</t>
        </is>
      </c>
      <c r="N261" s="23">
        <f>IF(M261="Win",IF(F261="Bet",(I261-1)*K261,K261),IF(M261="Loss",IF(F261="Bet",-K261,-(I261-1)*K261),IF(M261="Void",0,"")))</f>
        <v/>
      </c>
      <c r="O261" s="24">
        <f>IF(OR(M261="Win",M261="Loss"),IF(F261="Bet",K261,(I261-1)*K261),"")</f>
        <v/>
      </c>
    </row>
    <row r="262">
      <c r="A262" s="37" t="n">
        <v>46284</v>
      </c>
      <c r="B262" s="38" t="inlineStr">
        <is>
          <t>Bowraville</t>
        </is>
      </c>
      <c r="C262" s="15" t="n">
        <v>5</v>
      </c>
      <c r="D262" s="15" t="n">
        <v>9</v>
      </c>
      <c r="E262" s="14" t="inlineStr">
        <is>
          <t>Ronardo</t>
        </is>
      </c>
      <c r="F262" s="39" t="inlineStr">
        <is>
          <t>Bet</t>
        </is>
      </c>
      <c r="G262" s="40" t="inlineStr">
        <is>
          <t>Bet</t>
        </is>
      </c>
      <c r="H262" s="41" t="n">
        <v>6.6</v>
      </c>
      <c r="I262" s="41" t="n">
        <v>15.5</v>
      </c>
      <c r="J262" s="16" t="n">
        <v>0.0261</v>
      </c>
      <c r="K262" s="42" t="n">
        <v>1</v>
      </c>
      <c r="L262" s="15" t="n">
        <v>2</v>
      </c>
      <c r="M262" s="43" t="inlineStr">
        <is>
          <t>Loss</t>
        </is>
      </c>
      <c r="N262" s="17">
        <f>IF(M262="Win",IF(F262="Bet",(I262-1)*K262,K262),IF(M262="Loss",IF(F262="Bet",-K262,-(I262-1)*K262),IF(M262="Void",0,"")))</f>
        <v/>
      </c>
      <c r="O262" s="18">
        <f>IF(OR(M262="Win",M262="Loss"),IF(F262="Bet",K262,(I262-1)*K262),"")</f>
        <v/>
      </c>
    </row>
    <row r="263">
      <c r="A263" s="44" t="n">
        <v>46284</v>
      </c>
      <c r="B263" s="45" t="inlineStr">
        <is>
          <t>Bowraville</t>
        </is>
      </c>
      <c r="C263" s="21" t="n">
        <v>5</v>
      </c>
      <c r="D263" s="21" t="n">
        <v>6</v>
      </c>
      <c r="E263" s="20" t="inlineStr">
        <is>
          <t>The Michael</t>
        </is>
      </c>
      <c r="F263" s="52" t="inlineStr">
        <is>
          <t>Bet</t>
        </is>
      </c>
      <c r="G263" s="56" t="inlineStr">
        <is>
          <t>Way</t>
        </is>
      </c>
      <c r="H263" s="48" t="n">
        <v>25.3</v>
      </c>
      <c r="I263" s="48" t="n">
        <v>81</v>
      </c>
      <c r="J263" s="22" t="n">
        <v>0.0272</v>
      </c>
      <c r="K263" s="49" t="n">
        <v>0.1</v>
      </c>
      <c r="L263" s="21" t="n">
        <v>5</v>
      </c>
      <c r="M263" s="46" t="inlineStr">
        <is>
          <t>Loss</t>
        </is>
      </c>
      <c r="N263" s="23">
        <f>IF(M263="Win",IF(F263="Bet",(I263-1)*K263,K263),IF(M263="Loss",IF(F263="Bet",-K263,-(I263-1)*K263),IF(M263="Void",0,"")))</f>
        <v/>
      </c>
      <c r="O263" s="24">
        <f>IF(OR(M263="Win",M263="Loss"),IF(F263="Bet",K263,(I263-1)*K263),"")</f>
        <v/>
      </c>
    </row>
    <row r="264">
      <c r="A264" s="37" t="n">
        <v>46284</v>
      </c>
      <c r="B264" s="38" t="inlineStr">
        <is>
          <t>Bowraville</t>
        </is>
      </c>
      <c r="C264" s="15" t="n">
        <v>5</v>
      </c>
      <c r="D264" s="15" t="n">
        <v>1</v>
      </c>
      <c r="E264" s="14" t="inlineStr">
        <is>
          <t>Bon Batan</t>
        </is>
      </c>
      <c r="F264" s="39" t="inlineStr">
        <is>
          <t>Bet</t>
        </is>
      </c>
      <c r="G264" s="56" t="inlineStr">
        <is>
          <t>Way</t>
        </is>
      </c>
      <c r="H264" s="41" t="n">
        <v>12.7</v>
      </c>
      <c r="I264" s="41" t="n">
        <v>29</v>
      </c>
      <c r="J264" s="16" t="n">
        <v>0.0444</v>
      </c>
      <c r="K264" s="42" t="n">
        <v>0.1</v>
      </c>
      <c r="L264" s="15" t="n">
        <v>6</v>
      </c>
      <c r="M264" s="43" t="inlineStr">
        <is>
          <t>Loss</t>
        </is>
      </c>
      <c r="N264" s="17">
        <f>IF(M264="Win",IF(F264="Bet",(I264-1)*K264,K264),IF(M264="Loss",IF(F264="Bet",-K264,-(I264-1)*K264),IF(M264="Void",0,"")))</f>
        <v/>
      </c>
      <c r="O264" s="18">
        <f>IF(OR(M264="Win",M264="Loss"),IF(F264="Bet",K264,(I264-1)*K264),"")</f>
        <v/>
      </c>
    </row>
    <row r="265">
      <c r="A265" s="44" t="n">
        <v>46284</v>
      </c>
      <c r="B265" s="45" t="inlineStr">
        <is>
          <t>Bowraville</t>
        </is>
      </c>
      <c r="C265" s="21" t="n">
        <v>5</v>
      </c>
      <c r="D265" s="21" t="n">
        <v>5</v>
      </c>
      <c r="E265" s="20" t="inlineStr">
        <is>
          <t>Strenuous</t>
        </is>
      </c>
      <c r="F265" s="52" t="inlineStr">
        <is>
          <t>Bet</t>
        </is>
      </c>
      <c r="G265" s="53" t="inlineStr">
        <is>
          <t>Prime</t>
        </is>
      </c>
      <c r="H265" s="48" t="n">
        <v>3.6</v>
      </c>
      <c r="I265" s="48" t="n">
        <v>4.6</v>
      </c>
      <c r="J265" s="22" t="n">
        <v>0.0634</v>
      </c>
      <c r="K265" s="49" t="n">
        <v>1</v>
      </c>
      <c r="L265" s="21" t="n">
        <v>1</v>
      </c>
      <c r="M265" s="50" t="inlineStr">
        <is>
          <t>Win</t>
        </is>
      </c>
      <c r="N265" s="23">
        <f>IF(M265="Win",IF(F265="Bet",(I265-1)*K265,K265),IF(M265="Loss",IF(F265="Bet",-K265,-(I265-1)*K265),IF(M265="Void",0,"")))</f>
        <v/>
      </c>
      <c r="O265" s="24">
        <f>IF(OR(M265="Win",M265="Loss"),IF(F265="Bet",K265,(I265-1)*K265),"")</f>
        <v/>
      </c>
    </row>
    <row r="266">
      <c r="A266" s="37" t="n">
        <v>46284</v>
      </c>
      <c r="B266" s="38" t="inlineStr">
        <is>
          <t>Eagle Farm</t>
        </is>
      </c>
      <c r="C266" s="15" t="n">
        <v>8</v>
      </c>
      <c r="D266" s="15" t="n">
        <v>6</v>
      </c>
      <c r="E266" s="14" t="inlineStr">
        <is>
          <t>Ciphertext</t>
        </is>
      </c>
      <c r="F266" s="39" t="inlineStr">
        <is>
          <t>Bet</t>
        </is>
      </c>
      <c r="G266" s="40" t="inlineStr">
        <is>
          <t>Bet</t>
        </is>
      </c>
      <c r="H266" s="41" t="n">
        <v>9.5</v>
      </c>
      <c r="I266" s="41" t="n">
        <v>13</v>
      </c>
      <c r="J266" s="16" t="n">
        <v>0.0282</v>
      </c>
      <c r="K266" s="42" t="n">
        <v>1</v>
      </c>
      <c r="L266" s="15" t="n">
        <v>5</v>
      </c>
      <c r="M266" s="43" t="inlineStr">
        <is>
          <t>Loss</t>
        </is>
      </c>
      <c r="N266" s="17">
        <f>IF(M266="Win",IF(F266="Bet",(I266-1)*K266,K266),IF(M266="Loss",IF(F266="Bet",-K266,-(I266-1)*K266),IF(M266="Void",0,"")))</f>
        <v/>
      </c>
      <c r="O266" s="18">
        <f>IF(OR(M266="Win",M266="Loss"),IF(F266="Bet",K266,(I266-1)*K266),"")</f>
        <v/>
      </c>
    </row>
    <row r="267">
      <c r="A267" s="44" t="n">
        <v>46284</v>
      </c>
      <c r="B267" s="45" t="inlineStr">
        <is>
          <t>Randwick</t>
        </is>
      </c>
      <c r="C267" s="21" t="n">
        <v>5</v>
      </c>
      <c r="D267" s="21" t="n">
        <v>1</v>
      </c>
      <c r="E267" s="20" t="inlineStr">
        <is>
          <t>Headley Grange</t>
        </is>
      </c>
      <c r="F267" s="46" t="inlineStr">
        <is>
          <t>Lay</t>
        </is>
      </c>
      <c r="G267" s="47" t="inlineStr">
        <is>
          <t>Lay</t>
        </is>
      </c>
      <c r="H267" s="48" t="n">
        <v>3.9</v>
      </c>
      <c r="I267" s="48" t="n">
        <v>3</v>
      </c>
      <c r="J267" s="22" t="n">
        <v>-0.07969999999999999</v>
      </c>
      <c r="K267" s="49" t="n">
        <v>1</v>
      </c>
      <c r="L267" s="21" t="n">
        <v>3</v>
      </c>
      <c r="M267" s="50" t="inlineStr">
        <is>
          <t>Win</t>
        </is>
      </c>
      <c r="N267" s="23">
        <f>IF(M267="Win",IF(F267="Bet",(I267-1)*K267,K267),IF(M267="Loss",IF(F267="Bet",-K267,-(I267-1)*K267),IF(M267="Void",0,"")))</f>
        <v/>
      </c>
      <c r="O267" s="24">
        <f>IF(OR(M267="Win",M267="Loss"),IF(F267="Bet",K267,(I267-1)*K267),"")</f>
        <v/>
      </c>
    </row>
    <row r="268">
      <c r="A268" s="37" t="n">
        <v>46284</v>
      </c>
      <c r="B268" s="38" t="inlineStr">
        <is>
          <t>Eagle Farm</t>
        </is>
      </c>
      <c r="C268" s="15" t="n">
        <v>8</v>
      </c>
      <c r="D268" s="15" t="n">
        <v>8</v>
      </c>
      <c r="E268" s="14" t="inlineStr">
        <is>
          <t>Life After Love</t>
        </is>
      </c>
      <c r="F268" s="39" t="inlineStr">
        <is>
          <t>Bet</t>
        </is>
      </c>
      <c r="G268" s="40" t="inlineStr">
        <is>
          <t>Bet</t>
        </is>
      </c>
      <c r="H268" s="41" t="n">
        <v>7.9</v>
      </c>
      <c r="I268" s="41" t="n">
        <v>13</v>
      </c>
      <c r="J268" s="16" t="n">
        <v>0.0501</v>
      </c>
      <c r="K268" s="42" t="n">
        <v>1</v>
      </c>
      <c r="L268" s="15" t="n">
        <v>4</v>
      </c>
      <c r="M268" s="43" t="inlineStr">
        <is>
          <t>Loss</t>
        </is>
      </c>
      <c r="N268" s="17">
        <f>IF(M268="Win",IF(F268="Bet",(I268-1)*K268,K268),IF(M268="Loss",IF(F268="Bet",-K268,-(I268-1)*K268),IF(M268="Void",0,"")))</f>
        <v/>
      </c>
      <c r="O268" s="18">
        <f>IF(OR(M268="Win",M268="Loss"),IF(F268="Bet",K268,(I268-1)*K268),"")</f>
        <v/>
      </c>
    </row>
    <row r="269">
      <c r="A269" s="44" t="n">
        <v>46284</v>
      </c>
      <c r="B269" s="45" t="inlineStr">
        <is>
          <t>Eagle Farm</t>
        </is>
      </c>
      <c r="C269" s="21" t="n">
        <v>8</v>
      </c>
      <c r="D269" s="21" t="n">
        <v>9</v>
      </c>
      <c r="E269" s="20" t="inlineStr">
        <is>
          <t>Don't Tellyafather</t>
        </is>
      </c>
      <c r="F269" s="52" t="inlineStr">
        <is>
          <t>Bet</t>
        </is>
      </c>
      <c r="G269" s="56" t="inlineStr">
        <is>
          <t>Way</t>
        </is>
      </c>
      <c r="H269" s="48" t="n">
        <v>15.3</v>
      </c>
      <c r="I269" s="48" t="n">
        <v>51</v>
      </c>
      <c r="J269" s="22" t="n">
        <v>0.0267</v>
      </c>
      <c r="K269" s="49" t="n">
        <v>0.1</v>
      </c>
      <c r="L269" s="21" t="n">
        <v>6</v>
      </c>
      <c r="M269" s="46" t="inlineStr">
        <is>
          <t>Loss</t>
        </is>
      </c>
      <c r="N269" s="23">
        <f>IF(M269="Win",IF(F269="Bet",(I269-1)*K269,K269),IF(M269="Loss",IF(F269="Bet",-K269,-(I269-1)*K269),IF(M269="Void",0,"")))</f>
        <v/>
      </c>
      <c r="O269" s="24">
        <f>IF(OR(M269="Win",M269="Loss"),IF(F269="Bet",K269,(I269-1)*K269),"")</f>
        <v/>
      </c>
    </row>
    <row r="270">
      <c r="A270" s="37" t="n">
        <v>46284</v>
      </c>
      <c r="B270" s="38" t="inlineStr">
        <is>
          <t>Gold Coast</t>
        </is>
      </c>
      <c r="C270" s="15" t="n">
        <v>1</v>
      </c>
      <c r="D270" s="15" t="n">
        <v>5</v>
      </c>
      <c r="E270" s="14" t="inlineStr">
        <is>
          <t>Yes Donald Yes</t>
        </is>
      </c>
      <c r="F270" s="43" t="inlineStr">
        <is>
          <t>Lay</t>
        </is>
      </c>
      <c r="G270" s="47" t="inlineStr">
        <is>
          <t>Lay</t>
        </is>
      </c>
      <c r="H270" s="41" t="n">
        <v>5.2</v>
      </c>
      <c r="I270" s="41" t="n">
        <v>2.57</v>
      </c>
      <c r="J270" s="16" t="n">
        <v>-0.0626</v>
      </c>
      <c r="K270" s="42" t="n">
        <v>1</v>
      </c>
      <c r="L270" s="15" t="n">
        <v>2</v>
      </c>
      <c r="M270" s="51" t="inlineStr">
        <is>
          <t>Win</t>
        </is>
      </c>
      <c r="N270" s="17">
        <f>IF(M270="Win",IF(F270="Bet",(I270-1)*K270,K270),IF(M270="Loss",IF(F270="Bet",-K270,-(I270-1)*K270),IF(M270="Void",0,"")))</f>
        <v/>
      </c>
      <c r="O270" s="18">
        <f>IF(OR(M270="Win",M270="Loss"),IF(F270="Bet",K270,(I270-1)*K270),"")</f>
        <v/>
      </c>
    </row>
    <row r="271">
      <c r="A271" s="44" t="n">
        <v>46284</v>
      </c>
      <c r="B271" s="45" t="inlineStr">
        <is>
          <t>Eagle Farm</t>
        </is>
      </c>
      <c r="C271" s="21" t="n">
        <v>8</v>
      </c>
      <c r="D271" s="21" t="n">
        <v>1</v>
      </c>
      <c r="E271" s="20" t="inlineStr">
        <is>
          <t>Vanessi</t>
        </is>
      </c>
      <c r="F271" s="52" t="inlineStr">
        <is>
          <t>Bet</t>
        </is>
      </c>
      <c r="G271" s="40" t="inlineStr">
        <is>
          <t>Bet</t>
        </is>
      </c>
      <c r="H271" s="48" t="n">
        <v>5.4</v>
      </c>
      <c r="I271" s="48" t="n">
        <v>7</v>
      </c>
      <c r="J271" s="22" t="n">
        <v>0.0437</v>
      </c>
      <c r="K271" s="49" t="n">
        <v>1</v>
      </c>
      <c r="L271" s="21" t="n">
        <v>1</v>
      </c>
      <c r="M271" s="50" t="inlineStr">
        <is>
          <t>Win</t>
        </is>
      </c>
      <c r="N271" s="23">
        <f>IF(M271="Win",IF(F271="Bet",(I271-1)*K271,K271),IF(M271="Loss",IF(F271="Bet",-K271,-(I271-1)*K271),IF(M271="Void",0,"")))</f>
        <v/>
      </c>
      <c r="O271" s="24">
        <f>IF(OR(M271="Win",M271="Loss"),IF(F271="Bet",K271,(I271-1)*K271),"")</f>
        <v/>
      </c>
    </row>
    <row r="272">
      <c r="A272" s="37" t="n">
        <v>46284</v>
      </c>
      <c r="B272" s="38" t="inlineStr">
        <is>
          <t>Eagle Farm</t>
        </is>
      </c>
      <c r="C272" s="15" t="n">
        <v>8</v>
      </c>
      <c r="D272" s="15" t="n">
        <v>5</v>
      </c>
      <c r="E272" s="14" t="inlineStr">
        <is>
          <t>Idleonby</t>
        </is>
      </c>
      <c r="F272" s="39" t="inlineStr">
        <is>
          <t>Bet</t>
        </is>
      </c>
      <c r="G272" s="40" t="inlineStr">
        <is>
          <t>Bet</t>
        </is>
      </c>
      <c r="H272" s="41" t="n">
        <v>6.6</v>
      </c>
      <c r="I272" s="41" t="n">
        <v>30</v>
      </c>
      <c r="J272" s="16" t="n">
        <v>0.0412</v>
      </c>
      <c r="K272" s="42" t="n">
        <v>1</v>
      </c>
      <c r="L272" s="15" t="n">
        <v>3</v>
      </c>
      <c r="M272" s="43" t="inlineStr">
        <is>
          <t>Loss</t>
        </is>
      </c>
      <c r="N272" s="17">
        <f>IF(M272="Win",IF(F272="Bet",(I272-1)*K272,K272),IF(M272="Loss",IF(F272="Bet",-K272,-(I272-1)*K272),IF(M272="Void",0,"")))</f>
        <v/>
      </c>
      <c r="O272" s="18">
        <f>IF(OR(M272="Win",M272="Loss"),IF(F272="Bet",K272,(I272-1)*K272),"")</f>
        <v/>
      </c>
    </row>
    <row r="273">
      <c r="A273" s="44" t="n">
        <v>46284</v>
      </c>
      <c r="B273" s="45" t="inlineStr">
        <is>
          <t>Eagle Farm</t>
        </is>
      </c>
      <c r="C273" s="21" t="n">
        <v>8</v>
      </c>
      <c r="D273" s="21" t="n">
        <v>11</v>
      </c>
      <c r="E273" s="20" t="inlineStr">
        <is>
          <t>Olivoni</t>
        </is>
      </c>
      <c r="F273" s="46" t="inlineStr">
        <is>
          <t>Lay</t>
        </is>
      </c>
      <c r="G273" s="47" t="inlineStr">
        <is>
          <t>Lay</t>
        </is>
      </c>
      <c r="H273" s="48" t="n">
        <v>3.4</v>
      </c>
      <c r="I273" s="48" t="n">
        <v>1.71</v>
      </c>
      <c r="J273" s="22" t="n">
        <v>-0.094</v>
      </c>
      <c r="K273" s="49" t="n">
        <v>1</v>
      </c>
      <c r="L273" s="21" t="n">
        <v>2</v>
      </c>
      <c r="M273" s="50" t="inlineStr">
        <is>
          <t>Win</t>
        </is>
      </c>
      <c r="N273" s="23">
        <f>IF(M273="Win",IF(F273="Bet",(I273-1)*K273,K273),IF(M273="Loss",IF(F273="Bet",-K273,-(I273-1)*K273),IF(M273="Void",0,"")))</f>
        <v/>
      </c>
      <c r="O273" s="24">
        <f>IF(OR(M273="Win",M273="Loss"),IF(F273="Bet",K273,(I273-1)*K273),"")</f>
        <v/>
      </c>
    </row>
    <row r="274">
      <c r="A274" s="37" t="n">
        <v>46284</v>
      </c>
      <c r="B274" s="38" t="inlineStr">
        <is>
          <t>Echuca</t>
        </is>
      </c>
      <c r="C274" s="15" t="n">
        <v>4</v>
      </c>
      <c r="D274" s="15" t="n">
        <v>5</v>
      </c>
      <c r="E274" s="14" t="inlineStr">
        <is>
          <t>Makusha</t>
        </is>
      </c>
      <c r="F274" s="43" t="inlineStr">
        <is>
          <t>Lay</t>
        </is>
      </c>
      <c r="G274" s="47" t="inlineStr">
        <is>
          <t>Lay</t>
        </is>
      </c>
      <c r="H274" s="41" t="n">
        <v>4.8</v>
      </c>
      <c r="I274" s="41" t="n">
        <v>2.23</v>
      </c>
      <c r="J274" s="16" t="n">
        <v>-0.0696</v>
      </c>
      <c r="K274" s="42" t="n">
        <v>1</v>
      </c>
      <c r="L274" s="15" t="n">
        <v>3</v>
      </c>
      <c r="M274" s="51" t="inlineStr">
        <is>
          <t>Win</t>
        </is>
      </c>
      <c r="N274" s="17">
        <f>IF(M274="Win",IF(F274="Bet",(I274-1)*K274,K274),IF(M274="Loss",IF(F274="Bet",-K274,-(I274-1)*K274),IF(M274="Void",0,"")))</f>
        <v/>
      </c>
      <c r="O274" s="18">
        <f>IF(OR(M274="Win",M274="Loss"),IF(F274="Bet",K274,(I274-1)*K274),"")</f>
        <v/>
      </c>
    </row>
    <row r="275">
      <c r="A275" s="44" t="n">
        <v>46284</v>
      </c>
      <c r="B275" s="45" t="inlineStr">
        <is>
          <t>Newcastle</t>
        </is>
      </c>
      <c r="C275" s="21" t="n">
        <v>7</v>
      </c>
      <c r="D275" s="21" t="n">
        <v>1</v>
      </c>
      <c r="E275" s="20" t="inlineStr">
        <is>
          <t>Art Volant</t>
        </is>
      </c>
      <c r="F275" s="52" t="inlineStr">
        <is>
          <t>Bet</t>
        </is>
      </c>
      <c r="G275" s="40" t="inlineStr">
        <is>
          <t>Bet</t>
        </is>
      </c>
      <c r="H275" s="48" t="n">
        <v>10.9</v>
      </c>
      <c r="I275" s="48" t="n">
        <v>15</v>
      </c>
      <c r="J275" s="22" t="n">
        <v>0.0202</v>
      </c>
      <c r="K275" s="49" t="n">
        <v>1</v>
      </c>
      <c r="L275" s="21" t="n">
        <v>2</v>
      </c>
      <c r="M275" s="46" t="inlineStr">
        <is>
          <t>Loss</t>
        </is>
      </c>
      <c r="N275" s="23">
        <f>IF(M275="Win",IF(F275="Bet",(I275-1)*K275,K275),IF(M275="Loss",IF(F275="Bet",-K275,-(I275-1)*K275),IF(M275="Void",0,"")))</f>
        <v/>
      </c>
      <c r="O275" s="24">
        <f>IF(OR(M275="Win",M275="Loss"),IF(F275="Bet",K275,(I275-1)*K275),"")</f>
        <v/>
      </c>
    </row>
    <row r="276">
      <c r="A276" s="37" t="n">
        <v>46284</v>
      </c>
      <c r="B276" s="38" t="inlineStr">
        <is>
          <t>Caulfield</t>
        </is>
      </c>
      <c r="C276" s="15" t="n">
        <v>2</v>
      </c>
      <c r="D276" s="15" t="n">
        <v>9</v>
      </c>
      <c r="E276" s="14" t="inlineStr">
        <is>
          <t>Quick Finish</t>
        </is>
      </c>
      <c r="F276" s="39" t="inlineStr">
        <is>
          <t>Bet</t>
        </is>
      </c>
      <c r="G276" s="40" t="inlineStr">
        <is>
          <t>Bet</t>
        </is>
      </c>
      <c r="H276" s="41" t="n">
        <v>5.1</v>
      </c>
      <c r="I276" s="41" t="n">
        <v>6.4</v>
      </c>
      <c r="J276" s="16" t="n">
        <v>0.0233</v>
      </c>
      <c r="K276" s="42" t="n">
        <v>1</v>
      </c>
      <c r="L276" s="15" t="n">
        <v>1</v>
      </c>
      <c r="M276" s="51" t="inlineStr">
        <is>
          <t>Win</t>
        </is>
      </c>
      <c r="N276" s="17">
        <f>IF(M276="Win",IF(F276="Bet",(I276-1)*K276,K276),IF(M276="Loss",IF(F276="Bet",-K276,-(I276-1)*K276),IF(M276="Void",0,"")))</f>
        <v/>
      </c>
      <c r="O276" s="18">
        <f>IF(OR(M276="Win",M276="Loss"),IF(F276="Bet",K276,(I276-1)*K276),"")</f>
        <v/>
      </c>
    </row>
    <row r="277">
      <c r="A277" s="44" t="n">
        <v>46284</v>
      </c>
      <c r="B277" s="45" t="inlineStr">
        <is>
          <t>Morphettville Parks</t>
        </is>
      </c>
      <c r="C277" s="21" t="n">
        <v>6</v>
      </c>
      <c r="D277" s="21" t="n">
        <v>1</v>
      </c>
      <c r="E277" s="20" t="inlineStr">
        <is>
          <t>Gusty Way</t>
        </is>
      </c>
      <c r="F277" s="52" t="inlineStr">
        <is>
          <t>Bet</t>
        </is>
      </c>
      <c r="G277" s="40" t="inlineStr">
        <is>
          <t>Bet</t>
        </is>
      </c>
      <c r="H277" s="48" t="n">
        <v>8</v>
      </c>
      <c r="I277" s="48" t="n">
        <v>14</v>
      </c>
      <c r="J277" s="22" t="n">
        <v>0.0249</v>
      </c>
      <c r="K277" s="49" t="n">
        <v>1</v>
      </c>
      <c r="L277" s="21" t="n">
        <v>5</v>
      </c>
      <c r="M277" s="46" t="inlineStr">
        <is>
          <t>Loss</t>
        </is>
      </c>
      <c r="N277" s="23">
        <f>IF(M277="Win",IF(F277="Bet",(I277-1)*K277,K277),IF(M277="Loss",IF(F277="Bet",-K277,-(I277-1)*K277),IF(M277="Void",0,"")))</f>
        <v/>
      </c>
      <c r="O277" s="24">
        <f>IF(OR(M277="Win",M277="Loss"),IF(F277="Bet",K277,(I277-1)*K277),"")</f>
        <v/>
      </c>
    </row>
    <row r="278">
      <c r="A278" s="37" t="n">
        <v>46284</v>
      </c>
      <c r="B278" s="38" t="inlineStr">
        <is>
          <t>Eagle Farm</t>
        </is>
      </c>
      <c r="C278" s="15" t="n">
        <v>6</v>
      </c>
      <c r="D278" s="15" t="n">
        <v>10</v>
      </c>
      <c r="E278" s="14" t="inlineStr">
        <is>
          <t>Russian Ripper</t>
        </is>
      </c>
      <c r="F278" s="43" t="inlineStr">
        <is>
          <t>Lay</t>
        </is>
      </c>
      <c r="G278" s="47" t="inlineStr">
        <is>
          <t>Lay</t>
        </is>
      </c>
      <c r="H278" s="41" t="n">
        <v>5.7</v>
      </c>
      <c r="I278" s="41" t="n">
        <v>3.6</v>
      </c>
      <c r="J278" s="16" t="n">
        <v>-0.0838</v>
      </c>
      <c r="K278" s="42" t="n">
        <v>1</v>
      </c>
      <c r="L278" s="15" t="n">
        <v>4</v>
      </c>
      <c r="M278" s="51" t="inlineStr">
        <is>
          <t>Win</t>
        </is>
      </c>
      <c r="N278" s="17">
        <f>IF(M278="Win",IF(F278="Bet",(I278-1)*K278,K278),IF(M278="Loss",IF(F278="Bet",-K278,-(I278-1)*K278),IF(M278="Void",0,"")))</f>
        <v/>
      </c>
      <c r="O278" s="18">
        <f>IF(OR(M278="Win",M278="Loss"),IF(F278="Bet",K278,(I278-1)*K278),"")</f>
        <v/>
      </c>
    </row>
    <row r="279">
      <c r="A279" s="44" t="n">
        <v>46284</v>
      </c>
      <c r="B279" s="45" t="inlineStr">
        <is>
          <t>Belmont</t>
        </is>
      </c>
      <c r="C279" s="21" t="n">
        <v>1</v>
      </c>
      <c r="D279" s="21" t="n">
        <v>1</v>
      </c>
      <c r="E279" s="20" t="inlineStr">
        <is>
          <t>Dawn Dancer</t>
        </is>
      </c>
      <c r="F279" s="46" t="inlineStr">
        <is>
          <t>Lay</t>
        </is>
      </c>
      <c r="G279" s="47" t="inlineStr">
        <is>
          <t>Lay</t>
        </is>
      </c>
      <c r="H279" s="48" t="n">
        <v>2.6</v>
      </c>
      <c r="I279" s="48" t="n">
        <v>2</v>
      </c>
      <c r="J279" s="22" t="n">
        <v>-0.067</v>
      </c>
      <c r="K279" s="49" t="n">
        <v>1</v>
      </c>
      <c r="L279" s="21" t="n">
        <v>1</v>
      </c>
      <c r="M279" s="46" t="inlineStr">
        <is>
          <t>Loss</t>
        </is>
      </c>
      <c r="N279" s="23">
        <f>IF(M279="Win",IF(F279="Bet",(I279-1)*K279,K279),IF(M279="Loss",IF(F279="Bet",-K279,-(I279-1)*K279),IF(M279="Void",0,"")))</f>
        <v/>
      </c>
      <c r="O279" s="24">
        <f>IF(OR(M279="Win",M279="Loss"),IF(F279="Bet",K279,(I279-1)*K279),"")</f>
        <v/>
      </c>
    </row>
    <row r="280">
      <c r="A280" s="37" t="n">
        <v>46284</v>
      </c>
      <c r="B280" s="38" t="inlineStr">
        <is>
          <t>Belmont</t>
        </is>
      </c>
      <c r="C280" s="15" t="n">
        <v>4</v>
      </c>
      <c r="D280" s="15" t="n">
        <v>2</v>
      </c>
      <c r="E280" s="14" t="inlineStr">
        <is>
          <t>Royal Toronado</t>
        </is>
      </c>
      <c r="F280" s="43" t="inlineStr">
        <is>
          <t>Lay</t>
        </is>
      </c>
      <c r="G280" s="47" t="inlineStr">
        <is>
          <t>Lay</t>
        </is>
      </c>
      <c r="H280" s="41" t="n">
        <v>3.4</v>
      </c>
      <c r="I280" s="41" t="n">
        <v>2.7</v>
      </c>
      <c r="J280" s="16" t="n">
        <v>-0.0727</v>
      </c>
      <c r="K280" s="42" t="n">
        <v>1</v>
      </c>
      <c r="L280" s="15" t="n">
        <v>3</v>
      </c>
      <c r="M280" s="51" t="inlineStr">
        <is>
          <t>Win</t>
        </is>
      </c>
      <c r="N280" s="17">
        <f>IF(M280="Win",IF(F280="Bet",(I280-1)*K280,K280),IF(M280="Loss",IF(F280="Bet",-K280,-(I280-1)*K280),IF(M280="Void",0,"")))</f>
        <v/>
      </c>
      <c r="O280" s="18">
        <f>IF(OR(M280="Win",M280="Loss"),IF(F280="Bet",K280,(I280-1)*K280),"")</f>
        <v/>
      </c>
    </row>
    <row r="281">
      <c r="A281" s="44" t="n">
        <v>46284</v>
      </c>
      <c r="B281" s="45" t="inlineStr">
        <is>
          <t>Wagga</t>
        </is>
      </c>
      <c r="C281" s="21" t="n">
        <v>5</v>
      </c>
      <c r="D281" s="21" t="n">
        <v>6</v>
      </c>
      <c r="E281" s="20" t="inlineStr">
        <is>
          <t>Ferrari Man</t>
        </is>
      </c>
      <c r="F281" s="52" t="inlineStr">
        <is>
          <t>Bet</t>
        </is>
      </c>
      <c r="G281" s="40" t="inlineStr">
        <is>
          <t>Bet</t>
        </is>
      </c>
      <c r="H281" s="48" t="n">
        <v>5.6</v>
      </c>
      <c r="I281" s="48" t="n">
        <v>6.5</v>
      </c>
      <c r="J281" s="22" t="n">
        <v>0.0233</v>
      </c>
      <c r="K281" s="49" t="n">
        <v>1</v>
      </c>
      <c r="L281" s="21" t="n">
        <v>2</v>
      </c>
      <c r="M281" s="46" t="inlineStr">
        <is>
          <t>Loss</t>
        </is>
      </c>
      <c r="N281" s="23">
        <f>IF(M281="Win",IF(F281="Bet",(I281-1)*K281,K281),IF(M281="Loss",IF(F281="Bet",-K281,-(I281-1)*K281),IF(M281="Void",0,"")))</f>
        <v/>
      </c>
      <c r="O281" s="24">
        <f>IF(OR(M281="Win",M281="Loss"),IF(F281="Bet",K281,(I281-1)*K281),"")</f>
        <v/>
      </c>
    </row>
    <row r="282">
      <c r="A282" s="37" t="n">
        <v>46284</v>
      </c>
      <c r="B282" s="38" t="inlineStr">
        <is>
          <t>Caulfield</t>
        </is>
      </c>
      <c r="C282" s="15" t="n">
        <v>10</v>
      </c>
      <c r="D282" s="15" t="n">
        <v>17</v>
      </c>
      <c r="E282" s="14" t="inlineStr">
        <is>
          <t>Cruiserweight</t>
        </is>
      </c>
      <c r="F282" s="43" t="inlineStr">
        <is>
          <t>Lay</t>
        </is>
      </c>
      <c r="G282" s="47" t="inlineStr">
        <is>
          <t>Lay</t>
        </is>
      </c>
      <c r="H282" s="41" t="n">
        <v>3.9</v>
      </c>
      <c r="I282" s="41" t="n">
        <v>2.98</v>
      </c>
      <c r="J282" s="16" t="n">
        <v>-0.06859999999999999</v>
      </c>
      <c r="K282" s="42" t="n">
        <v>1</v>
      </c>
      <c r="L282" s="15" t="n">
        <v>7</v>
      </c>
      <c r="M282" s="51" t="inlineStr">
        <is>
          <t>Win</t>
        </is>
      </c>
      <c r="N282" s="17">
        <f>IF(M282="Win",IF(F282="Bet",(I282-1)*K282,K282),IF(M282="Loss",IF(F282="Bet",-K282,-(I282-1)*K282),IF(M282="Void",0,"")))</f>
        <v/>
      </c>
      <c r="O282" s="18">
        <f>IF(OR(M282="Win",M282="Loss"),IF(F282="Bet",K282,(I282-1)*K282),"")</f>
        <v/>
      </c>
    </row>
    <row r="283">
      <c r="A283" s="44" t="n">
        <v>46284</v>
      </c>
      <c r="B283" s="45" t="inlineStr">
        <is>
          <t>Echuca</t>
        </is>
      </c>
      <c r="C283" s="21" t="n">
        <v>3</v>
      </c>
      <c r="D283" s="21" t="n">
        <v>8</v>
      </c>
      <c r="E283" s="20" t="inlineStr">
        <is>
          <t>Julep</t>
        </is>
      </c>
      <c r="F283" s="52" t="inlineStr">
        <is>
          <t>Bet</t>
        </is>
      </c>
      <c r="G283" s="40" t="inlineStr">
        <is>
          <t>Bet</t>
        </is>
      </c>
      <c r="H283" s="48" t="n">
        <v>4.5</v>
      </c>
      <c r="I283" s="48" t="n">
        <v>8</v>
      </c>
      <c r="J283" s="22" t="n">
        <v>0.0201</v>
      </c>
      <c r="K283" s="49" t="n">
        <v>1</v>
      </c>
      <c r="L283" s="21" t="n">
        <v>7</v>
      </c>
      <c r="M283" s="46" t="inlineStr">
        <is>
          <t>Loss</t>
        </is>
      </c>
      <c r="N283" s="23">
        <f>IF(M283="Win",IF(F283="Bet",(I283-1)*K283,K283),IF(M283="Loss",IF(F283="Bet",-K283,-(I283-1)*K283),IF(M283="Void",0,"")))</f>
        <v/>
      </c>
      <c r="O283" s="24">
        <f>IF(OR(M283="Win",M283="Loss"),IF(F283="Bet",K283,(I283-1)*K283),"")</f>
        <v/>
      </c>
    </row>
    <row r="284">
      <c r="A284" s="37" t="n">
        <v>46284</v>
      </c>
      <c r="B284" s="38" t="inlineStr">
        <is>
          <t>Newcastle</t>
        </is>
      </c>
      <c r="C284" s="15" t="n">
        <v>6</v>
      </c>
      <c r="D284" s="15" t="n">
        <v>2</v>
      </c>
      <c r="E284" s="14" t="inlineStr">
        <is>
          <t>Oakfield Utah</t>
        </is>
      </c>
      <c r="F284" s="43" t="inlineStr">
        <is>
          <t>Lay</t>
        </is>
      </c>
      <c r="G284" s="47" t="inlineStr">
        <is>
          <t>Lay</t>
        </is>
      </c>
      <c r="H284" s="41" t="n">
        <v>5.6</v>
      </c>
      <c r="I284" s="41" t="n">
        <v>4</v>
      </c>
      <c r="J284" s="16" t="n">
        <v>-0.0708</v>
      </c>
      <c r="K284" s="42" t="n">
        <v>1</v>
      </c>
      <c r="L284" s="15" t="n">
        <v>1</v>
      </c>
      <c r="M284" s="43" t="inlineStr">
        <is>
          <t>Loss</t>
        </is>
      </c>
      <c r="N284" s="17">
        <f>IF(M284="Win",IF(F284="Bet",(I284-1)*K284,K284),IF(M284="Loss",IF(F284="Bet",-K284,-(I284-1)*K284),IF(M284="Void",0,"")))</f>
        <v/>
      </c>
      <c r="O284" s="18">
        <f>IF(OR(M284="Win",M284="Loss"),IF(F284="Bet",K284,(I284-1)*K284),"")</f>
        <v/>
      </c>
    </row>
    <row r="285">
      <c r="A285" s="44" t="n">
        <v>46284</v>
      </c>
      <c r="B285" s="45" t="inlineStr">
        <is>
          <t>Caulfield</t>
        </is>
      </c>
      <c r="C285" s="21" t="n">
        <v>3</v>
      </c>
      <c r="D285" s="21" t="n">
        <v>2</v>
      </c>
      <c r="E285" s="20" t="inlineStr">
        <is>
          <t>Winnasedge</t>
        </is>
      </c>
      <c r="F285" s="46" t="inlineStr">
        <is>
          <t>Lay</t>
        </is>
      </c>
      <c r="G285" s="47" t="inlineStr">
        <is>
          <t>Lay</t>
        </is>
      </c>
      <c r="H285" s="48" t="n">
        <v>6.7</v>
      </c>
      <c r="I285" s="48" t="n">
        <v>4.4</v>
      </c>
      <c r="J285" s="22" t="n">
        <v>-0.06279999999999999</v>
      </c>
      <c r="K285" s="49" t="n">
        <v>1</v>
      </c>
      <c r="L285" s="21" t="n">
        <v>7</v>
      </c>
      <c r="M285" s="50" t="inlineStr">
        <is>
          <t>Win</t>
        </is>
      </c>
      <c r="N285" s="23">
        <f>IF(M285="Win",IF(F285="Bet",(I285-1)*K285,K285),IF(M285="Loss",IF(F285="Bet",-K285,-(I285-1)*K285),IF(M285="Void",0,"")))</f>
        <v/>
      </c>
      <c r="O285" s="24">
        <f>IF(OR(M285="Win",M285="Loss"),IF(F285="Bet",K285,(I285-1)*K285),"")</f>
        <v/>
      </c>
    </row>
    <row r="286">
      <c r="A286" s="37" t="n">
        <v>46284</v>
      </c>
      <c r="B286" s="38" t="inlineStr">
        <is>
          <t>Caulfield</t>
        </is>
      </c>
      <c r="C286" s="15" t="n">
        <v>5</v>
      </c>
      <c r="D286" s="15" t="n">
        <v>3</v>
      </c>
      <c r="E286" s="14" t="inlineStr">
        <is>
          <t>Blind Raise</t>
        </is>
      </c>
      <c r="F286" s="43" t="inlineStr">
        <is>
          <t>Lay</t>
        </is>
      </c>
      <c r="G286" s="47" t="inlineStr">
        <is>
          <t>Lay</t>
        </is>
      </c>
      <c r="H286" s="41" t="n">
        <v>3.5</v>
      </c>
      <c r="I286" s="41" t="n">
        <v>2.47</v>
      </c>
      <c r="J286" s="16" t="n">
        <v>-0.0644</v>
      </c>
      <c r="K286" s="42" t="n">
        <v>1</v>
      </c>
      <c r="L286" s="15" t="n">
        <v>1</v>
      </c>
      <c r="M286" s="43" t="inlineStr">
        <is>
          <t>Loss</t>
        </is>
      </c>
      <c r="N286" s="17">
        <f>IF(M286="Win",IF(F286="Bet",(I286-1)*K286,K286),IF(M286="Loss",IF(F286="Bet",-K286,-(I286-1)*K286),IF(M286="Void",0,"")))</f>
        <v/>
      </c>
      <c r="O286" s="18">
        <f>IF(OR(M286="Win",M286="Loss"),IF(F286="Bet",K286,(I286-1)*K286),"")</f>
        <v/>
      </c>
    </row>
    <row r="287">
      <c r="A287" s="44" t="n">
        <v>46284</v>
      </c>
      <c r="B287" s="45" t="inlineStr">
        <is>
          <t>Gold Coast</t>
        </is>
      </c>
      <c r="C287" s="21" t="n">
        <v>6</v>
      </c>
      <c r="D287" s="21" t="n">
        <v>12</v>
      </c>
      <c r="E287" s="20" t="inlineStr">
        <is>
          <t>Spirit Of Barty</t>
        </is>
      </c>
      <c r="F287" s="46" t="inlineStr">
        <is>
          <t>Lay</t>
        </is>
      </c>
      <c r="G287" s="47" t="inlineStr">
        <is>
          <t>Lay</t>
        </is>
      </c>
      <c r="H287" s="48" t="n">
        <v>3.8</v>
      </c>
      <c r="I287" s="48" t="n">
        <v>2.67</v>
      </c>
      <c r="J287" s="22" t="n">
        <v>-0.1051</v>
      </c>
      <c r="K287" s="49" t="n">
        <v>1</v>
      </c>
      <c r="L287" s="21" t="n">
        <v>1</v>
      </c>
      <c r="M287" s="46" t="inlineStr">
        <is>
          <t>Loss</t>
        </is>
      </c>
      <c r="N287" s="23">
        <f>IF(M287="Win",IF(F287="Bet",(I287-1)*K287,K287),IF(M287="Loss",IF(F287="Bet",-K287,-(I287-1)*K287),IF(M287="Void",0,"")))</f>
        <v/>
      </c>
      <c r="O287" s="24">
        <f>IF(OR(M287="Win",M287="Loss"),IF(F287="Bet",K287,(I287-1)*K287),"")</f>
        <v/>
      </c>
    </row>
    <row r="288">
      <c r="A288" s="37" t="n">
        <v>46284</v>
      </c>
      <c r="B288" s="38" t="inlineStr">
        <is>
          <t>Belmont</t>
        </is>
      </c>
      <c r="C288" s="15" t="n">
        <v>5</v>
      </c>
      <c r="D288" s="15" t="n">
        <v>4</v>
      </c>
      <c r="E288" s="14" t="inlineStr">
        <is>
          <t>Niccimota</t>
        </is>
      </c>
      <c r="F288" s="43" t="inlineStr">
        <is>
          <t>Lay</t>
        </is>
      </c>
      <c r="G288" s="47" t="inlineStr">
        <is>
          <t>Lay</t>
        </is>
      </c>
      <c r="H288" s="41" t="n">
        <v>5.1</v>
      </c>
      <c r="I288" s="41" t="n">
        <v>3.75</v>
      </c>
      <c r="J288" s="16" t="n">
        <v>-0.0723</v>
      </c>
      <c r="K288" s="42" t="n">
        <v>1</v>
      </c>
      <c r="L288" s="15" t="n">
        <v>2</v>
      </c>
      <c r="M288" s="51" t="inlineStr">
        <is>
          <t>Win</t>
        </is>
      </c>
      <c r="N288" s="17">
        <f>IF(M288="Win",IF(F288="Bet",(I288-1)*K288,K288),IF(M288="Loss",IF(F288="Bet",-K288,-(I288-1)*K288),IF(M288="Void",0,"")))</f>
        <v/>
      </c>
      <c r="O288" s="18">
        <f>IF(OR(M288="Win",M288="Loss"),IF(F288="Bet",K288,(I288-1)*K288),"")</f>
        <v/>
      </c>
    </row>
    <row r="289">
      <c r="A289" s="44" t="n">
        <v>46284</v>
      </c>
      <c r="B289" s="45" t="inlineStr">
        <is>
          <t>Morphettville Parks</t>
        </is>
      </c>
      <c r="C289" s="21" t="n">
        <v>4</v>
      </c>
      <c r="D289" s="21" t="n">
        <v>3</v>
      </c>
      <c r="E289" s="20" t="inlineStr">
        <is>
          <t>Tennessee Spirit</t>
        </is>
      </c>
      <c r="F289" s="46" t="inlineStr">
        <is>
          <t>Lay</t>
        </is>
      </c>
      <c r="G289" s="47" t="inlineStr">
        <is>
          <t>Lay</t>
        </is>
      </c>
      <c r="H289" s="48" t="n">
        <v>4.3</v>
      </c>
      <c r="I289" s="48" t="n">
        <v>3</v>
      </c>
      <c r="J289" s="22" t="n">
        <v>-0.0814</v>
      </c>
      <c r="K289" s="49" t="n">
        <v>1</v>
      </c>
      <c r="L289" s="21" t="n">
        <v>1</v>
      </c>
      <c r="M289" s="46" t="inlineStr">
        <is>
          <t>Loss</t>
        </is>
      </c>
      <c r="N289" s="23">
        <f>IF(M289="Win",IF(F289="Bet",(I289-1)*K289,K289),IF(M289="Loss",IF(F289="Bet",-K289,-(I289-1)*K289),IF(M289="Void",0,"")))</f>
        <v/>
      </c>
      <c r="O289" s="24">
        <f>IF(OR(M289="Win",M289="Loss"),IF(F289="Bet",K289,(I289-1)*K289),"")</f>
        <v/>
      </c>
    </row>
    <row r="290">
      <c r="A290" s="37" t="n">
        <v>46284</v>
      </c>
      <c r="B290" s="38" t="inlineStr">
        <is>
          <t>Morphettville Parks</t>
        </is>
      </c>
      <c r="C290" s="15" t="n">
        <v>6</v>
      </c>
      <c r="D290" s="15" t="n">
        <v>2</v>
      </c>
      <c r="E290" s="14" t="inlineStr">
        <is>
          <t>Bargain Boy</t>
        </is>
      </c>
      <c r="F290" s="43" t="inlineStr">
        <is>
          <t>Lay</t>
        </is>
      </c>
      <c r="G290" s="47" t="inlineStr">
        <is>
          <t>Lay</t>
        </is>
      </c>
      <c r="H290" s="41" t="n">
        <v>3.9</v>
      </c>
      <c r="I290" s="41" t="n">
        <v>2.75</v>
      </c>
      <c r="J290" s="16" t="n">
        <v>-0.06569999999999999</v>
      </c>
      <c r="K290" s="42" t="n">
        <v>1</v>
      </c>
      <c r="L290" s="15" t="n">
        <v>2</v>
      </c>
      <c r="M290" s="51" t="inlineStr">
        <is>
          <t>Win</t>
        </is>
      </c>
      <c r="N290" s="17">
        <f>IF(M290="Win",IF(F290="Bet",(I290-1)*K290,K290),IF(M290="Loss",IF(F290="Bet",-K290,-(I290-1)*K290),IF(M290="Void",0,"")))</f>
        <v/>
      </c>
      <c r="O290" s="18">
        <f>IF(OR(M290="Win",M290="Loss"),IF(F290="Bet",K290,(I290-1)*K290),"")</f>
        <v/>
      </c>
    </row>
    <row r="291">
      <c r="A291" s="44" t="n">
        <v>46284</v>
      </c>
      <c r="B291" s="45" t="inlineStr">
        <is>
          <t>Caulfield</t>
        </is>
      </c>
      <c r="C291" s="21" t="n">
        <v>1</v>
      </c>
      <c r="D291" s="21" t="n">
        <v>6</v>
      </c>
      <c r="E291" s="20" t="inlineStr">
        <is>
          <t>Fear No Evil</t>
        </is>
      </c>
      <c r="F291" s="52" t="inlineStr">
        <is>
          <t>Bet</t>
        </is>
      </c>
      <c r="G291" s="40" t="inlineStr">
        <is>
          <t>Bet</t>
        </is>
      </c>
      <c r="H291" s="48" t="n">
        <v>10.9</v>
      </c>
      <c r="I291" s="48" t="n">
        <v>19.5</v>
      </c>
      <c r="J291" s="22" t="n">
        <v>0.0205</v>
      </c>
      <c r="K291" s="49" t="n">
        <v>1</v>
      </c>
      <c r="L291" s="21" t="n">
        <v>4</v>
      </c>
      <c r="M291" s="46" t="inlineStr">
        <is>
          <t>Loss</t>
        </is>
      </c>
      <c r="N291" s="23">
        <f>IF(M291="Win",IF(F291="Bet",(I291-1)*K291,K291),IF(M291="Loss",IF(F291="Bet",-K291,-(I291-1)*K291),IF(M291="Void",0,"")))</f>
        <v/>
      </c>
      <c r="O291" s="24">
        <f>IF(OR(M291="Win",M291="Loss"),IF(F291="Bet",K291,(I291-1)*K291),"")</f>
        <v/>
      </c>
    </row>
    <row r="292">
      <c r="A292" s="37" t="n">
        <v>46284</v>
      </c>
      <c r="B292" s="38" t="inlineStr">
        <is>
          <t>Darwin</t>
        </is>
      </c>
      <c r="C292" s="15" t="n">
        <v>1</v>
      </c>
      <c r="D292" s="15" t="n">
        <v>1</v>
      </c>
      <c r="E292" s="14" t="inlineStr">
        <is>
          <t>Biden Time</t>
        </is>
      </c>
      <c r="F292" s="43" t="inlineStr">
        <is>
          <t>Lay</t>
        </is>
      </c>
      <c r="G292" s="47" t="inlineStr">
        <is>
          <t>Lay</t>
        </is>
      </c>
      <c r="H292" s="41" t="n">
        <v>4.8</v>
      </c>
      <c r="I292" s="41" t="n">
        <v>3.7</v>
      </c>
      <c r="J292" s="16" t="n">
        <v>-0.0612</v>
      </c>
      <c r="K292" s="42" t="n">
        <v>1</v>
      </c>
      <c r="L292" s="15" t="n">
        <v>2</v>
      </c>
      <c r="M292" s="51" t="inlineStr">
        <is>
          <t>Win</t>
        </is>
      </c>
      <c r="N292" s="17">
        <f>IF(M292="Win",IF(F292="Bet",(I292-1)*K292,K292),IF(M292="Loss",IF(F292="Bet",-K292,-(I292-1)*K292),IF(M292="Void",0,"")))</f>
        <v/>
      </c>
      <c r="O292" s="18">
        <f>IF(OR(M292="Win",M292="Loss"),IF(F292="Bet",K292,(I292-1)*K292),"")</f>
        <v/>
      </c>
    </row>
    <row r="293">
      <c r="A293" s="44" t="n">
        <v>46284</v>
      </c>
      <c r="B293" s="45" t="inlineStr">
        <is>
          <t>Newcastle</t>
        </is>
      </c>
      <c r="C293" s="21" t="n">
        <v>4</v>
      </c>
      <c r="D293" s="21" t="n">
        <v>7</v>
      </c>
      <c r="E293" s="20" t="inlineStr">
        <is>
          <t>Joika</t>
        </is>
      </c>
      <c r="F293" s="46" t="inlineStr">
        <is>
          <t>Lay</t>
        </is>
      </c>
      <c r="G293" s="47" t="inlineStr">
        <is>
          <t>Lay</t>
        </is>
      </c>
      <c r="H293" s="48" t="n">
        <v>3.8</v>
      </c>
      <c r="I293" s="48" t="n">
        <v>2.68</v>
      </c>
      <c r="J293" s="22" t="n">
        <v>-0.0624</v>
      </c>
      <c r="K293" s="49" t="n">
        <v>1</v>
      </c>
      <c r="L293" s="21" t="n">
        <v>2</v>
      </c>
      <c r="M293" s="50" t="inlineStr">
        <is>
          <t>Win</t>
        </is>
      </c>
      <c r="N293" s="23">
        <f>IF(M293="Win",IF(F293="Bet",(I293-1)*K293,K293),IF(M293="Loss",IF(F293="Bet",-K293,-(I293-1)*K293),IF(M293="Void",0,"")))</f>
        <v/>
      </c>
      <c r="O293" s="24">
        <f>IF(OR(M293="Win",M293="Loss"),IF(F293="Bet",K293,(I293-1)*K293),"")</f>
        <v/>
      </c>
    </row>
    <row r="294">
      <c r="A294" s="37" t="n">
        <v>46284</v>
      </c>
      <c r="B294" s="38" t="inlineStr">
        <is>
          <t>Belmont</t>
        </is>
      </c>
      <c r="C294" s="15" t="n">
        <v>6</v>
      </c>
      <c r="D294" s="15" t="n">
        <v>5</v>
      </c>
      <c r="E294" s="14" t="inlineStr">
        <is>
          <t>Silent Diva</t>
        </is>
      </c>
      <c r="F294" s="43" t="inlineStr">
        <is>
          <t>Lay</t>
        </is>
      </c>
      <c r="G294" s="47" t="inlineStr">
        <is>
          <t>Lay</t>
        </is>
      </c>
      <c r="H294" s="41" t="n">
        <v>6.4</v>
      </c>
      <c r="I294" s="41" t="n">
        <v>3.85</v>
      </c>
      <c r="J294" s="16" t="n">
        <v>-0.0755</v>
      </c>
      <c r="K294" s="42" t="n">
        <v>1</v>
      </c>
      <c r="L294" s="15" t="n">
        <v>1</v>
      </c>
      <c r="M294" s="43" t="inlineStr">
        <is>
          <t>Loss</t>
        </is>
      </c>
      <c r="N294" s="17">
        <f>IF(M294="Win",IF(F294="Bet",(I294-1)*K294,K294),IF(M294="Loss",IF(F294="Bet",-K294,-(I294-1)*K294),IF(M294="Void",0,"")))</f>
        <v/>
      </c>
      <c r="O294" s="18">
        <f>IF(OR(M294="Win",M294="Loss"),IF(F294="Bet",K294,(I294-1)*K294),"")</f>
        <v/>
      </c>
    </row>
    <row r="295">
      <c r="A295" s="44" t="n">
        <v>46284</v>
      </c>
      <c r="B295" s="45" t="inlineStr">
        <is>
          <t>Belmont</t>
        </is>
      </c>
      <c r="C295" s="21" t="n">
        <v>8</v>
      </c>
      <c r="D295" s="21" t="n">
        <v>5</v>
      </c>
      <c r="E295" s="20" t="inlineStr">
        <is>
          <t>Cosmic Waltz</t>
        </is>
      </c>
      <c r="F295" s="46" t="inlineStr">
        <is>
          <t>Lay</t>
        </is>
      </c>
      <c r="G295" s="47" t="inlineStr">
        <is>
          <t>Lay</t>
        </is>
      </c>
      <c r="H295" s="48" t="n">
        <v>4.6</v>
      </c>
      <c r="I295" s="48" t="n">
        <v>3.5</v>
      </c>
      <c r="J295" s="22" t="n">
        <v>-0.0673</v>
      </c>
      <c r="K295" s="49" t="n">
        <v>1</v>
      </c>
      <c r="L295" s="21" t="n">
        <v>7</v>
      </c>
      <c r="M295" s="50" t="inlineStr">
        <is>
          <t>Win</t>
        </is>
      </c>
      <c r="N295" s="23">
        <f>IF(M295="Win",IF(F295="Bet",(I295-1)*K295,K295),IF(M295="Loss",IF(F295="Bet",-K295,-(I295-1)*K295),IF(M295="Void",0,"")))</f>
        <v/>
      </c>
      <c r="O295" s="24">
        <f>IF(OR(M295="Win",M295="Loss"),IF(F295="Bet",K295,(I295-1)*K295),"")</f>
        <v/>
      </c>
    </row>
    <row r="296">
      <c r="A296" s="37" t="n">
        <v>46284</v>
      </c>
      <c r="B296" s="38" t="inlineStr">
        <is>
          <t>Caulfield</t>
        </is>
      </c>
      <c r="C296" s="15" t="n">
        <v>2</v>
      </c>
      <c r="D296" s="15" t="n">
        <v>3</v>
      </c>
      <c r="E296" s="14" t="inlineStr">
        <is>
          <t>Icy You</t>
        </is>
      </c>
      <c r="F296" s="43" t="inlineStr">
        <is>
          <t>Lay</t>
        </is>
      </c>
      <c r="G296" s="47" t="inlineStr">
        <is>
          <t>Lay</t>
        </is>
      </c>
      <c r="H296" s="41" t="n">
        <v>5.8</v>
      </c>
      <c r="I296" s="41" t="n">
        <v>4.1</v>
      </c>
      <c r="J296" s="16" t="n">
        <v>-0.0711</v>
      </c>
      <c r="K296" s="42" t="n">
        <v>1</v>
      </c>
      <c r="L296" s="15" t="n">
        <v>2</v>
      </c>
      <c r="M296" s="51" t="inlineStr">
        <is>
          <t>Win</t>
        </is>
      </c>
      <c r="N296" s="17">
        <f>IF(M296="Win",IF(F296="Bet",(I296-1)*K296,K296),IF(M296="Loss",IF(F296="Bet",-K296,-(I296-1)*K296),IF(M296="Void",0,"")))</f>
        <v/>
      </c>
      <c r="O296" s="18">
        <f>IF(OR(M296="Win",M296="Loss"),IF(F296="Bet",K296,(I296-1)*K296),"")</f>
        <v/>
      </c>
    </row>
    <row r="297">
      <c r="A297" s="44" t="n">
        <v>46284</v>
      </c>
      <c r="B297" s="45" t="inlineStr">
        <is>
          <t>Gold Coast</t>
        </is>
      </c>
      <c r="C297" s="21" t="n">
        <v>8</v>
      </c>
      <c r="D297" s="21" t="n">
        <v>6</v>
      </c>
      <c r="E297" s="20" t="inlineStr">
        <is>
          <t>Detrimental</t>
        </is>
      </c>
      <c r="F297" s="46" t="inlineStr">
        <is>
          <t>Lay</t>
        </is>
      </c>
      <c r="G297" s="47" t="inlineStr">
        <is>
          <t>Lay</t>
        </is>
      </c>
      <c r="H297" s="48" t="n">
        <v>5.2</v>
      </c>
      <c r="I297" s="48" t="n">
        <v>3.4</v>
      </c>
      <c r="J297" s="22" t="n">
        <v>-0.0941</v>
      </c>
      <c r="K297" s="49" t="n">
        <v>1</v>
      </c>
      <c r="L297" s="21" t="n">
        <v>7</v>
      </c>
      <c r="M297" s="50" t="inlineStr">
        <is>
          <t>Win</t>
        </is>
      </c>
      <c r="N297" s="23">
        <f>IF(M297="Win",IF(F297="Bet",(I297-1)*K297,K297),IF(M297="Loss",IF(F297="Bet",-K297,-(I297-1)*K297),IF(M297="Void",0,"")))</f>
        <v/>
      </c>
      <c r="O297" s="24">
        <f>IF(OR(M297="Win",M297="Loss"),IF(F297="Bet",K297,(I297-1)*K297),"")</f>
        <v/>
      </c>
    </row>
    <row r="298">
      <c r="A298" s="37" t="n">
        <v>46284</v>
      </c>
      <c r="B298" s="38" t="inlineStr">
        <is>
          <t>Caulfield</t>
        </is>
      </c>
      <c r="C298" s="15" t="n">
        <v>6</v>
      </c>
      <c r="D298" s="15" t="n">
        <v>10</v>
      </c>
      <c r="E298" s="14" t="inlineStr">
        <is>
          <t>Bridal Waltz</t>
        </is>
      </c>
      <c r="F298" s="43" t="inlineStr">
        <is>
          <t>Lay</t>
        </is>
      </c>
      <c r="G298" s="47" t="inlineStr">
        <is>
          <t>Lay</t>
        </is>
      </c>
      <c r="H298" s="41" t="n">
        <v>2.6</v>
      </c>
      <c r="I298" s="41" t="n">
        <v>2</v>
      </c>
      <c r="J298" s="16" t="n">
        <v>-0.06619999999999999</v>
      </c>
      <c r="K298" s="42" t="n">
        <v>1</v>
      </c>
      <c r="L298" s="15" t="n">
        <v>2</v>
      </c>
      <c r="M298" s="51" t="inlineStr">
        <is>
          <t>Win</t>
        </is>
      </c>
      <c r="N298" s="17">
        <f>IF(M298="Win",IF(F298="Bet",(I298-1)*K298,K298),IF(M298="Loss",IF(F298="Bet",-K298,-(I298-1)*K298),IF(M298="Void",0,"")))</f>
        <v/>
      </c>
      <c r="O298" s="18">
        <f>IF(OR(M298="Win",M298="Loss"),IF(F298="Bet",K298,(I298-1)*K298),"")</f>
        <v/>
      </c>
    </row>
    <row r="299">
      <c r="A299" s="44" t="n">
        <v>46284</v>
      </c>
      <c r="B299" s="45" t="inlineStr">
        <is>
          <t>Bowraville</t>
        </is>
      </c>
      <c r="C299" s="21" t="n">
        <v>2</v>
      </c>
      <c r="D299" s="21" t="n">
        <v>7</v>
      </c>
      <c r="E299" s="20" t="inlineStr">
        <is>
          <t>Midwest Princess</t>
        </is>
      </c>
      <c r="F299" s="52" t="inlineStr">
        <is>
          <t>Bet</t>
        </is>
      </c>
      <c r="G299" s="40" t="inlineStr">
        <is>
          <t>Bet</t>
        </is>
      </c>
      <c r="H299" s="48" t="n">
        <v>7.1</v>
      </c>
      <c r="I299" s="48" t="n">
        <v>8.5</v>
      </c>
      <c r="J299" s="22" t="n">
        <v>0.0229</v>
      </c>
      <c r="K299" s="49" t="n">
        <v>1</v>
      </c>
      <c r="L299" s="21" t="n">
        <v>7</v>
      </c>
      <c r="M299" s="46" t="inlineStr">
        <is>
          <t>Loss</t>
        </is>
      </c>
      <c r="N299" s="23">
        <f>IF(M299="Win",IF(F299="Bet",(I299-1)*K299,K299),IF(M299="Loss",IF(F299="Bet",-K299,-(I299-1)*K299),IF(M299="Void",0,"")))</f>
        <v/>
      </c>
      <c r="O299" s="24">
        <f>IF(OR(M299="Win",M299="Loss"),IF(F299="Bet",K299,(I299-1)*K299),"")</f>
        <v/>
      </c>
    </row>
    <row r="300">
      <c r="A300" s="37" t="n">
        <v>46284</v>
      </c>
      <c r="B300" s="38" t="inlineStr">
        <is>
          <t>Morphettville Parks</t>
        </is>
      </c>
      <c r="C300" s="15" t="n">
        <v>3</v>
      </c>
      <c r="D300" s="15" t="n">
        <v>7</v>
      </c>
      <c r="E300" s="14" t="inlineStr">
        <is>
          <t>Teardrop Rotation</t>
        </is>
      </c>
      <c r="F300" s="39" t="inlineStr">
        <is>
          <t>Bet</t>
        </is>
      </c>
      <c r="G300" s="40" t="inlineStr">
        <is>
          <t>Bet</t>
        </is>
      </c>
      <c r="H300" s="41" t="n">
        <v>10.7</v>
      </c>
      <c r="I300" s="41" t="n">
        <v>15.94</v>
      </c>
      <c r="J300" s="16" t="n">
        <v>0.0217</v>
      </c>
      <c r="K300" s="42" t="n">
        <v>1</v>
      </c>
      <c r="L300" s="15" t="n">
        <v>4</v>
      </c>
      <c r="M300" s="43" t="inlineStr">
        <is>
          <t>Loss</t>
        </is>
      </c>
      <c r="N300" s="17">
        <f>IF(M300="Win",IF(F300="Bet",(I300-1)*K300,K300),IF(M300="Loss",IF(F300="Bet",-K300,-(I300-1)*K300),IF(M300="Void",0,"")))</f>
        <v/>
      </c>
      <c r="O300" s="18">
        <f>IF(OR(M300="Win",M300="Loss"),IF(F300="Bet",K300,(I300-1)*K300),"")</f>
        <v/>
      </c>
    </row>
    <row r="301">
      <c r="A301" s="44" t="n">
        <v>46284</v>
      </c>
      <c r="B301" s="45" t="inlineStr">
        <is>
          <t>Wagga</t>
        </is>
      </c>
      <c r="C301" s="21" t="n">
        <v>2</v>
      </c>
      <c r="D301" s="21" t="n">
        <v>6</v>
      </c>
      <c r="E301" s="20" t="inlineStr">
        <is>
          <t>Icon Dream</t>
        </is>
      </c>
      <c r="F301" s="52" t="inlineStr">
        <is>
          <t>Bet</t>
        </is>
      </c>
      <c r="G301" s="40" t="inlineStr">
        <is>
          <t>Bet</t>
        </is>
      </c>
      <c r="H301" s="48" t="n">
        <v>11.1</v>
      </c>
      <c r="I301" s="48" t="n">
        <v>15</v>
      </c>
      <c r="J301" s="22" t="n">
        <v>0.0237</v>
      </c>
      <c r="K301" s="49" t="n">
        <v>1</v>
      </c>
      <c r="L301" s="21" t="n">
        <v>7</v>
      </c>
      <c r="M301" s="46" t="inlineStr">
        <is>
          <t>Loss</t>
        </is>
      </c>
      <c r="N301" s="23">
        <f>IF(M301="Win",IF(F301="Bet",(I301-1)*K301,K301),IF(M301="Loss",IF(F301="Bet",-K301,-(I301-1)*K301),IF(M301="Void",0,"")))</f>
        <v/>
      </c>
      <c r="O301" s="24">
        <f>IF(OR(M301="Win",M301="Loss"),IF(F301="Bet",K301,(I301-1)*K301),"")</f>
        <v/>
      </c>
    </row>
    <row r="302">
      <c r="A302" s="37" t="n">
        <v>46284</v>
      </c>
      <c r="B302" s="38" t="inlineStr">
        <is>
          <t>Eagle Farm</t>
        </is>
      </c>
      <c r="C302" s="15" t="n">
        <v>3</v>
      </c>
      <c r="D302" s="15" t="n">
        <v>8</v>
      </c>
      <c r="E302" s="14" t="inlineStr">
        <is>
          <t>Biancelli</t>
        </is>
      </c>
      <c r="F302" s="43" t="inlineStr">
        <is>
          <t>Lay</t>
        </is>
      </c>
      <c r="G302" s="47" t="inlineStr">
        <is>
          <t>Lay</t>
        </is>
      </c>
      <c r="H302" s="41" t="n">
        <v>3.4</v>
      </c>
      <c r="I302" s="41" t="n">
        <v>2.32</v>
      </c>
      <c r="J302" s="16" t="n">
        <v>-0.0619</v>
      </c>
      <c r="K302" s="42" t="n">
        <v>1</v>
      </c>
      <c r="L302" s="15" t="n">
        <v>1</v>
      </c>
      <c r="M302" s="43" t="inlineStr">
        <is>
          <t>Loss</t>
        </is>
      </c>
      <c r="N302" s="17">
        <f>IF(M302="Win",IF(F302="Bet",(I302-1)*K302,K302),IF(M302="Loss",IF(F302="Bet",-K302,-(I302-1)*K302),IF(M302="Void",0,"")))</f>
        <v/>
      </c>
      <c r="O302" s="18">
        <f>IF(OR(M302="Win",M302="Loss"),IF(F302="Bet",K302,(I302-1)*K302),"")</f>
        <v/>
      </c>
    </row>
    <row r="303">
      <c r="A303" s="44" t="n">
        <v>46284</v>
      </c>
      <c r="B303" s="45" t="inlineStr">
        <is>
          <t>Randwick</t>
        </is>
      </c>
      <c r="C303" s="21" t="n">
        <v>5</v>
      </c>
      <c r="D303" s="21" t="n">
        <v>4</v>
      </c>
      <c r="E303" s="20" t="inlineStr">
        <is>
          <t>Linebacker</t>
        </is>
      </c>
      <c r="F303" s="52" t="inlineStr">
        <is>
          <t>Bet</t>
        </is>
      </c>
      <c r="G303" s="40" t="inlineStr">
        <is>
          <t>Bet</t>
        </is>
      </c>
      <c r="H303" s="48" t="n">
        <v>6.1</v>
      </c>
      <c r="I303" s="48" t="n">
        <v>7.5</v>
      </c>
      <c r="J303" s="22" t="n">
        <v>0.02</v>
      </c>
      <c r="K303" s="49" t="n">
        <v>1</v>
      </c>
      <c r="L303" s="21" t="n">
        <v>4</v>
      </c>
      <c r="M303" s="46" t="inlineStr">
        <is>
          <t>Loss</t>
        </is>
      </c>
      <c r="N303" s="23">
        <f>IF(M303="Win",IF(F303="Bet",(I303-1)*K303,K303),IF(M303="Loss",IF(F303="Bet",-K303,-(I303-1)*K303),IF(M303="Void",0,"")))</f>
        <v/>
      </c>
      <c r="O303" s="24">
        <f>IF(OR(M303="Win",M303="Loss"),IF(F303="Bet",K303,(I303-1)*K303),"")</f>
        <v/>
      </c>
    </row>
    <row r="304">
      <c r="A304" s="37" t="n">
        <v>46284</v>
      </c>
      <c r="B304" s="38" t="inlineStr">
        <is>
          <t>Gold Coast</t>
        </is>
      </c>
      <c r="C304" s="15" t="n">
        <v>8</v>
      </c>
      <c r="D304" s="15" t="n">
        <v>3</v>
      </c>
      <c r="E304" s="14" t="inlineStr">
        <is>
          <t>Chief In Charge</t>
        </is>
      </c>
      <c r="F304" s="39" t="inlineStr">
        <is>
          <t>Bet</t>
        </is>
      </c>
      <c r="G304" s="40" t="inlineStr">
        <is>
          <t>Bet</t>
        </is>
      </c>
      <c r="H304" s="41" t="n">
        <v>9</v>
      </c>
      <c r="I304" s="41" t="n">
        <v>14</v>
      </c>
      <c r="J304" s="16" t="n">
        <v>0.0202</v>
      </c>
      <c r="K304" s="42" t="n">
        <v>1</v>
      </c>
      <c r="L304" s="15" t="n">
        <v>8</v>
      </c>
      <c r="M304" s="43" t="inlineStr">
        <is>
          <t>Loss</t>
        </is>
      </c>
      <c r="N304" s="17">
        <f>IF(M304="Win",IF(F304="Bet",(I304-1)*K304,K304),IF(M304="Loss",IF(F304="Bet",-K304,-(I304-1)*K304),IF(M304="Void",0,"")))</f>
        <v/>
      </c>
      <c r="O304" s="18">
        <f>IF(OR(M304="Win",M304="Loss"),IF(F304="Bet",K304,(I304-1)*K304),"")</f>
        <v/>
      </c>
    </row>
    <row r="305">
      <c r="A305" s="44" t="n">
        <v>46284</v>
      </c>
      <c r="B305" s="45" t="inlineStr">
        <is>
          <t>Belmont</t>
        </is>
      </c>
      <c r="C305" s="21" t="n">
        <v>7</v>
      </c>
      <c r="D305" s="21" t="n">
        <v>7</v>
      </c>
      <c r="E305" s="20" t="inlineStr">
        <is>
          <t>Mind Field</t>
        </is>
      </c>
      <c r="F305" s="46" t="inlineStr">
        <is>
          <t>Lay</t>
        </is>
      </c>
      <c r="G305" s="47" t="inlineStr">
        <is>
          <t>Lay</t>
        </is>
      </c>
      <c r="H305" s="48" t="n">
        <v>7.5</v>
      </c>
      <c r="I305" s="48" t="n">
        <v>4.9</v>
      </c>
      <c r="J305" s="22" t="n">
        <v>-0.0659</v>
      </c>
      <c r="K305" s="49" t="n">
        <v>1</v>
      </c>
      <c r="L305" s="21" t="n">
        <v>6</v>
      </c>
      <c r="M305" s="50" t="inlineStr">
        <is>
          <t>Win</t>
        </is>
      </c>
      <c r="N305" s="23">
        <f>IF(M305="Win",IF(F305="Bet",(I305-1)*K305,K305),IF(M305="Loss",IF(F305="Bet",-K305,-(I305-1)*K305),IF(M305="Void",0,"")))</f>
        <v/>
      </c>
      <c r="O305" s="24">
        <f>IF(OR(M305="Win",M305="Loss"),IF(F305="Bet",K305,(I305-1)*K305),"")</f>
        <v/>
      </c>
    </row>
    <row r="306">
      <c r="A306" s="37" t="n">
        <v>46284</v>
      </c>
      <c r="B306" s="38" t="inlineStr">
        <is>
          <t>Bowraville</t>
        </is>
      </c>
      <c r="C306" s="15" t="n">
        <v>3</v>
      </c>
      <c r="D306" s="15" t="n">
        <v>5</v>
      </c>
      <c r="E306" s="14" t="inlineStr">
        <is>
          <t>Brazen Brando</t>
        </is>
      </c>
      <c r="F306" s="43" t="inlineStr">
        <is>
          <t>Lay</t>
        </is>
      </c>
      <c r="G306" s="47" t="inlineStr">
        <is>
          <t>Lay</t>
        </is>
      </c>
      <c r="H306" s="41" t="n">
        <v>8.4</v>
      </c>
      <c r="I306" s="41" t="n">
        <v>5.4</v>
      </c>
      <c r="J306" s="16" t="n">
        <v>-0.06610000000000001</v>
      </c>
      <c r="K306" s="42" t="n">
        <v>1</v>
      </c>
      <c r="L306" s="15" t="n">
        <v>4</v>
      </c>
      <c r="M306" s="51" t="inlineStr">
        <is>
          <t>Win</t>
        </is>
      </c>
      <c r="N306" s="17">
        <f>IF(M306="Win",IF(F306="Bet",(I306-1)*K306,K306),IF(M306="Loss",IF(F306="Bet",-K306,-(I306-1)*K306),IF(M306="Void",0,"")))</f>
        <v/>
      </c>
      <c r="O306" s="18">
        <f>IF(OR(M306="Win",M306="Loss"),IF(F306="Bet",K306,(I306-1)*K306),"")</f>
        <v/>
      </c>
    </row>
    <row r="307">
      <c r="A307" s="44" t="n">
        <v>46284</v>
      </c>
      <c r="B307" s="45" t="inlineStr">
        <is>
          <t>Gold Coast</t>
        </is>
      </c>
      <c r="C307" s="21" t="n">
        <v>4</v>
      </c>
      <c r="D307" s="21" t="n">
        <v>7</v>
      </c>
      <c r="E307" s="20" t="inlineStr">
        <is>
          <t>Dark Arts</t>
        </is>
      </c>
      <c r="F307" s="52" t="inlineStr">
        <is>
          <t>Bet</t>
        </is>
      </c>
      <c r="G307" s="40" t="inlineStr">
        <is>
          <t>Bet</t>
        </is>
      </c>
      <c r="H307" s="48" t="n">
        <v>8.300000000000001</v>
      </c>
      <c r="I307" s="48" t="n">
        <v>10</v>
      </c>
      <c r="J307" s="22" t="n">
        <v>0.0212</v>
      </c>
      <c r="K307" s="49" t="n">
        <v>1</v>
      </c>
      <c r="L307" s="21" t="n">
        <v>5</v>
      </c>
      <c r="M307" s="46" t="inlineStr">
        <is>
          <t>Loss</t>
        </is>
      </c>
      <c r="N307" s="23">
        <f>IF(M307="Win",IF(F307="Bet",(I307-1)*K307,K307),IF(M307="Loss",IF(F307="Bet",-K307,-(I307-1)*K307),IF(M307="Void",0,"")))</f>
        <v/>
      </c>
      <c r="O307" s="24">
        <f>IF(OR(M307="Win",M307="Loss"),IF(F307="Bet",K307,(I307-1)*K307),"")</f>
        <v/>
      </c>
    </row>
    <row r="308">
      <c r="A308" s="37" t="n">
        <v>46284</v>
      </c>
      <c r="B308" s="38" t="inlineStr">
        <is>
          <t>Bowraville</t>
        </is>
      </c>
      <c r="C308" s="15" t="n">
        <v>3</v>
      </c>
      <c r="D308" s="15" t="n">
        <v>2</v>
      </c>
      <c r="E308" s="14" t="inlineStr">
        <is>
          <t>Where's The Fire</t>
        </is>
      </c>
      <c r="F308" s="43" t="inlineStr">
        <is>
          <t>Lay</t>
        </is>
      </c>
      <c r="G308" s="47" t="inlineStr">
        <is>
          <t>Lay</t>
        </is>
      </c>
      <c r="H308" s="41" t="n">
        <v>4.4</v>
      </c>
      <c r="I308" s="41" t="n">
        <v>2.64</v>
      </c>
      <c r="J308" s="16" t="n">
        <v>-0.06900000000000001</v>
      </c>
      <c r="K308" s="42" t="n">
        <v>1</v>
      </c>
      <c r="L308" s="15" t="n">
        <v>1</v>
      </c>
      <c r="M308" s="43" t="inlineStr">
        <is>
          <t>Loss</t>
        </is>
      </c>
      <c r="N308" s="17">
        <f>IF(M308="Win",IF(F308="Bet",(I308-1)*K308,K308),IF(M308="Loss",IF(F308="Bet",-K308,-(I308-1)*K308),IF(M308="Void",0,"")))</f>
        <v/>
      </c>
      <c r="O308" s="18">
        <f>IF(OR(M308="Win",M308="Loss"),IF(F308="Bet",K308,(I308-1)*K308),"")</f>
        <v/>
      </c>
    </row>
    <row r="309">
      <c r="A309" s="44" t="n">
        <v>46284</v>
      </c>
      <c r="B309" s="45" t="inlineStr">
        <is>
          <t>Bowraville</t>
        </is>
      </c>
      <c r="C309" s="21" t="n">
        <v>4</v>
      </c>
      <c r="D309" s="21" t="n">
        <v>4</v>
      </c>
      <c r="E309" s="20" t="inlineStr">
        <is>
          <t>Cannystep</t>
        </is>
      </c>
      <c r="F309" s="46" t="inlineStr">
        <is>
          <t>Lay</t>
        </is>
      </c>
      <c r="G309" s="47" t="inlineStr">
        <is>
          <t>Lay</t>
        </is>
      </c>
      <c r="H309" s="48" t="n">
        <v>8.5</v>
      </c>
      <c r="I309" s="48" t="n">
        <v>5.6</v>
      </c>
      <c r="J309" s="22" t="n">
        <v>-0.0607</v>
      </c>
      <c r="K309" s="49" t="n">
        <v>1</v>
      </c>
      <c r="L309" s="21" t="n">
        <v>5</v>
      </c>
      <c r="M309" s="50" t="inlineStr">
        <is>
          <t>Win</t>
        </is>
      </c>
      <c r="N309" s="23">
        <f>IF(M309="Win",IF(F309="Bet",(I309-1)*K309,K309),IF(M309="Loss",IF(F309="Bet",-K309,-(I309-1)*K309),IF(M309="Void",0,"")))</f>
        <v/>
      </c>
      <c r="O309" s="24">
        <f>IF(OR(M309="Win",M309="Loss"),IF(F309="Bet",K309,(I309-1)*K309),"")</f>
        <v/>
      </c>
    </row>
    <row r="310">
      <c r="A310" s="37" t="n">
        <v>46284</v>
      </c>
      <c r="B310" s="38" t="inlineStr">
        <is>
          <t>Bowraville</t>
        </is>
      </c>
      <c r="C310" s="15" t="n">
        <v>4</v>
      </c>
      <c r="D310" s="15" t="n">
        <v>3</v>
      </c>
      <c r="E310" s="14" t="inlineStr">
        <is>
          <t>Dipierdomenico</t>
        </is>
      </c>
      <c r="F310" s="43" t="inlineStr">
        <is>
          <t>Lay</t>
        </is>
      </c>
      <c r="G310" s="47" t="inlineStr">
        <is>
          <t>Lay</t>
        </is>
      </c>
      <c r="H310" s="41" t="n">
        <v>3.7</v>
      </c>
      <c r="I310" s="41" t="n">
        <v>2.71</v>
      </c>
      <c r="J310" s="16" t="n">
        <v>-0.0769</v>
      </c>
      <c r="K310" s="42" t="n">
        <v>1</v>
      </c>
      <c r="L310" s="15" t="n">
        <v>1</v>
      </c>
      <c r="M310" s="43" t="inlineStr">
        <is>
          <t>Loss</t>
        </is>
      </c>
      <c r="N310" s="17">
        <f>IF(M310="Win",IF(F310="Bet",(I310-1)*K310,K310),IF(M310="Loss",IF(F310="Bet",-K310,-(I310-1)*K310),IF(M310="Void",0,"")))</f>
        <v/>
      </c>
      <c r="O310" s="18">
        <f>IF(OR(M310="Win",M310="Loss"),IF(F310="Bet",K310,(I310-1)*K310),"")</f>
        <v/>
      </c>
    </row>
    <row r="311">
      <c r="A311" s="44" t="n">
        <v>46284</v>
      </c>
      <c r="B311" s="45" t="inlineStr">
        <is>
          <t>Bowraville</t>
        </is>
      </c>
      <c r="C311" s="21" t="n">
        <v>4</v>
      </c>
      <c r="D311" s="21" t="n">
        <v>1</v>
      </c>
      <c r="E311" s="20" t="inlineStr">
        <is>
          <t>Farraige</t>
        </is>
      </c>
      <c r="F311" s="52" t="inlineStr">
        <is>
          <t>Bet</t>
        </is>
      </c>
      <c r="G311" s="40" t="inlineStr">
        <is>
          <t>Bet</t>
        </is>
      </c>
      <c r="H311" s="48" t="n">
        <v>6.9</v>
      </c>
      <c r="I311" s="48" t="n">
        <v>11</v>
      </c>
      <c r="J311" s="22" t="n">
        <v>0.0203</v>
      </c>
      <c r="K311" s="49" t="n">
        <v>1</v>
      </c>
      <c r="L311" s="21" t="n">
        <v>2</v>
      </c>
      <c r="M311" s="46" t="inlineStr">
        <is>
          <t>Loss</t>
        </is>
      </c>
      <c r="N311" s="23">
        <f>IF(M311="Win",IF(F311="Bet",(I311-1)*K311,K311),IF(M311="Loss",IF(F311="Bet",-K311,-(I311-1)*K311),IF(M311="Void",0,"")))</f>
        <v/>
      </c>
      <c r="O311" s="24">
        <f>IF(OR(M311="Win",M311="Loss"),IF(F311="Bet",K311,(I311-1)*K311),"")</f>
        <v/>
      </c>
    </row>
    <row r="312">
      <c r="A312" s="37" t="n">
        <v>46284</v>
      </c>
      <c r="B312" s="38" t="inlineStr">
        <is>
          <t>Mt Magnet</t>
        </is>
      </c>
      <c r="C312" s="15" t="n">
        <v>1</v>
      </c>
      <c r="D312" s="15" t="n">
        <v>6</v>
      </c>
      <c r="E312" s="14" t="inlineStr">
        <is>
          <t>Principal Dealer</t>
        </is>
      </c>
      <c r="F312" s="43" t="inlineStr">
        <is>
          <t>Lay</t>
        </is>
      </c>
      <c r="G312" s="47" t="inlineStr">
        <is>
          <t>Lay</t>
        </is>
      </c>
      <c r="H312" s="41" t="n">
        <v>6.9</v>
      </c>
      <c r="I312" s="41" t="n">
        <v>4.4</v>
      </c>
      <c r="J312" s="16" t="n">
        <v>-0.07340000000000001</v>
      </c>
      <c r="K312" s="42" t="n">
        <v>1</v>
      </c>
      <c r="L312" s="15" t="n"/>
      <c r="M312" s="54" t="inlineStr">
        <is>
          <t>Void</t>
        </is>
      </c>
      <c r="N312" s="17">
        <f>IF(M312="Win",IF(F312="Bet",(I312-1)*K312,K312),IF(M312="Loss",IF(F312="Bet",-K312,-(I312-1)*K312),IF(M312="Void",0,"")))</f>
        <v/>
      </c>
      <c r="O312" s="18">
        <f>IF(OR(M312="Win",M312="Loss"),IF(F312="Bet",K312,(I312-1)*K312),"")</f>
        <v/>
      </c>
    </row>
    <row r="313">
      <c r="A313" s="44" t="n">
        <v>46284</v>
      </c>
      <c r="B313" s="45" t="inlineStr">
        <is>
          <t>Mt Magnet</t>
        </is>
      </c>
      <c r="C313" s="21" t="n">
        <v>1</v>
      </c>
      <c r="D313" s="21" t="n">
        <v>2</v>
      </c>
      <c r="E313" s="20" t="inlineStr">
        <is>
          <t>Ginger Fizz</t>
        </is>
      </c>
      <c r="F313" s="52" t="inlineStr">
        <is>
          <t>Bet</t>
        </is>
      </c>
      <c r="G313" s="40" t="inlineStr">
        <is>
          <t>Bet</t>
        </is>
      </c>
      <c r="H313" s="48" t="n">
        <v>8.800000000000001</v>
      </c>
      <c r="I313" s="48" t="n">
        <v>12</v>
      </c>
      <c r="J313" s="22" t="n">
        <v>0.0232</v>
      </c>
      <c r="K313" s="49" t="n">
        <v>1</v>
      </c>
      <c r="L313" s="21" t="n"/>
      <c r="M313" s="55" t="inlineStr">
        <is>
          <t>Void</t>
        </is>
      </c>
      <c r="N313" s="23">
        <f>IF(M313="Win",IF(F313="Bet",(I313-1)*K313,K313),IF(M313="Loss",IF(F313="Bet",-K313,-(I313-1)*K313),IF(M313="Void",0,"")))</f>
        <v/>
      </c>
      <c r="O313" s="24">
        <f>IF(OR(M313="Win",M313="Loss"),IF(F313="Bet",K313,(I313-1)*K313),"")</f>
        <v/>
      </c>
    </row>
    <row r="314">
      <c r="A314" s="37" t="n">
        <v>46284</v>
      </c>
      <c r="B314" s="38" t="inlineStr">
        <is>
          <t>Randwick</t>
        </is>
      </c>
      <c r="C314" s="15" t="n">
        <v>8</v>
      </c>
      <c r="D314" s="15" t="n">
        <v>2</v>
      </c>
      <c r="E314" s="14" t="inlineStr">
        <is>
          <t>Gringotts</t>
        </is>
      </c>
      <c r="F314" s="39" t="inlineStr">
        <is>
          <t>Bet</t>
        </is>
      </c>
      <c r="G314" s="40" t="inlineStr">
        <is>
          <t>Bet</t>
        </is>
      </c>
      <c r="H314" s="41" t="n">
        <v>10.8</v>
      </c>
      <c r="I314" s="41" t="n">
        <v>14</v>
      </c>
      <c r="J314" s="16" t="n">
        <v>0.0212</v>
      </c>
      <c r="K314" s="42" t="n">
        <v>1</v>
      </c>
      <c r="L314" s="15" t="n">
        <v>5</v>
      </c>
      <c r="M314" s="43" t="inlineStr">
        <is>
          <t>Loss</t>
        </is>
      </c>
      <c r="N314" s="17">
        <f>IF(M314="Win",IF(F314="Bet",(I314-1)*K314,K314),IF(M314="Loss",IF(F314="Bet",-K314,-(I314-1)*K314),IF(M314="Void",0,"")))</f>
        <v/>
      </c>
      <c r="O314" s="18">
        <f>IF(OR(M314="Win",M314="Loss"),IF(F314="Bet",K314,(I314-1)*K314),"")</f>
        <v/>
      </c>
    </row>
    <row r="315">
      <c r="A315" s="44" t="n">
        <v>46284</v>
      </c>
      <c r="B315" s="45" t="inlineStr">
        <is>
          <t>Echuca</t>
        </is>
      </c>
      <c r="C315" s="21" t="n">
        <v>7</v>
      </c>
      <c r="D315" s="21" t="n">
        <v>3</v>
      </c>
      <c r="E315" s="20" t="inlineStr">
        <is>
          <t>Manchego</t>
        </is>
      </c>
      <c r="F315" s="46" t="inlineStr">
        <is>
          <t>Lay</t>
        </is>
      </c>
      <c r="G315" s="47" t="inlineStr">
        <is>
          <t>Lay</t>
        </is>
      </c>
      <c r="H315" s="48" t="n">
        <v>4.6</v>
      </c>
      <c r="I315" s="48" t="n">
        <v>2.46</v>
      </c>
      <c r="J315" s="22" t="n">
        <v>-0.0946</v>
      </c>
      <c r="K315" s="49" t="n">
        <v>1</v>
      </c>
      <c r="L315" s="21" t="n">
        <v>1</v>
      </c>
      <c r="M315" s="46" t="inlineStr">
        <is>
          <t>Loss</t>
        </is>
      </c>
      <c r="N315" s="23">
        <f>IF(M315="Win",IF(F315="Bet",(I315-1)*K315,K315),IF(M315="Loss",IF(F315="Bet",-K315,-(I315-1)*K315),IF(M315="Void",0,"")))</f>
        <v/>
      </c>
      <c r="O315" s="24">
        <f>IF(OR(M315="Win",M315="Loss"),IF(F315="Bet",K315,(I315-1)*K315),"")</f>
        <v/>
      </c>
    </row>
    <row r="316">
      <c r="A316" s="37" t="n">
        <v>46284</v>
      </c>
      <c r="B316" s="38" t="inlineStr">
        <is>
          <t>Belmont</t>
        </is>
      </c>
      <c r="C316" s="15" t="n">
        <v>7</v>
      </c>
      <c r="D316" s="15" t="n">
        <v>11</v>
      </c>
      <c r="E316" s="14" t="inlineStr">
        <is>
          <t>Marcos</t>
        </is>
      </c>
      <c r="F316" s="43" t="inlineStr">
        <is>
          <t>Lay</t>
        </is>
      </c>
      <c r="G316" s="47" t="inlineStr">
        <is>
          <t>Lay</t>
        </is>
      </c>
      <c r="H316" s="41" t="n">
        <v>6.4</v>
      </c>
      <c r="I316" s="41" t="n">
        <v>3.95</v>
      </c>
      <c r="J316" s="16" t="n">
        <v>-0.0621</v>
      </c>
      <c r="K316" s="42" t="n">
        <v>1</v>
      </c>
      <c r="L316" s="15" t="n">
        <v>1</v>
      </c>
      <c r="M316" s="43" t="inlineStr">
        <is>
          <t>Loss</t>
        </is>
      </c>
      <c r="N316" s="17">
        <f>IF(M316="Win",IF(F316="Bet",(I316-1)*K316,K316),IF(M316="Loss",IF(F316="Bet",-K316,-(I316-1)*K316),IF(M316="Void",0,"")))</f>
        <v/>
      </c>
      <c r="O316" s="18">
        <f>IF(OR(M316="Win",M316="Loss"),IF(F316="Bet",K316,(I316-1)*K316),"")</f>
        <v/>
      </c>
    </row>
    <row r="317">
      <c r="A317" s="44" t="n">
        <v>46284</v>
      </c>
      <c r="B317" s="45" t="inlineStr">
        <is>
          <t>Eagle Farm</t>
        </is>
      </c>
      <c r="C317" s="21" t="n">
        <v>7</v>
      </c>
      <c r="D317" s="21" t="n">
        <v>18</v>
      </c>
      <c r="E317" s="20" t="inlineStr">
        <is>
          <t>Mana Combat</t>
        </is>
      </c>
      <c r="F317" s="46" t="inlineStr">
        <is>
          <t>Lay</t>
        </is>
      </c>
      <c r="G317" s="47" t="inlineStr">
        <is>
          <t>Lay</t>
        </is>
      </c>
      <c r="H317" s="48" t="n">
        <v>8.5</v>
      </c>
      <c r="I317" s="48" t="n">
        <v>5.13</v>
      </c>
      <c r="J317" s="22" t="n">
        <v>-0.0612</v>
      </c>
      <c r="K317" s="49" t="n">
        <v>1</v>
      </c>
      <c r="L317" s="21" t="n">
        <v>3</v>
      </c>
      <c r="M317" s="50" t="inlineStr">
        <is>
          <t>Win</t>
        </is>
      </c>
      <c r="N317" s="23">
        <f>IF(M317="Win",IF(F317="Bet",(I317-1)*K317,K317),IF(M317="Loss",IF(F317="Bet",-K317,-(I317-1)*K317),IF(M317="Void",0,"")))</f>
        <v/>
      </c>
      <c r="O317" s="24">
        <f>IF(OR(M317="Win",M317="Loss"),IF(F317="Bet",K317,(I317-1)*K317),"")</f>
        <v/>
      </c>
    </row>
    <row r="318">
      <c r="A318" s="37" t="n">
        <v>46284</v>
      </c>
      <c r="B318" s="38" t="inlineStr">
        <is>
          <t>Caulfield</t>
        </is>
      </c>
      <c r="C318" s="15" t="n">
        <v>9</v>
      </c>
      <c r="D318" s="15" t="n">
        <v>6</v>
      </c>
      <c r="E318" s="14" t="inlineStr">
        <is>
          <t>Lady Shenandoah</t>
        </is>
      </c>
      <c r="F318" s="43" t="inlineStr">
        <is>
          <t>Lay</t>
        </is>
      </c>
      <c r="G318" s="47" t="inlineStr">
        <is>
          <t>Lay</t>
        </is>
      </c>
      <c r="H318" s="41" t="n">
        <v>6</v>
      </c>
      <c r="I318" s="41" t="n">
        <v>4.2</v>
      </c>
      <c r="J318" s="16" t="n">
        <v>-0.0721</v>
      </c>
      <c r="K318" s="42" t="n">
        <v>1</v>
      </c>
      <c r="L318" s="15" t="n">
        <v>4</v>
      </c>
      <c r="M318" s="51" t="inlineStr">
        <is>
          <t>Win</t>
        </is>
      </c>
      <c r="N318" s="17">
        <f>IF(M318="Win",IF(F318="Bet",(I318-1)*K318,K318),IF(M318="Loss",IF(F318="Bet",-K318,-(I318-1)*K318),IF(M318="Void",0,"")))</f>
        <v/>
      </c>
      <c r="O318" s="18">
        <f>IF(OR(M318="Win",M318="Loss"),IF(F318="Bet",K318,(I318-1)*K318),"")</f>
        <v/>
      </c>
    </row>
    <row r="319">
      <c r="A319" s="44" t="n">
        <v>46284</v>
      </c>
      <c r="B319" s="45" t="inlineStr">
        <is>
          <t>Belmont</t>
        </is>
      </c>
      <c r="C319" s="21" t="n">
        <v>3</v>
      </c>
      <c r="D319" s="21" t="n">
        <v>3</v>
      </c>
      <c r="E319" s="20" t="inlineStr">
        <is>
          <t>Platinum Shot</t>
        </is>
      </c>
      <c r="F319" s="52" t="inlineStr">
        <is>
          <t>Bet</t>
        </is>
      </c>
      <c r="G319" s="40" t="inlineStr">
        <is>
          <t>Bet</t>
        </is>
      </c>
      <c r="H319" s="48" t="n">
        <v>11.4</v>
      </c>
      <c r="I319" s="48" t="n">
        <v>30.46</v>
      </c>
      <c r="J319" s="22" t="n">
        <v>0.0211</v>
      </c>
      <c r="K319" s="49" t="n">
        <v>1</v>
      </c>
      <c r="L319" s="21" t="n">
        <v>4</v>
      </c>
      <c r="M319" s="46" t="inlineStr">
        <is>
          <t>Loss</t>
        </is>
      </c>
      <c r="N319" s="23">
        <f>IF(M319="Win",IF(F319="Bet",(I319-1)*K319,K319),IF(M319="Loss",IF(F319="Bet",-K319,-(I319-1)*K319),IF(M319="Void",0,"")))</f>
        <v/>
      </c>
      <c r="O319" s="24">
        <f>IF(OR(M319="Win",M319="Loss"),IF(F319="Bet",K319,(I319-1)*K319),"")</f>
        <v/>
      </c>
    </row>
    <row r="320">
      <c r="A320" s="37" t="n">
        <v>46284</v>
      </c>
      <c r="B320" s="38" t="inlineStr">
        <is>
          <t>Caulfield</t>
        </is>
      </c>
      <c r="C320" s="15" t="n">
        <v>10</v>
      </c>
      <c r="D320" s="15" t="n">
        <v>19</v>
      </c>
      <c r="E320" s="14" t="inlineStr">
        <is>
          <t>Savoyard</t>
        </is>
      </c>
      <c r="F320" s="43" t="inlineStr">
        <is>
          <t>Lay</t>
        </is>
      </c>
      <c r="G320" s="47" t="inlineStr">
        <is>
          <t>Lay</t>
        </is>
      </c>
      <c r="H320" s="41" t="n">
        <v>5.3</v>
      </c>
      <c r="I320" s="41" t="n">
        <v>4</v>
      </c>
      <c r="J320" s="16" t="n">
        <v>-0.0622</v>
      </c>
      <c r="K320" s="42" t="n">
        <v>1</v>
      </c>
      <c r="L320" s="15" t="n">
        <v>4</v>
      </c>
      <c r="M320" s="51" t="inlineStr">
        <is>
          <t>Win</t>
        </is>
      </c>
      <c r="N320" s="17">
        <f>IF(M320="Win",IF(F320="Bet",(I320-1)*K320,K320),IF(M320="Loss",IF(F320="Bet",-K320,-(I320-1)*K320),IF(M320="Void",0,"")))</f>
        <v/>
      </c>
      <c r="O320" s="18">
        <f>IF(OR(M320="Win",M320="Loss"),IF(F320="Bet",K320,(I320-1)*K320),"")</f>
        <v/>
      </c>
    </row>
    <row r="321">
      <c r="A321" s="44" t="n">
        <v>46284</v>
      </c>
      <c r="B321" s="45" t="inlineStr">
        <is>
          <t>Belmont</t>
        </is>
      </c>
      <c r="C321" s="21" t="n">
        <v>3</v>
      </c>
      <c r="D321" s="21" t="n">
        <v>8</v>
      </c>
      <c r="E321" s="20" t="inlineStr">
        <is>
          <t>Country God</t>
        </is>
      </c>
      <c r="F321" s="52" t="inlineStr">
        <is>
          <t>Bet</t>
        </is>
      </c>
      <c r="G321" s="40" t="inlineStr">
        <is>
          <t>Bet</t>
        </is>
      </c>
      <c r="H321" s="48" t="n">
        <v>4.9</v>
      </c>
      <c r="I321" s="48" t="n">
        <v>6.53</v>
      </c>
      <c r="J321" s="22" t="n">
        <v>0.0212</v>
      </c>
      <c r="K321" s="49" t="n">
        <v>1</v>
      </c>
      <c r="L321" s="21" t="n">
        <v>2</v>
      </c>
      <c r="M321" s="46" t="inlineStr">
        <is>
          <t>Loss</t>
        </is>
      </c>
      <c r="N321" s="23">
        <f>IF(M321="Win",IF(F321="Bet",(I321-1)*K321,K321),IF(M321="Loss",IF(F321="Bet",-K321,-(I321-1)*K321),IF(M321="Void",0,"")))</f>
        <v/>
      </c>
      <c r="O321" s="24">
        <f>IF(OR(M321="Win",M321="Loss"),IF(F321="Bet",K321,(I321-1)*K321),"")</f>
        <v/>
      </c>
    </row>
    <row r="322">
      <c r="A322" s="37" t="n">
        <v>46284</v>
      </c>
      <c r="B322" s="38" t="inlineStr">
        <is>
          <t>Belmont</t>
        </is>
      </c>
      <c r="C322" s="15" t="n">
        <v>4</v>
      </c>
      <c r="D322" s="15" t="n">
        <v>8</v>
      </c>
      <c r="E322" s="14" t="inlineStr">
        <is>
          <t>Searchin' Times</t>
        </is>
      </c>
      <c r="F322" s="43" t="inlineStr">
        <is>
          <t>Lay</t>
        </is>
      </c>
      <c r="G322" s="47" t="inlineStr">
        <is>
          <t>Lay</t>
        </is>
      </c>
      <c r="H322" s="41" t="n">
        <v>8.5</v>
      </c>
      <c r="I322" s="41" t="n">
        <v>5.1</v>
      </c>
      <c r="J322" s="16" t="n">
        <v>-0.0645</v>
      </c>
      <c r="K322" s="42" t="n">
        <v>1</v>
      </c>
      <c r="L322" s="15" t="n">
        <v>6</v>
      </c>
      <c r="M322" s="51" t="inlineStr">
        <is>
          <t>Win</t>
        </is>
      </c>
      <c r="N322" s="17">
        <f>IF(M322="Win",IF(F322="Bet",(I322-1)*K322,K322),IF(M322="Loss",IF(F322="Bet",-K322,-(I322-1)*K322),IF(M322="Void",0,"")))</f>
        <v/>
      </c>
      <c r="O322" s="18">
        <f>IF(OR(M322="Win",M322="Loss"),IF(F322="Bet",K322,(I322-1)*K322),"")</f>
        <v/>
      </c>
    </row>
    <row r="323">
      <c r="A323" s="44" t="n">
        <v>46284</v>
      </c>
      <c r="B323" s="45" t="inlineStr">
        <is>
          <t>Gold Coast</t>
        </is>
      </c>
      <c r="C323" s="21" t="n">
        <v>9</v>
      </c>
      <c r="D323" s="21" t="n">
        <v>2</v>
      </c>
      <c r="E323" s="20" t="inlineStr">
        <is>
          <t>Pocketmoney</t>
        </is>
      </c>
      <c r="F323" s="52" t="inlineStr">
        <is>
          <t>Bet</t>
        </is>
      </c>
      <c r="G323" s="40" t="inlineStr">
        <is>
          <t>Bet</t>
        </is>
      </c>
      <c r="H323" s="48" t="n">
        <v>8.9</v>
      </c>
      <c r="I323" s="48" t="n">
        <v>11</v>
      </c>
      <c r="J323" s="22" t="n">
        <v>0.0215</v>
      </c>
      <c r="K323" s="49" t="n">
        <v>1</v>
      </c>
      <c r="L323" s="21" t="n">
        <v>5</v>
      </c>
      <c r="M323" s="46" t="inlineStr">
        <is>
          <t>Loss</t>
        </is>
      </c>
      <c r="N323" s="23">
        <f>IF(M323="Win",IF(F323="Bet",(I323-1)*K323,K323),IF(M323="Loss",IF(F323="Bet",-K323,-(I323-1)*K323),IF(M323="Void",0,"")))</f>
        <v/>
      </c>
      <c r="O323" s="24">
        <f>IF(OR(M323="Win",M323="Loss"),IF(F323="Bet",K323,(I323-1)*K323),"")</f>
        <v/>
      </c>
    </row>
    <row r="324">
      <c r="A324" s="37" t="n">
        <v>46284</v>
      </c>
      <c r="B324" s="38" t="inlineStr">
        <is>
          <t>Darwin</t>
        </is>
      </c>
      <c r="C324" s="15" t="n">
        <v>4</v>
      </c>
      <c r="D324" s="15" t="n">
        <v>1</v>
      </c>
      <c r="E324" s="14" t="inlineStr">
        <is>
          <t>Meet Me At The Bar</t>
        </is>
      </c>
      <c r="F324" s="43" t="inlineStr">
        <is>
          <t>Lay</t>
        </is>
      </c>
      <c r="G324" s="47" t="inlineStr">
        <is>
          <t>Lay</t>
        </is>
      </c>
      <c r="H324" s="41" t="n">
        <v>4.4</v>
      </c>
      <c r="I324" s="41" t="n">
        <v>3.45</v>
      </c>
      <c r="J324" s="16" t="n">
        <v>-0.064</v>
      </c>
      <c r="K324" s="42" t="n">
        <v>1</v>
      </c>
      <c r="L324" s="15" t="n">
        <v>5</v>
      </c>
      <c r="M324" s="51" t="inlineStr">
        <is>
          <t>Win</t>
        </is>
      </c>
      <c r="N324" s="17">
        <f>IF(M324="Win",IF(F324="Bet",(I324-1)*K324,K324),IF(M324="Loss",IF(F324="Bet",-K324,-(I324-1)*K324),IF(M324="Void",0,"")))</f>
        <v/>
      </c>
      <c r="O324" s="18">
        <f>IF(OR(M324="Win",M324="Loss"),IF(F324="Bet",K324,(I324-1)*K324),"")</f>
        <v/>
      </c>
    </row>
    <row r="325">
      <c r="A325" s="44" t="n">
        <v>46284</v>
      </c>
      <c r="B325" s="45" t="inlineStr">
        <is>
          <t>Morphettville Parks</t>
        </is>
      </c>
      <c r="C325" s="21" t="n">
        <v>9</v>
      </c>
      <c r="D325" s="21" t="n">
        <v>1</v>
      </c>
      <c r="E325" s="20" t="inlineStr">
        <is>
          <t>Scandalize</t>
        </is>
      </c>
      <c r="F325" s="52" t="inlineStr">
        <is>
          <t>Bet</t>
        </is>
      </c>
      <c r="G325" s="40" t="inlineStr">
        <is>
          <t>Bet</t>
        </is>
      </c>
      <c r="H325" s="48" t="n">
        <v>12.1</v>
      </c>
      <c r="I325" s="48" t="n">
        <v>21</v>
      </c>
      <c r="J325" s="22" t="n">
        <v>0.0201</v>
      </c>
      <c r="K325" s="49" t="n">
        <v>1</v>
      </c>
      <c r="L325" s="21" t="n">
        <v>8</v>
      </c>
      <c r="M325" s="46" t="inlineStr">
        <is>
          <t>Loss</t>
        </is>
      </c>
      <c r="N325" s="23">
        <f>IF(M325="Win",IF(F325="Bet",(I325-1)*K325,K325),IF(M325="Loss",IF(F325="Bet",-K325,-(I325-1)*K325),IF(M325="Void",0,"")))</f>
        <v/>
      </c>
      <c r="O325" s="24">
        <f>IF(OR(M325="Win",M325="Loss"),IF(F325="Bet",K325,(I325-1)*K325),"")</f>
        <v/>
      </c>
    </row>
    <row r="326">
      <c r="A326" s="37" t="n">
        <v>46284</v>
      </c>
      <c r="B326" s="38" t="inlineStr">
        <is>
          <t>Belmont</t>
        </is>
      </c>
      <c r="C326" s="15" t="n">
        <v>7</v>
      </c>
      <c r="D326" s="15" t="n">
        <v>4</v>
      </c>
      <c r="E326" s="14" t="inlineStr">
        <is>
          <t>Diamond Dancer</t>
        </is>
      </c>
      <c r="F326" s="39" t="inlineStr">
        <is>
          <t>Bet</t>
        </is>
      </c>
      <c r="G326" s="40" t="inlineStr">
        <is>
          <t>Bet</t>
        </is>
      </c>
      <c r="H326" s="41" t="n">
        <v>11.5</v>
      </c>
      <c r="I326" s="41" t="n">
        <v>15</v>
      </c>
      <c r="J326" s="16" t="n">
        <v>0.0202</v>
      </c>
      <c r="K326" s="42" t="n">
        <v>1</v>
      </c>
      <c r="L326" s="15" t="n">
        <v>7</v>
      </c>
      <c r="M326" s="43" t="inlineStr">
        <is>
          <t>Loss</t>
        </is>
      </c>
      <c r="N326" s="17">
        <f>IF(M326="Win",IF(F326="Bet",(I326-1)*K326,K326),IF(M326="Loss",IF(F326="Bet",-K326,-(I326-1)*K326),IF(M326="Void",0,"")))</f>
        <v/>
      </c>
      <c r="O326" s="18">
        <f>IF(OR(M326="Win",M326="Loss"),IF(F326="Bet",K326,(I326-1)*K326),"")</f>
        <v/>
      </c>
    </row>
    <row r="327">
      <c r="A327" s="44" t="n">
        <v>46284</v>
      </c>
      <c r="B327" s="45" t="inlineStr">
        <is>
          <t>Belmont</t>
        </is>
      </c>
      <c r="C327" s="21" t="n">
        <v>8</v>
      </c>
      <c r="D327" s="21" t="n">
        <v>4</v>
      </c>
      <c r="E327" s="20" t="inlineStr">
        <is>
          <t>Double The Fun</t>
        </is>
      </c>
      <c r="F327" s="46" t="inlineStr">
        <is>
          <t>Lay</t>
        </is>
      </c>
      <c r="G327" s="47" t="inlineStr">
        <is>
          <t>Lay</t>
        </is>
      </c>
      <c r="H327" s="48" t="n">
        <v>5.3</v>
      </c>
      <c r="I327" s="48" t="n">
        <v>4</v>
      </c>
      <c r="J327" s="22" t="n">
        <v>-0.06279999999999999</v>
      </c>
      <c r="K327" s="49" t="n">
        <v>1</v>
      </c>
      <c r="L327" s="21" t="n">
        <v>8</v>
      </c>
      <c r="M327" s="50" t="inlineStr">
        <is>
          <t>Win</t>
        </is>
      </c>
      <c r="N327" s="23">
        <f>IF(M327="Win",IF(F327="Bet",(I327-1)*K327,K327),IF(M327="Loss",IF(F327="Bet",-K327,-(I327-1)*K327),IF(M327="Void",0,"")))</f>
        <v/>
      </c>
      <c r="O327" s="24">
        <f>IF(OR(M327="Win",M327="Loss"),IF(F327="Bet",K327,(I327-1)*K327),"")</f>
        <v/>
      </c>
    </row>
    <row r="328">
      <c r="A328" s="37" t="n">
        <v>46285</v>
      </c>
      <c r="B328" s="38" t="inlineStr">
        <is>
          <t>Armidale</t>
        </is>
      </c>
      <c r="C328" s="15" t="n">
        <v>3</v>
      </c>
      <c r="D328" s="15" t="n">
        <v>7</v>
      </c>
      <c r="E328" s="14" t="inlineStr">
        <is>
          <t>Aurora Effect</t>
        </is>
      </c>
      <c r="F328" s="43" t="inlineStr">
        <is>
          <t>Lay</t>
        </is>
      </c>
      <c r="G328" s="47" t="inlineStr">
        <is>
          <t>Lay</t>
        </is>
      </c>
      <c r="H328" s="41" t="n">
        <v>3.7</v>
      </c>
      <c r="I328" s="41" t="n">
        <v>2.76</v>
      </c>
      <c r="J328" s="16" t="n">
        <v>-0.0858</v>
      </c>
      <c r="K328" s="42" t="n">
        <v>1</v>
      </c>
      <c r="L328" s="15" t="n">
        <v>5</v>
      </c>
      <c r="M328" s="51" t="inlineStr">
        <is>
          <t>Win</t>
        </is>
      </c>
      <c r="N328" s="17">
        <f>IF(M328="Win",IF(F328="Bet",(I328-1)*K328,K328),IF(M328="Loss",IF(F328="Bet",-K328,-(I328-1)*K328),IF(M328="Void",0,"")))</f>
        <v/>
      </c>
      <c r="O328" s="18">
        <f>IF(OR(M328="Win",M328="Loss"),IF(F328="Bet",K328,(I328-1)*K328),"")</f>
        <v/>
      </c>
    </row>
    <row r="329">
      <c r="A329" s="44" t="n">
        <v>46285</v>
      </c>
      <c r="B329" s="45" t="inlineStr">
        <is>
          <t>Armidale</t>
        </is>
      </c>
      <c r="C329" s="21" t="n">
        <v>4</v>
      </c>
      <c r="D329" s="21" t="n">
        <v>9</v>
      </c>
      <c r="E329" s="20" t="inlineStr">
        <is>
          <t>Gyra</t>
        </is>
      </c>
      <c r="F329" s="52" t="inlineStr">
        <is>
          <t>Bet</t>
        </is>
      </c>
      <c r="G329" s="40" t="inlineStr">
        <is>
          <t>Bet</t>
        </is>
      </c>
      <c r="H329" s="48" t="n">
        <v>6.7</v>
      </c>
      <c r="I329" s="48" t="n">
        <v>26</v>
      </c>
      <c r="J329" s="22" t="n">
        <v>0.09669999999999999</v>
      </c>
      <c r="K329" s="49" t="n">
        <v>1</v>
      </c>
      <c r="L329" s="21" t="n">
        <v>7</v>
      </c>
      <c r="M329" s="46" t="inlineStr">
        <is>
          <t>Loss</t>
        </is>
      </c>
      <c r="N329" s="23">
        <f>IF(M329="Win",IF(F329="Bet",(I329-1)*K329,K329),IF(M329="Loss",IF(F329="Bet",-K329,-(I329-1)*K329),IF(M329="Void",0,"")))</f>
        <v/>
      </c>
      <c r="O329" s="24">
        <f>IF(OR(M329="Win",M329="Loss"),IF(F329="Bet",K329,(I329-1)*K329),"")</f>
        <v/>
      </c>
    </row>
    <row r="330">
      <c r="A330" s="37" t="n">
        <v>46285</v>
      </c>
      <c r="B330" s="38" t="inlineStr">
        <is>
          <t>Armidale</t>
        </is>
      </c>
      <c r="C330" s="15" t="n">
        <v>4</v>
      </c>
      <c r="D330" s="15" t="n">
        <v>11</v>
      </c>
      <c r="E330" s="14" t="inlineStr">
        <is>
          <t>Ruairi</t>
        </is>
      </c>
      <c r="F330" s="43" t="inlineStr">
        <is>
          <t>Lay</t>
        </is>
      </c>
      <c r="G330" s="47" t="inlineStr">
        <is>
          <t>Lay</t>
        </is>
      </c>
      <c r="H330" s="41" t="n">
        <v>14.7</v>
      </c>
      <c r="I330" s="41" t="n">
        <v>5.4</v>
      </c>
      <c r="J330" s="16" t="n">
        <v>-0.07099999999999999</v>
      </c>
      <c r="K330" s="42" t="n">
        <v>1</v>
      </c>
      <c r="L330" s="15" t="n">
        <v>8</v>
      </c>
      <c r="M330" s="51" t="inlineStr">
        <is>
          <t>Win</t>
        </is>
      </c>
      <c r="N330" s="17">
        <f>IF(M330="Win",IF(F330="Bet",(I330-1)*K330,K330),IF(M330="Loss",IF(F330="Bet",-K330,-(I330-1)*K330),IF(M330="Void",0,"")))</f>
        <v/>
      </c>
      <c r="O330" s="18">
        <f>IF(OR(M330="Win",M330="Loss"),IF(F330="Bet",K330,(I330-1)*K330),"")</f>
        <v/>
      </c>
    </row>
    <row r="331">
      <c r="A331" s="44" t="n">
        <v>46285</v>
      </c>
      <c r="B331" s="45" t="inlineStr">
        <is>
          <t>Armidale</t>
        </is>
      </c>
      <c r="C331" s="21" t="n">
        <v>3</v>
      </c>
      <c r="D331" s="21" t="n">
        <v>6</v>
      </c>
      <c r="E331" s="20" t="inlineStr">
        <is>
          <t>Slugworth</t>
        </is>
      </c>
      <c r="F331" s="52" t="inlineStr">
        <is>
          <t>Bet</t>
        </is>
      </c>
      <c r="G331" s="53" t="inlineStr">
        <is>
          <t>Prime</t>
        </is>
      </c>
      <c r="H331" s="48" t="n">
        <v>4.9</v>
      </c>
      <c r="I331" s="48" t="n">
        <v>11</v>
      </c>
      <c r="J331" s="22" t="n">
        <v>0.0503</v>
      </c>
      <c r="K331" s="49" t="n">
        <v>1</v>
      </c>
      <c r="L331" s="21" t="n">
        <v>10</v>
      </c>
      <c r="M331" s="46" t="inlineStr">
        <is>
          <t>Loss</t>
        </is>
      </c>
      <c r="N331" s="23">
        <f>IF(M331="Win",IF(F331="Bet",(I331-1)*K331,K331),IF(M331="Loss",IF(F331="Bet",-K331,-(I331-1)*K331),IF(M331="Void",0,"")))</f>
        <v/>
      </c>
      <c r="O331" s="24">
        <f>IF(OR(M331="Win",M331="Loss"),IF(F331="Bet",K331,(I331-1)*K331),"")</f>
        <v/>
      </c>
    </row>
    <row r="332">
      <c r="A332" s="37" t="n">
        <v>46285</v>
      </c>
      <c r="B332" s="38" t="inlineStr">
        <is>
          <t>Bendigo</t>
        </is>
      </c>
      <c r="C332" s="15" t="n">
        <v>6</v>
      </c>
      <c r="D332" s="15" t="n">
        <v>7</v>
      </c>
      <c r="E332" s="14" t="inlineStr">
        <is>
          <t>Hydrothermal</t>
        </is>
      </c>
      <c r="F332" s="43" t="inlineStr">
        <is>
          <t>Lay</t>
        </is>
      </c>
      <c r="G332" s="47" t="inlineStr">
        <is>
          <t>Lay</t>
        </is>
      </c>
      <c r="H332" s="41" t="n">
        <v>40</v>
      </c>
      <c r="I332" s="41" t="n">
        <v>5.7</v>
      </c>
      <c r="J332" s="16" t="n">
        <v>-0.1505</v>
      </c>
      <c r="K332" s="42" t="n">
        <v>1</v>
      </c>
      <c r="L332" s="15" t="n">
        <v>3</v>
      </c>
      <c r="M332" s="51" t="inlineStr">
        <is>
          <t>Win</t>
        </is>
      </c>
      <c r="N332" s="17">
        <f>IF(M332="Win",IF(F332="Bet",(I332-1)*K332,K332),IF(M332="Loss",IF(F332="Bet",-K332,-(I332-1)*K332),IF(M332="Void",0,"")))</f>
        <v/>
      </c>
      <c r="O332" s="18">
        <f>IF(OR(M332="Win",M332="Loss"),IF(F332="Bet",K332,(I332-1)*K332),"")</f>
        <v/>
      </c>
    </row>
    <row r="333">
      <c r="A333" s="44" t="n">
        <v>46285</v>
      </c>
      <c r="B333" s="45" t="inlineStr">
        <is>
          <t>Kalgoorlie</t>
        </is>
      </c>
      <c r="C333" s="21" t="n">
        <v>6</v>
      </c>
      <c r="D333" s="21" t="n">
        <v>2</v>
      </c>
      <c r="E333" s="20" t="inlineStr">
        <is>
          <t>Opportunistic</t>
        </is>
      </c>
      <c r="F333" s="46" t="inlineStr">
        <is>
          <t>Lay</t>
        </is>
      </c>
      <c r="G333" s="47" t="inlineStr">
        <is>
          <t>Lay</t>
        </is>
      </c>
      <c r="H333" s="48" t="n">
        <v>2.35</v>
      </c>
      <c r="I333" s="48" t="n">
        <v>2</v>
      </c>
      <c r="J333" s="22" t="n">
        <v>-0.0645</v>
      </c>
      <c r="K333" s="49" t="n">
        <v>1</v>
      </c>
      <c r="L333" s="21" t="n">
        <v>2</v>
      </c>
      <c r="M333" s="50" t="inlineStr">
        <is>
          <t>Win</t>
        </is>
      </c>
      <c r="N333" s="23">
        <f>IF(M333="Win",IF(F333="Bet",(I333-1)*K333,K333),IF(M333="Loss",IF(F333="Bet",-K333,-(I333-1)*K333),IF(M333="Void",0,"")))</f>
        <v/>
      </c>
      <c r="O333" s="24">
        <f>IF(OR(M333="Win",M333="Loss"),IF(F333="Bet",K333,(I333-1)*K333),"")</f>
        <v/>
      </c>
    </row>
    <row r="334">
      <c r="A334" s="37" t="n">
        <v>46285</v>
      </c>
      <c r="B334" s="38" t="inlineStr">
        <is>
          <t>Bendigo</t>
        </is>
      </c>
      <c r="C334" s="15" t="n">
        <v>8</v>
      </c>
      <c r="D334" s="15" t="n">
        <v>9</v>
      </c>
      <c r="E334" s="14" t="inlineStr">
        <is>
          <t>Terrortorian</t>
        </is>
      </c>
      <c r="F334" s="43" t="inlineStr">
        <is>
          <t>Lay</t>
        </is>
      </c>
      <c r="G334" s="47" t="inlineStr">
        <is>
          <t>Lay</t>
        </is>
      </c>
      <c r="H334" s="41" t="n">
        <v>5.4</v>
      </c>
      <c r="I334" s="41" t="n">
        <v>2.88</v>
      </c>
      <c r="J334" s="16" t="n">
        <v>-0.07770000000000001</v>
      </c>
      <c r="K334" s="42" t="n">
        <v>1</v>
      </c>
      <c r="L334" s="15" t="n">
        <v>2</v>
      </c>
      <c r="M334" s="51" t="inlineStr">
        <is>
          <t>Win</t>
        </is>
      </c>
      <c r="N334" s="17">
        <f>IF(M334="Win",IF(F334="Bet",(I334-1)*K334,K334),IF(M334="Loss",IF(F334="Bet",-K334,-(I334-1)*K334),IF(M334="Void",0,"")))</f>
        <v/>
      </c>
      <c r="O334" s="18">
        <f>IF(OR(M334="Win",M334="Loss"),IF(F334="Bet",K334,(I334-1)*K334),"")</f>
        <v/>
      </c>
    </row>
    <row r="335">
      <c r="A335" s="44" t="n">
        <v>46285</v>
      </c>
      <c r="B335" s="45" t="inlineStr">
        <is>
          <t>Nowra</t>
        </is>
      </c>
      <c r="C335" s="21" t="n">
        <v>2</v>
      </c>
      <c r="D335" s="21" t="n">
        <v>1</v>
      </c>
      <c r="E335" s="20" t="inlineStr">
        <is>
          <t>Defiance</t>
        </is>
      </c>
      <c r="F335" s="46" t="inlineStr">
        <is>
          <t>Lay</t>
        </is>
      </c>
      <c r="G335" s="47" t="inlineStr">
        <is>
          <t>Lay</t>
        </is>
      </c>
      <c r="H335" s="48" t="n">
        <v>2.3</v>
      </c>
      <c r="I335" s="48" t="n">
        <v>1.36</v>
      </c>
      <c r="J335" s="22" t="n">
        <v>-0.0771</v>
      </c>
      <c r="K335" s="49" t="n">
        <v>1</v>
      </c>
      <c r="L335" s="21" t="n">
        <v>1</v>
      </c>
      <c r="M335" s="46" t="inlineStr">
        <is>
          <t>Loss</t>
        </is>
      </c>
      <c r="N335" s="23">
        <f>IF(M335="Win",IF(F335="Bet",(I335-1)*K335,K335),IF(M335="Loss",IF(F335="Bet",-K335,-(I335-1)*K335),IF(M335="Void",0,"")))</f>
        <v/>
      </c>
      <c r="O335" s="24">
        <f>IF(OR(M335="Win",M335="Loss"),IF(F335="Bet",K335,(I335-1)*K335),"")</f>
        <v/>
      </c>
    </row>
    <row r="336">
      <c r="A336" s="37" t="n">
        <v>46285</v>
      </c>
      <c r="B336" s="38" t="inlineStr">
        <is>
          <t>Nowra</t>
        </is>
      </c>
      <c r="C336" s="15" t="n">
        <v>7</v>
      </c>
      <c r="D336" s="15" t="n">
        <v>11</v>
      </c>
      <c r="E336" s="14" t="inlineStr">
        <is>
          <t>Lady Capitalist</t>
        </is>
      </c>
      <c r="F336" s="43" t="inlineStr">
        <is>
          <t>Lay</t>
        </is>
      </c>
      <c r="G336" s="47" t="inlineStr">
        <is>
          <t>Lay</t>
        </is>
      </c>
      <c r="H336" s="41" t="n">
        <v>5.3</v>
      </c>
      <c r="I336" s="41" t="n">
        <v>3.45</v>
      </c>
      <c r="J336" s="16" t="n">
        <v>-0.0623</v>
      </c>
      <c r="K336" s="42" t="n">
        <v>1</v>
      </c>
      <c r="L336" s="15" t="n">
        <v>5</v>
      </c>
      <c r="M336" s="51" t="inlineStr">
        <is>
          <t>Win</t>
        </is>
      </c>
      <c r="N336" s="17">
        <f>IF(M336="Win",IF(F336="Bet",(I336-1)*K336,K336),IF(M336="Loss",IF(F336="Bet",-K336,-(I336-1)*K336),IF(M336="Void",0,"")))</f>
        <v/>
      </c>
      <c r="O336" s="18">
        <f>IF(OR(M336="Win",M336="Loss"),IF(F336="Bet",K336,(I336-1)*K336),"")</f>
        <v/>
      </c>
    </row>
    <row r="337">
      <c r="A337" s="44" t="n">
        <v>46285</v>
      </c>
      <c r="B337" s="45" t="inlineStr">
        <is>
          <t>Bendigo</t>
        </is>
      </c>
      <c r="C337" s="21" t="n">
        <v>5</v>
      </c>
      <c r="D337" s="21" t="n">
        <v>5</v>
      </c>
      <c r="E337" s="20" t="inlineStr">
        <is>
          <t>Earth's Abundance</t>
        </is>
      </c>
      <c r="F337" s="46" t="inlineStr">
        <is>
          <t>Lay</t>
        </is>
      </c>
      <c r="G337" s="47" t="inlineStr">
        <is>
          <t>Lay</t>
        </is>
      </c>
      <c r="H337" s="48" t="n">
        <v>4.1</v>
      </c>
      <c r="I337" s="48" t="n">
        <v>3.15</v>
      </c>
      <c r="J337" s="22" t="n">
        <v>-0.07149999999999999</v>
      </c>
      <c r="K337" s="49" t="n">
        <v>1</v>
      </c>
      <c r="L337" s="21" t="n"/>
      <c r="M337" s="55" t="inlineStr">
        <is>
          <t>Void</t>
        </is>
      </c>
      <c r="N337" s="23">
        <f>IF(M337="Win",IF(F337="Bet",(I337-1)*K337,K337),IF(M337="Loss",IF(F337="Bet",-K337,-(I337-1)*K337),IF(M337="Void",0,"")))</f>
        <v/>
      </c>
      <c r="O337" s="24">
        <f>IF(OR(M337="Win",M337="Loss"),IF(F337="Bet",K337,(I337-1)*K337),"")</f>
        <v/>
      </c>
    </row>
    <row r="338">
      <c r="A338" s="37" t="n">
        <v>46285</v>
      </c>
      <c r="B338" s="38" t="inlineStr">
        <is>
          <t>Bendigo</t>
        </is>
      </c>
      <c r="C338" s="15" t="n">
        <v>6</v>
      </c>
      <c r="D338" s="15" t="n">
        <v>9</v>
      </c>
      <c r="E338" s="14" t="inlineStr">
        <is>
          <t>Moral Turpitude</t>
        </is>
      </c>
      <c r="F338" s="39" t="inlineStr">
        <is>
          <t>Bet</t>
        </is>
      </c>
      <c r="G338" s="56" t="inlineStr">
        <is>
          <t>Way</t>
        </is>
      </c>
      <c r="H338" s="41" t="n">
        <v>19.9</v>
      </c>
      <c r="I338" s="41" t="n">
        <v>101</v>
      </c>
      <c r="J338" s="16" t="n">
        <v>0.0307</v>
      </c>
      <c r="K338" s="42" t="n">
        <v>0.1</v>
      </c>
      <c r="L338" s="15" t="n">
        <v>8</v>
      </c>
      <c r="M338" s="43" t="inlineStr">
        <is>
          <t>Loss</t>
        </is>
      </c>
      <c r="N338" s="17">
        <f>IF(M338="Win",IF(F338="Bet",(I338-1)*K338,K338),IF(M338="Loss",IF(F338="Bet",-K338,-(I338-1)*K338),IF(M338="Void",0,"")))</f>
        <v/>
      </c>
      <c r="O338" s="18">
        <f>IF(OR(M338="Win",M338="Loss"),IF(F338="Bet",K338,(I338-1)*K338),"")</f>
        <v/>
      </c>
    </row>
    <row r="339">
      <c r="A339" s="44" t="n">
        <v>46285</v>
      </c>
      <c r="B339" s="45" t="inlineStr">
        <is>
          <t>Armidale</t>
        </is>
      </c>
      <c r="C339" s="21" t="n">
        <v>5</v>
      </c>
      <c r="D339" s="21" t="n">
        <v>7</v>
      </c>
      <c r="E339" s="20" t="inlineStr">
        <is>
          <t>Extreme Merger</t>
        </is>
      </c>
      <c r="F339" s="52" t="inlineStr">
        <is>
          <t>Bet</t>
        </is>
      </c>
      <c r="G339" s="40" t="inlineStr">
        <is>
          <t>Bet</t>
        </is>
      </c>
      <c r="H339" s="48" t="n">
        <v>11.5</v>
      </c>
      <c r="I339" s="48" t="n">
        <v>15</v>
      </c>
      <c r="J339" s="22" t="n">
        <v>0.02</v>
      </c>
      <c r="K339" s="49" t="n">
        <v>1</v>
      </c>
      <c r="L339" s="21" t="n">
        <v>8</v>
      </c>
      <c r="M339" s="46" t="inlineStr">
        <is>
          <t>Loss</t>
        </is>
      </c>
      <c r="N339" s="23">
        <f>IF(M339="Win",IF(F339="Bet",(I339-1)*K339,K339),IF(M339="Loss",IF(F339="Bet",-K339,-(I339-1)*K339),IF(M339="Void",0,"")))</f>
        <v/>
      </c>
      <c r="O339" s="24">
        <f>IF(OR(M339="Win",M339="Loss"),IF(F339="Bet",K339,(I339-1)*K339),"")</f>
        <v/>
      </c>
    </row>
    <row r="340">
      <c r="A340" s="37" t="n">
        <v>46285</v>
      </c>
      <c r="B340" s="38" t="inlineStr">
        <is>
          <t>Kalgoorlie</t>
        </is>
      </c>
      <c r="C340" s="15" t="n">
        <v>3</v>
      </c>
      <c r="D340" s="15" t="n">
        <v>2</v>
      </c>
      <c r="E340" s="14" t="inlineStr">
        <is>
          <t>Royal Guardian</t>
        </is>
      </c>
      <c r="F340" s="43" t="inlineStr">
        <is>
          <t>Lay</t>
        </is>
      </c>
      <c r="G340" s="47" t="inlineStr">
        <is>
          <t>Lay</t>
        </is>
      </c>
      <c r="H340" s="41" t="n">
        <v>5.8</v>
      </c>
      <c r="I340" s="41" t="n">
        <v>2.84</v>
      </c>
      <c r="J340" s="16" t="n">
        <v>-0.07679999999999999</v>
      </c>
      <c r="K340" s="42" t="n">
        <v>1</v>
      </c>
      <c r="L340" s="15" t="n">
        <v>9</v>
      </c>
      <c r="M340" s="51" t="inlineStr">
        <is>
          <t>Win</t>
        </is>
      </c>
      <c r="N340" s="17">
        <f>IF(M340="Win",IF(F340="Bet",(I340-1)*K340,K340),IF(M340="Loss",IF(F340="Bet",-K340,-(I340-1)*K340),IF(M340="Void",0,"")))</f>
        <v/>
      </c>
      <c r="O340" s="18">
        <f>IF(OR(M340="Win",M340="Loss"),IF(F340="Bet",K340,(I340-1)*K340),"")</f>
        <v/>
      </c>
    </row>
    <row r="341">
      <c r="A341" s="44" t="n">
        <v>46285</v>
      </c>
      <c r="B341" s="45" t="inlineStr">
        <is>
          <t>Kalgoorlie</t>
        </is>
      </c>
      <c r="C341" s="21" t="n">
        <v>5</v>
      </c>
      <c r="D341" s="21" t="n">
        <v>5</v>
      </c>
      <c r="E341" s="20" t="inlineStr">
        <is>
          <t>Science Degree</t>
        </is>
      </c>
      <c r="F341" s="46" t="inlineStr">
        <is>
          <t>Lay</t>
        </is>
      </c>
      <c r="G341" s="47" t="inlineStr">
        <is>
          <t>Lay</t>
        </is>
      </c>
      <c r="H341" s="48" t="n">
        <v>7.5</v>
      </c>
      <c r="I341" s="48" t="n">
        <v>4.7</v>
      </c>
      <c r="J341" s="22" t="n">
        <v>-0.067</v>
      </c>
      <c r="K341" s="49" t="n">
        <v>1</v>
      </c>
      <c r="L341" s="21" t="n">
        <v>1</v>
      </c>
      <c r="M341" s="46" t="inlineStr">
        <is>
          <t>Loss</t>
        </is>
      </c>
      <c r="N341" s="23">
        <f>IF(M341="Win",IF(F341="Bet",(I341-1)*K341,K341),IF(M341="Loss",IF(F341="Bet",-K341,-(I341-1)*K341),IF(M341="Void",0,"")))</f>
        <v/>
      </c>
      <c r="O341" s="24">
        <f>IF(OR(M341="Win",M341="Loss"),IF(F341="Bet",K341,(I341-1)*K341),"")</f>
        <v/>
      </c>
    </row>
    <row r="342">
      <c r="A342" s="37" t="n">
        <v>46285</v>
      </c>
      <c r="B342" s="38" t="inlineStr">
        <is>
          <t>Nowra</t>
        </is>
      </c>
      <c r="C342" s="15" t="n">
        <v>4</v>
      </c>
      <c r="D342" s="15" t="n">
        <v>1</v>
      </c>
      <c r="E342" s="14" t="inlineStr">
        <is>
          <t>Winning Point</t>
        </is>
      </c>
      <c r="F342" s="39" t="inlineStr">
        <is>
          <t>Bet</t>
        </is>
      </c>
      <c r="G342" s="40" t="inlineStr">
        <is>
          <t>Bet</t>
        </is>
      </c>
      <c r="H342" s="41" t="n">
        <v>9</v>
      </c>
      <c r="I342" s="41" t="n">
        <v>15</v>
      </c>
      <c r="J342" s="16" t="n">
        <v>0.02</v>
      </c>
      <c r="K342" s="42" t="n">
        <v>1</v>
      </c>
      <c r="L342" s="15" t="n">
        <v>4</v>
      </c>
      <c r="M342" s="43" t="inlineStr">
        <is>
          <t>Loss</t>
        </is>
      </c>
      <c r="N342" s="17">
        <f>IF(M342="Win",IF(F342="Bet",(I342-1)*K342,K342),IF(M342="Loss",IF(F342="Bet",-K342,-(I342-1)*K342),IF(M342="Void",0,"")))</f>
        <v/>
      </c>
      <c r="O342" s="18">
        <f>IF(OR(M342="Win",M342="Loss"),IF(F342="Bet",K342,(I342-1)*K342),"")</f>
        <v/>
      </c>
    </row>
    <row r="343">
      <c r="A343" s="44" t="n">
        <v>46285</v>
      </c>
      <c r="B343" s="45" t="inlineStr">
        <is>
          <t>Nowra</t>
        </is>
      </c>
      <c r="C343" s="21" t="n">
        <v>5</v>
      </c>
      <c r="D343" s="21" t="n">
        <v>1</v>
      </c>
      <c r="E343" s="20" t="inlineStr">
        <is>
          <t>Kiss Of Gold</t>
        </is>
      </c>
      <c r="F343" s="52" t="inlineStr">
        <is>
          <t>Bet</t>
        </is>
      </c>
      <c r="G343" s="40" t="inlineStr">
        <is>
          <t>Bet</t>
        </is>
      </c>
      <c r="H343" s="48" t="n">
        <v>8</v>
      </c>
      <c r="I343" s="48" t="n">
        <v>11.5</v>
      </c>
      <c r="J343" s="22" t="n">
        <v>0.0201</v>
      </c>
      <c r="K343" s="49" t="n">
        <v>1</v>
      </c>
      <c r="L343" s="21" t="n">
        <v>4</v>
      </c>
      <c r="M343" s="46" t="inlineStr">
        <is>
          <t>Loss</t>
        </is>
      </c>
      <c r="N343" s="23">
        <f>IF(M343="Win",IF(F343="Bet",(I343-1)*K343,K343),IF(M343="Loss",IF(F343="Bet",-K343,-(I343-1)*K343),IF(M343="Void",0,"")))</f>
        <v/>
      </c>
      <c r="O343" s="24">
        <f>IF(OR(M343="Win",M343="Loss"),IF(F343="Bet",K343,(I343-1)*K343),"")</f>
        <v/>
      </c>
    </row>
    <row r="344">
      <c r="A344" s="37" t="n">
        <v>46285</v>
      </c>
      <c r="B344" s="38" t="inlineStr">
        <is>
          <t>Bendigo</t>
        </is>
      </c>
      <c r="C344" s="15" t="n">
        <v>7</v>
      </c>
      <c r="D344" s="15" t="n">
        <v>14</v>
      </c>
      <c r="E344" s="14" t="inlineStr">
        <is>
          <t>Our Justify</t>
        </is>
      </c>
      <c r="F344" s="43" t="inlineStr">
        <is>
          <t>Lay</t>
        </is>
      </c>
      <c r="G344" s="47" t="inlineStr">
        <is>
          <t>Lay</t>
        </is>
      </c>
      <c r="H344" s="41" t="n">
        <v>5.7</v>
      </c>
      <c r="I344" s="41" t="n">
        <v>2.54</v>
      </c>
      <c r="J344" s="16" t="n">
        <v>-0.09719999999999999</v>
      </c>
      <c r="K344" s="42" t="n">
        <v>1</v>
      </c>
      <c r="L344" s="15" t="n">
        <v>1</v>
      </c>
      <c r="M344" s="43" t="inlineStr">
        <is>
          <t>Loss</t>
        </is>
      </c>
      <c r="N344" s="17">
        <f>IF(M344="Win",IF(F344="Bet",(I344-1)*K344,K344),IF(M344="Loss",IF(F344="Bet",-K344,-(I344-1)*K344),IF(M344="Void",0,"")))</f>
        <v/>
      </c>
      <c r="O344" s="18">
        <f>IF(OR(M344="Win",M344="Loss"),IF(F344="Bet",K344,(I344-1)*K344),"")</f>
        <v/>
      </c>
    </row>
    <row r="345">
      <c r="A345" s="44" t="n">
        <v>46285</v>
      </c>
      <c r="B345" s="45" t="inlineStr">
        <is>
          <t>Bairnsdale</t>
        </is>
      </c>
      <c r="C345" s="21" t="n">
        <v>7</v>
      </c>
      <c r="D345" s="21" t="n">
        <v>1</v>
      </c>
      <c r="E345" s="20" t="inlineStr">
        <is>
          <t>Bleak Mid Winter</t>
        </is>
      </c>
      <c r="F345" s="46" t="inlineStr">
        <is>
          <t>Lay</t>
        </is>
      </c>
      <c r="G345" s="47" t="inlineStr">
        <is>
          <t>Lay</t>
        </is>
      </c>
      <c r="H345" s="48" t="n">
        <v>4.3</v>
      </c>
      <c r="I345" s="48" t="n">
        <v>2.34</v>
      </c>
      <c r="J345" s="22" t="n">
        <v>-0.0618</v>
      </c>
      <c r="K345" s="49" t="n">
        <v>1</v>
      </c>
      <c r="L345" s="21" t="n"/>
      <c r="M345" s="55" t="inlineStr">
        <is>
          <t>Void</t>
        </is>
      </c>
      <c r="N345" s="23">
        <f>IF(M345="Win",IF(F345="Bet",(I345-1)*K345,K345),IF(M345="Loss",IF(F345="Bet",-K345,-(I345-1)*K345),IF(M345="Void",0,"")))</f>
        <v/>
      </c>
      <c r="O345" s="24">
        <f>IF(OR(M345="Win",M345="Loss"),IF(F345="Bet",K345,(I345-1)*K345),"")</f>
        <v/>
      </c>
    </row>
    <row r="346">
      <c r="A346" s="37" t="n">
        <v>46285</v>
      </c>
      <c r="B346" s="38" t="inlineStr">
        <is>
          <t>Mount Gambier</t>
        </is>
      </c>
      <c r="C346" s="15" t="n">
        <v>2</v>
      </c>
      <c r="D346" s="15" t="n">
        <v>8</v>
      </c>
      <c r="E346" s="14" t="inlineStr">
        <is>
          <t>Roll With It</t>
        </is>
      </c>
      <c r="F346" s="39" t="inlineStr">
        <is>
          <t>Bet</t>
        </is>
      </c>
      <c r="G346" s="40" t="inlineStr">
        <is>
          <t>Bet</t>
        </is>
      </c>
      <c r="H346" s="41" t="n">
        <v>6.9</v>
      </c>
      <c r="I346" s="41" t="n">
        <v>8.5</v>
      </c>
      <c r="J346" s="16" t="n">
        <v>0.0203</v>
      </c>
      <c r="K346" s="42" t="n">
        <v>1</v>
      </c>
      <c r="L346" s="15" t="n">
        <v>4</v>
      </c>
      <c r="M346" s="43" t="inlineStr">
        <is>
          <t>Loss</t>
        </is>
      </c>
      <c r="N346" s="17">
        <f>IF(M346="Win",IF(F346="Bet",(I346-1)*K346,K346),IF(M346="Loss",IF(F346="Bet",-K346,-(I346-1)*K346),IF(M346="Void",0,"")))</f>
        <v/>
      </c>
      <c r="O346" s="18">
        <f>IF(OR(M346="Win",M346="Loss"),IF(F346="Bet",K346,(I346-1)*K346),"")</f>
        <v/>
      </c>
    </row>
    <row r="347">
      <c r="A347" s="44" t="n">
        <v>46285</v>
      </c>
      <c r="B347" s="45" t="inlineStr">
        <is>
          <t>Bendigo</t>
        </is>
      </c>
      <c r="C347" s="21" t="n">
        <v>5</v>
      </c>
      <c r="D347" s="21" t="n">
        <v>9</v>
      </c>
      <c r="E347" s="20" t="inlineStr">
        <is>
          <t>No Overtaking</t>
        </is>
      </c>
      <c r="F347" s="52" t="inlineStr">
        <is>
          <t>Bet</t>
        </is>
      </c>
      <c r="G347" s="40" t="inlineStr">
        <is>
          <t>Bet</t>
        </is>
      </c>
      <c r="H347" s="48" t="n">
        <v>8.699999999999999</v>
      </c>
      <c r="I347" s="48" t="n">
        <v>12</v>
      </c>
      <c r="J347" s="22" t="n">
        <v>0.0315</v>
      </c>
      <c r="K347" s="49" t="n">
        <v>1</v>
      </c>
      <c r="L347" s="21" t="n">
        <v>8</v>
      </c>
      <c r="M347" s="46" t="inlineStr">
        <is>
          <t>Loss</t>
        </is>
      </c>
      <c r="N347" s="23">
        <f>IF(M347="Win",IF(F347="Bet",(I347-1)*K347,K347),IF(M347="Loss",IF(F347="Bet",-K347,-(I347-1)*K347),IF(M347="Void",0,"")))</f>
        <v/>
      </c>
      <c r="O347" s="24">
        <f>IF(OR(M347="Win",M347="Loss"),IF(F347="Bet",K347,(I347-1)*K347),"")</f>
        <v/>
      </c>
    </row>
    <row r="348">
      <c r="A348" s="37" t="n">
        <v>46285</v>
      </c>
      <c r="B348" s="38" t="inlineStr">
        <is>
          <t>Bendigo</t>
        </is>
      </c>
      <c r="C348" s="15" t="n">
        <v>5</v>
      </c>
      <c r="D348" s="15" t="n">
        <v>6</v>
      </c>
      <c r="E348" s="14" t="inlineStr">
        <is>
          <t>Elena Montero</t>
        </is>
      </c>
      <c r="F348" s="39" t="inlineStr">
        <is>
          <t>Bet</t>
        </is>
      </c>
      <c r="G348" s="40" t="inlineStr">
        <is>
          <t>Bet</t>
        </is>
      </c>
      <c r="H348" s="41" t="n">
        <v>9.5</v>
      </c>
      <c r="I348" s="41" t="n">
        <v>14</v>
      </c>
      <c r="J348" s="16" t="n">
        <v>0.0336</v>
      </c>
      <c r="K348" s="42" t="n">
        <v>1</v>
      </c>
      <c r="L348" s="15" t="n">
        <v>6</v>
      </c>
      <c r="M348" s="43" t="inlineStr">
        <is>
          <t>Loss</t>
        </is>
      </c>
      <c r="N348" s="17">
        <f>IF(M348="Win",IF(F348="Bet",(I348-1)*K348,K348),IF(M348="Loss",IF(F348="Bet",-K348,-(I348-1)*K348),IF(M348="Void",0,"")))</f>
        <v/>
      </c>
      <c r="O348" s="18">
        <f>IF(OR(M348="Win",M348="Loss"),IF(F348="Bet",K348,(I348-1)*K348),"")</f>
        <v/>
      </c>
    </row>
    <row r="349">
      <c r="A349" s="44" t="n">
        <v>46285</v>
      </c>
      <c r="B349" s="45" t="inlineStr">
        <is>
          <t>Mount Gambier</t>
        </is>
      </c>
      <c r="C349" s="21" t="n">
        <v>6</v>
      </c>
      <c r="D349" s="21" t="n">
        <v>2</v>
      </c>
      <c r="E349" s="20" t="inlineStr">
        <is>
          <t>Diwali</t>
        </is>
      </c>
      <c r="F349" s="52" t="inlineStr">
        <is>
          <t>Bet</t>
        </is>
      </c>
      <c r="G349" s="40" t="inlineStr">
        <is>
          <t>Bet</t>
        </is>
      </c>
      <c r="H349" s="48" t="n">
        <v>3.4</v>
      </c>
      <c r="I349" s="48" t="n">
        <v>3.7</v>
      </c>
      <c r="J349" s="22" t="n">
        <v>0.0211</v>
      </c>
      <c r="K349" s="49" t="n">
        <v>1</v>
      </c>
      <c r="L349" s="21" t="n">
        <v>7</v>
      </c>
      <c r="M349" s="46" t="inlineStr">
        <is>
          <t>Loss</t>
        </is>
      </c>
      <c r="N349" s="23">
        <f>IF(M349="Win",IF(F349="Bet",(I349-1)*K349,K349),IF(M349="Loss",IF(F349="Bet",-K349,-(I349-1)*K349),IF(M349="Void",0,"")))</f>
        <v/>
      </c>
      <c r="O349" s="24">
        <f>IF(OR(M349="Win",M349="Loss"),IF(F349="Bet",K349,(I349-1)*K349),"")</f>
        <v/>
      </c>
    </row>
    <row r="350">
      <c r="A350" s="37" t="n">
        <v>46285</v>
      </c>
      <c r="B350" s="38" t="inlineStr">
        <is>
          <t>Mount Gambier</t>
        </is>
      </c>
      <c r="C350" s="15" t="n">
        <v>4</v>
      </c>
      <c r="D350" s="15" t="n">
        <v>5</v>
      </c>
      <c r="E350" s="14" t="inlineStr">
        <is>
          <t>Deficit</t>
        </is>
      </c>
      <c r="F350" s="39" t="inlineStr">
        <is>
          <t>Bet</t>
        </is>
      </c>
      <c r="G350" s="40" t="inlineStr">
        <is>
          <t>Bet</t>
        </is>
      </c>
      <c r="H350" s="41" t="n">
        <v>7.1</v>
      </c>
      <c r="I350" s="41" t="n">
        <v>14</v>
      </c>
      <c r="J350" s="16" t="n">
        <v>0.0225</v>
      </c>
      <c r="K350" s="42" t="n">
        <v>1</v>
      </c>
      <c r="L350" s="15" t="n">
        <v>7</v>
      </c>
      <c r="M350" s="43" t="inlineStr">
        <is>
          <t>Loss</t>
        </is>
      </c>
      <c r="N350" s="17">
        <f>IF(M350="Win",IF(F350="Bet",(I350-1)*K350,K350),IF(M350="Loss",IF(F350="Bet",-K350,-(I350-1)*K350),IF(M350="Void",0,"")))</f>
        <v/>
      </c>
      <c r="O350" s="18">
        <f>IF(OR(M350="Win",M350="Loss"),IF(F350="Bet",K350,(I350-1)*K350),"")</f>
        <v/>
      </c>
    </row>
    <row r="351">
      <c r="A351" s="44" t="n">
        <v>46285</v>
      </c>
      <c r="B351" s="45" t="inlineStr">
        <is>
          <t>Sunshine Coast</t>
        </is>
      </c>
      <c r="C351" s="21" t="n">
        <v>1</v>
      </c>
      <c r="D351" s="21" t="n">
        <v>3</v>
      </c>
      <c r="E351" s="20" t="inlineStr">
        <is>
          <t>Vincley</t>
        </is>
      </c>
      <c r="F351" s="46" t="inlineStr">
        <is>
          <t>Lay</t>
        </is>
      </c>
      <c r="G351" s="47" t="inlineStr">
        <is>
          <t>Lay</t>
        </is>
      </c>
      <c r="H351" s="48" t="n">
        <v>2.35</v>
      </c>
      <c r="I351" s="48" t="n">
        <v>1.79</v>
      </c>
      <c r="J351" s="22" t="n">
        <v>-0.1147</v>
      </c>
      <c r="K351" s="49" t="n">
        <v>1</v>
      </c>
      <c r="L351" s="21" t="n">
        <v>2</v>
      </c>
      <c r="M351" s="50" t="inlineStr">
        <is>
          <t>Win</t>
        </is>
      </c>
      <c r="N351" s="23">
        <f>IF(M351="Win",IF(F351="Bet",(I351-1)*K351,K351),IF(M351="Loss",IF(F351="Bet",-K351,-(I351-1)*K351),IF(M351="Void",0,"")))</f>
        <v/>
      </c>
      <c r="O351" s="24">
        <f>IF(OR(M351="Win",M351="Loss"),IF(F351="Bet",K351,(I351-1)*K351),"")</f>
        <v/>
      </c>
    </row>
    <row r="352">
      <c r="A352" s="37" t="n">
        <v>46285</v>
      </c>
      <c r="B352" s="38" t="inlineStr">
        <is>
          <t>Sunshine Coast</t>
        </is>
      </c>
      <c r="C352" s="15" t="n">
        <v>2</v>
      </c>
      <c r="D352" s="15" t="n">
        <v>14</v>
      </c>
      <c r="E352" s="14" t="inlineStr">
        <is>
          <t>Hells Rein</t>
        </is>
      </c>
      <c r="F352" s="43" t="inlineStr">
        <is>
          <t>Lay</t>
        </is>
      </c>
      <c r="G352" s="47" t="inlineStr">
        <is>
          <t>Lay</t>
        </is>
      </c>
      <c r="H352" s="41" t="n">
        <v>4.8</v>
      </c>
      <c r="I352" s="41" t="n">
        <v>2.78</v>
      </c>
      <c r="J352" s="16" t="n">
        <v>-0.0612</v>
      </c>
      <c r="K352" s="42" t="n">
        <v>1</v>
      </c>
      <c r="L352" s="15" t="n">
        <v>5</v>
      </c>
      <c r="M352" s="51" t="inlineStr">
        <is>
          <t>Win</t>
        </is>
      </c>
      <c r="N352" s="17">
        <f>IF(M352="Win",IF(F352="Bet",(I352-1)*K352,K352),IF(M352="Loss",IF(F352="Bet",-K352,-(I352-1)*K352),IF(M352="Void",0,"")))</f>
        <v/>
      </c>
      <c r="O352" s="18">
        <f>IF(OR(M352="Win",M352="Loss"),IF(F352="Bet",K352,(I352-1)*K352),"")</f>
        <v/>
      </c>
    </row>
    <row r="353">
      <c r="A353" s="44" t="n">
        <v>46285</v>
      </c>
      <c r="B353" s="45" t="inlineStr">
        <is>
          <t>Sunshine Coast</t>
        </is>
      </c>
      <c r="C353" s="21" t="n">
        <v>4</v>
      </c>
      <c r="D353" s="21" t="n">
        <v>8</v>
      </c>
      <c r="E353" s="20" t="inlineStr">
        <is>
          <t>Makamae</t>
        </is>
      </c>
      <c r="F353" s="52" t="inlineStr">
        <is>
          <t>Bet</t>
        </is>
      </c>
      <c r="G353" s="40" t="inlineStr">
        <is>
          <t>Bet</t>
        </is>
      </c>
      <c r="H353" s="48" t="n">
        <v>4.3</v>
      </c>
      <c r="I353" s="48" t="n">
        <v>4.8</v>
      </c>
      <c r="J353" s="22" t="n">
        <v>0.0255</v>
      </c>
      <c r="K353" s="49" t="n">
        <v>1</v>
      </c>
      <c r="L353" s="21" t="n">
        <v>2</v>
      </c>
      <c r="M353" s="46" t="inlineStr">
        <is>
          <t>Loss</t>
        </is>
      </c>
      <c r="N353" s="23">
        <f>IF(M353="Win",IF(F353="Bet",(I353-1)*K353,K353),IF(M353="Loss",IF(F353="Bet",-K353,-(I353-1)*K353),IF(M353="Void",0,"")))</f>
        <v/>
      </c>
      <c r="O353" s="24">
        <f>IF(OR(M353="Win",M353="Loss"),IF(F353="Bet",K353,(I353-1)*K353),"")</f>
        <v/>
      </c>
    </row>
    <row r="354">
      <c r="A354" s="37" t="n">
        <v>46285</v>
      </c>
      <c r="B354" s="38" t="inlineStr">
        <is>
          <t>Armidale</t>
        </is>
      </c>
      <c r="C354" s="15" t="n">
        <v>6</v>
      </c>
      <c r="D354" s="15" t="n">
        <v>3</v>
      </c>
      <c r="E354" s="14" t="inlineStr">
        <is>
          <t>Miners Mate</t>
        </is>
      </c>
      <c r="F354" s="43" t="inlineStr">
        <is>
          <t>Lay</t>
        </is>
      </c>
      <c r="G354" s="47" t="inlineStr">
        <is>
          <t>Lay</t>
        </is>
      </c>
      <c r="H354" s="41" t="n">
        <v>5.7</v>
      </c>
      <c r="I354" s="41" t="n">
        <v>3.4</v>
      </c>
      <c r="J354" s="16" t="n">
        <v>-0.0815</v>
      </c>
      <c r="K354" s="42" t="n">
        <v>1</v>
      </c>
      <c r="L354" s="15" t="n">
        <v>2</v>
      </c>
      <c r="M354" s="51" t="inlineStr">
        <is>
          <t>Win</t>
        </is>
      </c>
      <c r="N354" s="17">
        <f>IF(M354="Win",IF(F354="Bet",(I354-1)*K354,K354),IF(M354="Loss",IF(F354="Bet",-K354,-(I354-1)*K354),IF(M354="Void",0,"")))</f>
        <v/>
      </c>
      <c r="O354" s="18">
        <f>IF(OR(M354="Win",M354="Loss"),IF(F354="Bet",K354,(I354-1)*K354),"")</f>
        <v/>
      </c>
    </row>
    <row r="355">
      <c r="A355" s="44" t="n">
        <v>46285</v>
      </c>
      <c r="B355" s="45" t="inlineStr">
        <is>
          <t>Sunshine Coast</t>
        </is>
      </c>
      <c r="C355" s="21" t="n">
        <v>3</v>
      </c>
      <c r="D355" s="21" t="n">
        <v>1</v>
      </c>
      <c r="E355" s="20" t="inlineStr">
        <is>
          <t>Old Faithful</t>
        </is>
      </c>
      <c r="F355" s="46" t="inlineStr">
        <is>
          <t>Lay</t>
        </is>
      </c>
      <c r="G355" s="47" t="inlineStr">
        <is>
          <t>Lay</t>
        </is>
      </c>
      <c r="H355" s="48" t="n">
        <v>5.7</v>
      </c>
      <c r="I355" s="48" t="n">
        <v>4.2</v>
      </c>
      <c r="J355" s="22" t="n">
        <v>-0.0638</v>
      </c>
      <c r="K355" s="49" t="n">
        <v>1</v>
      </c>
      <c r="L355" s="21" t="n">
        <v>4</v>
      </c>
      <c r="M355" s="50" t="inlineStr">
        <is>
          <t>Win</t>
        </is>
      </c>
      <c r="N355" s="23">
        <f>IF(M355="Win",IF(F355="Bet",(I355-1)*K355,K355),IF(M355="Loss",IF(F355="Bet",-K355,-(I355-1)*K355),IF(M355="Void",0,"")))</f>
        <v/>
      </c>
      <c r="O355" s="24">
        <f>IF(OR(M355="Win",M355="Loss"),IF(F355="Bet",K355,(I355-1)*K355),"")</f>
        <v/>
      </c>
    </row>
    <row r="356">
      <c r="A356" s="37" t="n">
        <v>46285</v>
      </c>
      <c r="B356" s="38" t="inlineStr">
        <is>
          <t>Nowra</t>
        </is>
      </c>
      <c r="C356" s="15" t="n">
        <v>1</v>
      </c>
      <c r="D356" s="15" t="n">
        <v>1</v>
      </c>
      <c r="E356" s="14" t="inlineStr">
        <is>
          <t>Hard Yards</t>
        </is>
      </c>
      <c r="F356" s="43" t="inlineStr">
        <is>
          <t>Lay</t>
        </is>
      </c>
      <c r="G356" s="47" t="inlineStr">
        <is>
          <t>Lay</t>
        </is>
      </c>
      <c r="H356" s="41" t="n">
        <v>3.4</v>
      </c>
      <c r="I356" s="41" t="n">
        <v>2.7</v>
      </c>
      <c r="J356" s="16" t="n">
        <v>-0.0789</v>
      </c>
      <c r="K356" s="42" t="n">
        <v>1</v>
      </c>
      <c r="L356" s="15" t="n">
        <v>5</v>
      </c>
      <c r="M356" s="51" t="inlineStr">
        <is>
          <t>Win</t>
        </is>
      </c>
      <c r="N356" s="17">
        <f>IF(M356="Win",IF(F356="Bet",(I356-1)*K356,K356),IF(M356="Loss",IF(F356="Bet",-K356,-(I356-1)*K356),IF(M356="Void",0,"")))</f>
        <v/>
      </c>
      <c r="O356" s="18">
        <f>IF(OR(M356="Win",M356="Loss"),IF(F356="Bet",K356,(I356-1)*K356),"")</f>
        <v/>
      </c>
    </row>
    <row r="357">
      <c r="A357" s="44" t="n">
        <v>46285</v>
      </c>
      <c r="B357" s="45" t="inlineStr">
        <is>
          <t>Nowra</t>
        </is>
      </c>
      <c r="C357" s="21" t="n">
        <v>1</v>
      </c>
      <c r="D357" s="21" t="n">
        <v>8</v>
      </c>
      <c r="E357" s="20" t="inlineStr">
        <is>
          <t>Stormy Reign</t>
        </is>
      </c>
      <c r="F357" s="52" t="inlineStr">
        <is>
          <t>Bet</t>
        </is>
      </c>
      <c r="G357" s="40" t="inlineStr">
        <is>
          <t>Bet</t>
        </is>
      </c>
      <c r="H357" s="48" t="n">
        <v>6</v>
      </c>
      <c r="I357" s="48" t="n">
        <v>8.5</v>
      </c>
      <c r="J357" s="22" t="n">
        <v>0.0225</v>
      </c>
      <c r="K357" s="49" t="n">
        <v>1</v>
      </c>
      <c r="L357" s="21" t="n"/>
      <c r="M357" s="55" t="inlineStr">
        <is>
          <t>Void</t>
        </is>
      </c>
      <c r="N357" s="23">
        <f>IF(M357="Win",IF(F357="Bet",(I357-1)*K357,K357),IF(M357="Loss",IF(F357="Bet",-K357,-(I357-1)*K357),IF(M357="Void",0,"")))</f>
        <v/>
      </c>
      <c r="O357" s="24">
        <f>IF(OR(M357="Win",M357="Loss"),IF(F357="Bet",K357,(I357-1)*K357),"")</f>
        <v/>
      </c>
    </row>
    <row r="358">
      <c r="A358" s="37" t="n">
        <v>46285</v>
      </c>
      <c r="B358" s="38" t="inlineStr">
        <is>
          <t>Mount Gambier</t>
        </is>
      </c>
      <c r="C358" s="15" t="n">
        <v>1</v>
      </c>
      <c r="D358" s="15" t="n">
        <v>7</v>
      </c>
      <c r="E358" s="14" t="inlineStr">
        <is>
          <t>Fake Fiction</t>
        </is>
      </c>
      <c r="F358" s="43" t="inlineStr">
        <is>
          <t>Lay</t>
        </is>
      </c>
      <c r="G358" s="47" t="inlineStr">
        <is>
          <t>Lay</t>
        </is>
      </c>
      <c r="H358" s="41" t="n">
        <v>2.8</v>
      </c>
      <c r="I358" s="41" t="n">
        <v>2.26</v>
      </c>
      <c r="J358" s="16" t="n">
        <v>-0.06</v>
      </c>
      <c r="K358" s="42" t="n">
        <v>1</v>
      </c>
      <c r="L358" s="15" t="n">
        <v>5</v>
      </c>
      <c r="M358" s="51" t="inlineStr">
        <is>
          <t>Win</t>
        </is>
      </c>
      <c r="N358" s="17">
        <f>IF(M358="Win",IF(F358="Bet",(I358-1)*K358,K358),IF(M358="Loss",IF(F358="Bet",-K358,-(I358-1)*K358),IF(M358="Void",0,"")))</f>
        <v/>
      </c>
      <c r="O358" s="18">
        <f>IF(OR(M358="Win",M358="Loss"),IF(F358="Bet",K358,(I358-1)*K358),"")</f>
        <v/>
      </c>
    </row>
    <row r="359">
      <c r="A359" s="44" t="n">
        <v>46285</v>
      </c>
      <c r="B359" s="45" t="inlineStr">
        <is>
          <t>Armidale</t>
        </is>
      </c>
      <c r="C359" s="21" t="n">
        <v>5</v>
      </c>
      <c r="D359" s="21" t="n">
        <v>1</v>
      </c>
      <c r="E359" s="20" t="inlineStr">
        <is>
          <t>Set To Prophet</t>
        </is>
      </c>
      <c r="F359" s="46" t="inlineStr">
        <is>
          <t>Lay</t>
        </is>
      </c>
      <c r="G359" s="47" t="inlineStr">
        <is>
          <t>Lay</t>
        </is>
      </c>
      <c r="H359" s="48" t="n">
        <v>4.5</v>
      </c>
      <c r="I359" s="48" t="n">
        <v>2.78</v>
      </c>
      <c r="J359" s="22" t="n">
        <v>-0.07140000000000001</v>
      </c>
      <c r="K359" s="49" t="n">
        <v>1</v>
      </c>
      <c r="L359" s="21" t="n">
        <v>3</v>
      </c>
      <c r="M359" s="50" t="inlineStr">
        <is>
          <t>Win</t>
        </is>
      </c>
      <c r="N359" s="23">
        <f>IF(M359="Win",IF(F359="Bet",(I359-1)*K359,K359),IF(M359="Loss",IF(F359="Bet",-K359,-(I359-1)*K359),IF(M359="Void",0,"")))</f>
        <v/>
      </c>
      <c r="O359" s="24">
        <f>IF(OR(M359="Win",M359="Loss"),IF(F359="Bet",K359,(I359-1)*K359),"")</f>
        <v/>
      </c>
    </row>
    <row r="360">
      <c r="A360" s="37" t="n">
        <v>46285</v>
      </c>
      <c r="B360" s="38" t="inlineStr">
        <is>
          <t>Mount Gambier</t>
        </is>
      </c>
      <c r="C360" s="15" t="n">
        <v>6</v>
      </c>
      <c r="D360" s="15" t="n">
        <v>6</v>
      </c>
      <c r="E360" s="14" t="inlineStr">
        <is>
          <t>Octahedron</t>
        </is>
      </c>
      <c r="F360" s="43" t="inlineStr">
        <is>
          <t>Lay</t>
        </is>
      </c>
      <c r="G360" s="47" t="inlineStr">
        <is>
          <t>Lay</t>
        </is>
      </c>
      <c r="H360" s="41" t="n">
        <v>8</v>
      </c>
      <c r="I360" s="41" t="n">
        <v>4.25</v>
      </c>
      <c r="J360" s="16" t="n">
        <v>-0.08359999999999999</v>
      </c>
      <c r="K360" s="42" t="n">
        <v>1</v>
      </c>
      <c r="L360" s="15" t="n">
        <v>2</v>
      </c>
      <c r="M360" s="51" t="inlineStr">
        <is>
          <t>Win</t>
        </is>
      </c>
      <c r="N360" s="17">
        <f>IF(M360="Win",IF(F360="Bet",(I360-1)*K360,K360),IF(M360="Loss",IF(F360="Bet",-K360,-(I360-1)*K360),IF(M360="Void",0,"")))</f>
        <v/>
      </c>
      <c r="O360" s="18">
        <f>IF(OR(M360="Win",M360="Loss"),IF(F360="Bet",K360,(I360-1)*K360),"")</f>
        <v/>
      </c>
    </row>
    <row r="361">
      <c r="A361" s="44" t="n">
        <v>46285</v>
      </c>
      <c r="B361" s="45" t="inlineStr">
        <is>
          <t>Nowra</t>
        </is>
      </c>
      <c r="C361" s="21" t="n">
        <v>6</v>
      </c>
      <c r="D361" s="21" t="n">
        <v>1</v>
      </c>
      <c r="E361" s="20" t="inlineStr">
        <is>
          <t>August Rush</t>
        </is>
      </c>
      <c r="F361" s="46" t="inlineStr">
        <is>
          <t>Lay</t>
        </is>
      </c>
      <c r="G361" s="47" t="inlineStr">
        <is>
          <t>Lay</t>
        </is>
      </c>
      <c r="H361" s="48" t="n">
        <v>4.6</v>
      </c>
      <c r="I361" s="48" t="n">
        <v>3.3</v>
      </c>
      <c r="J361" s="22" t="n">
        <v>-0.0663</v>
      </c>
      <c r="K361" s="49" t="n">
        <v>1</v>
      </c>
      <c r="L361" s="21" t="n">
        <v>8</v>
      </c>
      <c r="M361" s="50" t="inlineStr">
        <is>
          <t>Win</t>
        </is>
      </c>
      <c r="N361" s="23">
        <f>IF(M361="Win",IF(F361="Bet",(I361-1)*K361,K361),IF(M361="Loss",IF(F361="Bet",-K361,-(I361-1)*K361),IF(M361="Void",0,"")))</f>
        <v/>
      </c>
      <c r="O361" s="24">
        <f>IF(OR(M361="Win",M361="Loss"),IF(F361="Bet",K361,(I361-1)*K361),"")</f>
        <v/>
      </c>
    </row>
    <row r="362">
      <c r="A362" s="37" t="n">
        <v>46285</v>
      </c>
      <c r="B362" s="38" t="inlineStr">
        <is>
          <t>Sunshine Coast</t>
        </is>
      </c>
      <c r="C362" s="15" t="n">
        <v>1</v>
      </c>
      <c r="D362" s="15" t="n">
        <v>1</v>
      </c>
      <c r="E362" s="14" t="inlineStr">
        <is>
          <t>On The Clock</t>
        </is>
      </c>
      <c r="F362" s="39" t="inlineStr">
        <is>
          <t>Bet</t>
        </is>
      </c>
      <c r="G362" s="40" t="inlineStr">
        <is>
          <t>Bet</t>
        </is>
      </c>
      <c r="H362" s="41" t="n">
        <v>8</v>
      </c>
      <c r="I362" s="41" t="n">
        <v>10</v>
      </c>
      <c r="J362" s="16" t="n">
        <v>0.025</v>
      </c>
      <c r="K362" s="42" t="n">
        <v>1</v>
      </c>
      <c r="L362" s="15" t="n">
        <v>5</v>
      </c>
      <c r="M362" s="43" t="inlineStr">
        <is>
          <t>Loss</t>
        </is>
      </c>
      <c r="N362" s="17">
        <f>IF(M362="Win",IF(F362="Bet",(I362-1)*K362,K362),IF(M362="Loss",IF(F362="Bet",-K362,-(I362-1)*K362),IF(M362="Void",0,"")))</f>
        <v/>
      </c>
      <c r="O362" s="18">
        <f>IF(OR(M362="Win",M362="Loss"),IF(F362="Bet",K362,(I362-1)*K362),"")</f>
        <v/>
      </c>
    </row>
    <row r="363">
      <c r="A363" s="44" t="n">
        <v>46285</v>
      </c>
      <c r="B363" s="45" t="inlineStr">
        <is>
          <t>Sunshine Coast</t>
        </is>
      </c>
      <c r="C363" s="21" t="n">
        <v>1</v>
      </c>
      <c r="D363" s="21" t="n">
        <v>6</v>
      </c>
      <c r="E363" s="20" t="inlineStr">
        <is>
          <t>Chat Mignon</t>
        </is>
      </c>
      <c r="F363" s="52" t="inlineStr">
        <is>
          <t>Bet</t>
        </is>
      </c>
      <c r="G363" s="40" t="inlineStr">
        <is>
          <t>Bet</t>
        </is>
      </c>
      <c r="H363" s="48" t="n">
        <v>9.4</v>
      </c>
      <c r="I363" s="48" t="n">
        <v>14.99</v>
      </c>
      <c r="J363" s="22" t="n">
        <v>0.0235</v>
      </c>
      <c r="K363" s="49" t="n">
        <v>1</v>
      </c>
      <c r="L363" s="21" t="n">
        <v>3</v>
      </c>
      <c r="M363" s="46" t="inlineStr">
        <is>
          <t>Loss</t>
        </is>
      </c>
      <c r="N363" s="23">
        <f>IF(M363="Win",IF(F363="Bet",(I363-1)*K363,K363),IF(M363="Loss",IF(F363="Bet",-K363,-(I363-1)*K363),IF(M363="Void",0,"")))</f>
        <v/>
      </c>
      <c r="O363" s="24">
        <f>IF(OR(M363="Win",M363="Loss"),IF(F363="Bet",K363,(I363-1)*K363),"")</f>
        <v/>
      </c>
    </row>
    <row r="364">
      <c r="A364" s="37" t="n">
        <v>46285</v>
      </c>
      <c r="B364" s="38" t="inlineStr">
        <is>
          <t>Bendigo</t>
        </is>
      </c>
      <c r="C364" s="15" t="n">
        <v>1</v>
      </c>
      <c r="D364" s="15" t="n">
        <v>12</v>
      </c>
      <c r="E364" s="14" t="inlineStr">
        <is>
          <t>Cajun</t>
        </is>
      </c>
      <c r="F364" s="43" t="inlineStr">
        <is>
          <t>Lay</t>
        </is>
      </c>
      <c r="G364" s="47" t="inlineStr">
        <is>
          <t>Lay</t>
        </is>
      </c>
      <c r="H364" s="41" t="n">
        <v>4.4</v>
      </c>
      <c r="I364" s="41" t="n">
        <v>3.35</v>
      </c>
      <c r="J364" s="16" t="n">
        <v>-0.0737</v>
      </c>
      <c r="K364" s="42" t="n">
        <v>1</v>
      </c>
      <c r="L364" s="15" t="n">
        <v>8</v>
      </c>
      <c r="M364" s="51" t="inlineStr">
        <is>
          <t>Win</t>
        </is>
      </c>
      <c r="N364" s="17">
        <f>IF(M364="Win",IF(F364="Bet",(I364-1)*K364,K364),IF(M364="Loss",IF(F364="Bet",-K364,-(I364-1)*K364),IF(M364="Void",0,"")))</f>
        <v/>
      </c>
      <c r="O364" s="18">
        <f>IF(OR(M364="Win",M364="Loss"),IF(F364="Bet",K364,(I364-1)*K364),"")</f>
        <v/>
      </c>
    </row>
    <row r="365">
      <c r="A365" s="44" t="n">
        <v>46285</v>
      </c>
      <c r="B365" s="45" t="inlineStr">
        <is>
          <t>Mount Gambier</t>
        </is>
      </c>
      <c r="C365" s="21" t="n">
        <v>7</v>
      </c>
      <c r="D365" s="21" t="n">
        <v>7</v>
      </c>
      <c r="E365" s="20" t="inlineStr">
        <is>
          <t>Forever Waiting</t>
        </is>
      </c>
      <c r="F365" s="52" t="inlineStr">
        <is>
          <t>Bet</t>
        </is>
      </c>
      <c r="G365" s="40" t="inlineStr">
        <is>
          <t>Bet</t>
        </is>
      </c>
      <c r="H365" s="48" t="n">
        <v>4.4</v>
      </c>
      <c r="I365" s="48" t="n">
        <v>6</v>
      </c>
      <c r="J365" s="22" t="n">
        <v>0.0201</v>
      </c>
      <c r="K365" s="49" t="n">
        <v>1</v>
      </c>
      <c r="L365" s="21" t="n">
        <v>4</v>
      </c>
      <c r="M365" s="46" t="inlineStr">
        <is>
          <t>Loss</t>
        </is>
      </c>
      <c r="N365" s="23">
        <f>IF(M365="Win",IF(F365="Bet",(I365-1)*K365,K365),IF(M365="Loss",IF(F365="Bet",-K365,-(I365-1)*K365),IF(M365="Void",0,"")))</f>
        <v/>
      </c>
      <c r="O365" s="24">
        <f>IF(OR(M365="Win",M365="Loss"),IF(F365="Bet",K365,(I365-1)*K365),"")</f>
        <v/>
      </c>
    </row>
    <row r="366">
      <c r="A366" s="37" t="n">
        <v>46285</v>
      </c>
      <c r="B366" s="38" t="inlineStr">
        <is>
          <t>Bairnsdale</t>
        </is>
      </c>
      <c r="C366" s="15" t="n">
        <v>1</v>
      </c>
      <c r="D366" s="15" t="n">
        <v>7</v>
      </c>
      <c r="E366" s="14" t="inlineStr">
        <is>
          <t>Sheistheboss</t>
        </is>
      </c>
      <c r="F366" s="43" t="inlineStr">
        <is>
          <t>Lay</t>
        </is>
      </c>
      <c r="G366" s="47" t="inlineStr">
        <is>
          <t>Lay</t>
        </is>
      </c>
      <c r="H366" s="41" t="n">
        <v>3.7</v>
      </c>
      <c r="I366" s="41" t="n">
        <v>2.96</v>
      </c>
      <c r="J366" s="16" t="n">
        <v>-0.0665</v>
      </c>
      <c r="K366" s="42" t="n">
        <v>1</v>
      </c>
      <c r="L366" s="15" t="n">
        <v>2</v>
      </c>
      <c r="M366" s="51" t="inlineStr">
        <is>
          <t>Win</t>
        </is>
      </c>
      <c r="N366" s="17">
        <f>IF(M366="Win",IF(F366="Bet",(I366-1)*K366,K366),IF(M366="Loss",IF(F366="Bet",-K366,-(I366-1)*K366),IF(M366="Void",0,"")))</f>
        <v/>
      </c>
      <c r="O366" s="18">
        <f>IF(OR(M366="Win",M366="Loss"),IF(F366="Bet",K366,(I366-1)*K366),"")</f>
        <v/>
      </c>
    </row>
    <row r="367">
      <c r="A367" s="44" t="n">
        <v>46285</v>
      </c>
      <c r="B367" s="45" t="inlineStr">
        <is>
          <t>Nowra</t>
        </is>
      </c>
      <c r="C367" s="21" t="n">
        <v>6</v>
      </c>
      <c r="D367" s="21" t="n">
        <v>9</v>
      </c>
      <c r="E367" s="20" t="inlineStr">
        <is>
          <t>Battle Warrior</t>
        </is>
      </c>
      <c r="F367" s="52" t="inlineStr">
        <is>
          <t>Bet</t>
        </is>
      </c>
      <c r="G367" s="40" t="inlineStr">
        <is>
          <t>Bet</t>
        </is>
      </c>
      <c r="H367" s="48" t="n">
        <v>8.300000000000001</v>
      </c>
      <c r="I367" s="48" t="n">
        <v>11</v>
      </c>
      <c r="J367" s="22" t="n">
        <v>0.0203</v>
      </c>
      <c r="K367" s="49" t="n">
        <v>1</v>
      </c>
      <c r="L367" s="21" t="n">
        <v>6</v>
      </c>
      <c r="M367" s="46" t="inlineStr">
        <is>
          <t>Loss</t>
        </is>
      </c>
      <c r="N367" s="23">
        <f>IF(M367="Win",IF(F367="Bet",(I367-1)*K367,K367),IF(M367="Loss",IF(F367="Bet",-K367,-(I367-1)*K367),IF(M367="Void",0,"")))</f>
        <v/>
      </c>
      <c r="O367" s="24">
        <f>IF(OR(M367="Win",M367="Loss"),IF(F367="Bet",K367,(I367-1)*K367),"")</f>
        <v/>
      </c>
    </row>
    <row r="368">
      <c r="A368" s="37" t="n">
        <v>46285</v>
      </c>
      <c r="B368" s="38" t="inlineStr">
        <is>
          <t>Sunshine Coast</t>
        </is>
      </c>
      <c r="C368" s="15" t="n">
        <v>3</v>
      </c>
      <c r="D368" s="15" t="n">
        <v>6</v>
      </c>
      <c r="E368" s="14" t="inlineStr">
        <is>
          <t>Shedrivesabentley</t>
        </is>
      </c>
      <c r="F368" s="39" t="inlineStr">
        <is>
          <t>Bet</t>
        </is>
      </c>
      <c r="G368" s="40" t="inlineStr">
        <is>
          <t>Bet</t>
        </is>
      </c>
      <c r="H368" s="41" t="n">
        <v>7.8</v>
      </c>
      <c r="I368" s="41" t="n">
        <v>9.5</v>
      </c>
      <c r="J368" s="16" t="n">
        <v>0.0226</v>
      </c>
      <c r="K368" s="42" t="n">
        <v>1</v>
      </c>
      <c r="L368" s="15" t="n">
        <v>6</v>
      </c>
      <c r="M368" s="43" t="inlineStr">
        <is>
          <t>Loss</t>
        </is>
      </c>
      <c r="N368" s="17">
        <f>IF(M368="Win",IF(F368="Bet",(I368-1)*K368,K368),IF(M368="Loss",IF(F368="Bet",-K368,-(I368-1)*K368),IF(M368="Void",0,"")))</f>
        <v/>
      </c>
      <c r="O368" s="18">
        <f>IF(OR(M368="Win",M368="Loss"),IF(F368="Bet",K368,(I368-1)*K368),"")</f>
        <v/>
      </c>
    </row>
    <row r="369">
      <c r="A369" s="44" t="n">
        <v>46285</v>
      </c>
      <c r="B369" s="45" t="inlineStr">
        <is>
          <t>Bairnsdale</t>
        </is>
      </c>
      <c r="C369" s="21" t="n">
        <v>2</v>
      </c>
      <c r="D369" s="21" t="n">
        <v>14</v>
      </c>
      <c r="E369" s="20" t="inlineStr">
        <is>
          <t>Kooralbyn</t>
        </is>
      </c>
      <c r="F369" s="52" t="inlineStr">
        <is>
          <t>Bet</t>
        </is>
      </c>
      <c r="G369" s="40" t="inlineStr">
        <is>
          <t>Bet</t>
        </is>
      </c>
      <c r="H369" s="48" t="n">
        <v>5.9</v>
      </c>
      <c r="I369" s="48" t="n">
        <v>7.6</v>
      </c>
      <c r="J369" s="22" t="n">
        <v>0.0223</v>
      </c>
      <c r="K369" s="49" t="n">
        <v>1</v>
      </c>
      <c r="L369" s="21" t="n">
        <v>1</v>
      </c>
      <c r="M369" s="50" t="inlineStr">
        <is>
          <t>Win</t>
        </is>
      </c>
      <c r="N369" s="23">
        <f>IF(M369="Win",IF(F369="Bet",(I369-1)*K369,K369),IF(M369="Loss",IF(F369="Bet",-K369,-(I369-1)*K369),IF(M369="Void",0,"")))</f>
        <v/>
      </c>
      <c r="O369" s="24">
        <f>IF(OR(M369="Win",M369="Loss"),IF(F369="Bet",K369,(I369-1)*K369),"")</f>
        <v/>
      </c>
    </row>
    <row r="370">
      <c r="A370" s="37" t="n">
        <v>46285</v>
      </c>
      <c r="B370" s="38" t="inlineStr">
        <is>
          <t>Nowra</t>
        </is>
      </c>
      <c r="C370" s="15" t="n">
        <v>4</v>
      </c>
      <c r="D370" s="15" t="n">
        <v>5</v>
      </c>
      <c r="E370" s="14" t="inlineStr">
        <is>
          <t>Snap Decision</t>
        </is>
      </c>
      <c r="F370" s="43" t="inlineStr">
        <is>
          <t>Lay</t>
        </is>
      </c>
      <c r="G370" s="47" t="inlineStr">
        <is>
          <t>Lay</t>
        </is>
      </c>
      <c r="H370" s="41" t="n">
        <v>5.2</v>
      </c>
      <c r="I370" s="41" t="n">
        <v>3.7</v>
      </c>
      <c r="J370" s="16" t="n">
        <v>-0.0775</v>
      </c>
      <c r="K370" s="42" t="n">
        <v>1</v>
      </c>
      <c r="L370" s="15" t="n">
        <v>1</v>
      </c>
      <c r="M370" s="43" t="inlineStr">
        <is>
          <t>Loss</t>
        </is>
      </c>
      <c r="N370" s="17">
        <f>IF(M370="Win",IF(F370="Bet",(I370-1)*K370,K370),IF(M370="Loss",IF(F370="Bet",-K370,-(I370-1)*K370),IF(M370="Void",0,"")))</f>
        <v/>
      </c>
      <c r="O370" s="18">
        <f>IF(OR(M370="Win",M370="Loss"),IF(F370="Bet",K370,(I370-1)*K370),"")</f>
        <v/>
      </c>
    </row>
    <row r="371">
      <c r="A371" s="44" t="n">
        <v>46285</v>
      </c>
      <c r="B371" s="45" t="inlineStr">
        <is>
          <t>Sunshine Coast</t>
        </is>
      </c>
      <c r="C371" s="21" t="n">
        <v>4</v>
      </c>
      <c r="D371" s="21" t="n">
        <v>5</v>
      </c>
      <c r="E371" s="20" t="inlineStr">
        <is>
          <t>Sir Goldalot</t>
        </is>
      </c>
      <c r="F371" s="46" t="inlineStr">
        <is>
          <t>Lay</t>
        </is>
      </c>
      <c r="G371" s="47" t="inlineStr">
        <is>
          <t>Lay</t>
        </is>
      </c>
      <c r="H371" s="48" t="n">
        <v>6.4</v>
      </c>
      <c r="I371" s="48" t="n">
        <v>4.3</v>
      </c>
      <c r="J371" s="22" t="n">
        <v>-0.06660000000000001</v>
      </c>
      <c r="K371" s="49" t="n">
        <v>1</v>
      </c>
      <c r="L371" s="21" t="n">
        <v>3</v>
      </c>
      <c r="M371" s="50" t="inlineStr">
        <is>
          <t>Win</t>
        </is>
      </c>
      <c r="N371" s="23">
        <f>IF(M371="Win",IF(F371="Bet",(I371-1)*K371,K371),IF(M371="Loss",IF(F371="Bet",-K371,-(I371-1)*K371),IF(M371="Void",0,"")))</f>
        <v/>
      </c>
      <c r="O371" s="24">
        <f>IF(OR(M371="Win",M371="Loss"),IF(F371="Bet",K371,(I371-1)*K371),"")</f>
        <v/>
      </c>
    </row>
    <row r="372">
      <c r="A372" s="37" t="n">
        <v>46285</v>
      </c>
      <c r="B372" s="38" t="inlineStr">
        <is>
          <t>Alice Springs</t>
        </is>
      </c>
      <c r="C372" s="15" t="n">
        <v>2</v>
      </c>
      <c r="D372" s="15" t="n">
        <v>5</v>
      </c>
      <c r="E372" s="14" t="inlineStr">
        <is>
          <t>Tellez</t>
        </is>
      </c>
      <c r="F372" s="43" t="inlineStr">
        <is>
          <t>Lay</t>
        </is>
      </c>
      <c r="G372" s="47" t="inlineStr">
        <is>
          <t>Lay</t>
        </is>
      </c>
      <c r="H372" s="41" t="n">
        <v>7.2</v>
      </c>
      <c r="I372" s="41" t="n">
        <v>4.88</v>
      </c>
      <c r="J372" s="16" t="n">
        <v>-0.0611</v>
      </c>
      <c r="K372" s="42" t="n">
        <v>1</v>
      </c>
      <c r="L372" s="15" t="n">
        <v>2</v>
      </c>
      <c r="M372" s="51" t="inlineStr">
        <is>
          <t>Win</t>
        </is>
      </c>
      <c r="N372" s="17">
        <f>IF(M372="Win",IF(F372="Bet",(I372-1)*K372,K372),IF(M372="Loss",IF(F372="Bet",-K372,-(I372-1)*K372),IF(M372="Void",0,"")))</f>
        <v/>
      </c>
      <c r="O372" s="18">
        <f>IF(OR(M372="Win",M372="Loss"),IF(F372="Bet",K372,(I372-1)*K372),"")</f>
        <v/>
      </c>
    </row>
    <row r="373">
      <c r="A373" s="44" t="n">
        <v>46285</v>
      </c>
      <c r="B373" s="45" t="inlineStr">
        <is>
          <t>Alice Springs</t>
        </is>
      </c>
      <c r="C373" s="21" t="n">
        <v>3</v>
      </c>
      <c r="D373" s="21" t="n">
        <v>2</v>
      </c>
      <c r="E373" s="20" t="inlineStr">
        <is>
          <t>Mummsie</t>
        </is>
      </c>
      <c r="F373" s="46" t="inlineStr">
        <is>
          <t>Lay</t>
        </is>
      </c>
      <c r="G373" s="47" t="inlineStr">
        <is>
          <t>Lay</t>
        </is>
      </c>
      <c r="H373" s="48" t="n">
        <v>3.1</v>
      </c>
      <c r="I373" s="48" t="n">
        <v>2.4</v>
      </c>
      <c r="J373" s="22" t="n">
        <v>-0.0633</v>
      </c>
      <c r="K373" s="49" t="n">
        <v>1</v>
      </c>
      <c r="L373" s="21" t="n">
        <v>1</v>
      </c>
      <c r="M373" s="46" t="inlineStr">
        <is>
          <t>Loss</t>
        </is>
      </c>
      <c r="N373" s="23">
        <f>IF(M373="Win",IF(F373="Bet",(I373-1)*K373,K373),IF(M373="Loss",IF(F373="Bet",-K373,-(I373-1)*K373),IF(M373="Void",0,"")))</f>
        <v/>
      </c>
      <c r="O373" s="24">
        <f>IF(OR(M373="Win",M373="Loss"),IF(F373="Bet",K373,(I373-1)*K373),"")</f>
        <v/>
      </c>
    </row>
    <row r="374">
      <c r="A374" s="37" t="n">
        <v>46285</v>
      </c>
      <c r="B374" s="38" t="inlineStr">
        <is>
          <t>Sunshine Coast</t>
        </is>
      </c>
      <c r="C374" s="15" t="n">
        <v>6</v>
      </c>
      <c r="D374" s="15" t="n">
        <v>3</v>
      </c>
      <c r="E374" s="14" t="inlineStr">
        <is>
          <t>Gambler</t>
        </is>
      </c>
      <c r="F374" s="43" t="inlineStr">
        <is>
          <t>Lay</t>
        </is>
      </c>
      <c r="G374" s="47" t="inlineStr">
        <is>
          <t>Lay</t>
        </is>
      </c>
      <c r="H374" s="41" t="n">
        <v>6.2</v>
      </c>
      <c r="I374" s="41" t="n">
        <v>3.7</v>
      </c>
      <c r="J374" s="16" t="n">
        <v>-0.0989</v>
      </c>
      <c r="K374" s="42" t="n">
        <v>1</v>
      </c>
      <c r="L374" s="15" t="n">
        <v>1</v>
      </c>
      <c r="M374" s="43" t="inlineStr">
        <is>
          <t>Loss</t>
        </is>
      </c>
      <c r="N374" s="17">
        <f>IF(M374="Win",IF(F374="Bet",(I374-1)*K374,K374),IF(M374="Loss",IF(F374="Bet",-K374,-(I374-1)*K374),IF(M374="Void",0,"")))</f>
        <v/>
      </c>
      <c r="O374" s="18">
        <f>IF(OR(M374="Win",M374="Loss"),IF(F374="Bet",K374,(I374-1)*K374),"")</f>
        <v/>
      </c>
    </row>
    <row r="375">
      <c r="A375" s="44" t="n">
        <v>46285</v>
      </c>
      <c r="B375" s="45" t="inlineStr">
        <is>
          <t>Bairnsdale</t>
        </is>
      </c>
      <c r="C375" s="21" t="n">
        <v>5</v>
      </c>
      <c r="D375" s="21" t="n">
        <v>10</v>
      </c>
      <c r="E375" s="20" t="inlineStr">
        <is>
          <t>Discobay</t>
        </is>
      </c>
      <c r="F375" s="52" t="inlineStr">
        <is>
          <t>Bet</t>
        </is>
      </c>
      <c r="G375" s="40" t="inlineStr">
        <is>
          <t>Bet</t>
        </is>
      </c>
      <c r="H375" s="48" t="n">
        <v>9</v>
      </c>
      <c r="I375" s="48" t="n">
        <v>11</v>
      </c>
      <c r="J375" s="22" t="n">
        <v>0.0207</v>
      </c>
      <c r="K375" s="49" t="n">
        <v>1</v>
      </c>
      <c r="L375" s="21" t="n">
        <v>4</v>
      </c>
      <c r="M375" s="46" t="inlineStr">
        <is>
          <t>Loss</t>
        </is>
      </c>
      <c r="N375" s="23">
        <f>IF(M375="Win",IF(F375="Bet",(I375-1)*K375,K375),IF(M375="Loss",IF(F375="Bet",-K375,-(I375-1)*K375),IF(M375="Void",0,"")))</f>
        <v/>
      </c>
      <c r="O375" s="24">
        <f>IF(OR(M375="Win",M375="Loss"),IF(F375="Bet",K375,(I375-1)*K375),"")</f>
        <v/>
      </c>
    </row>
    <row r="376">
      <c r="A376" s="37" t="n">
        <v>46285</v>
      </c>
      <c r="B376" s="38" t="inlineStr">
        <is>
          <t>Armidale</t>
        </is>
      </c>
      <c r="C376" s="15" t="n">
        <v>6</v>
      </c>
      <c r="D376" s="15" t="n">
        <v>9</v>
      </c>
      <c r="E376" s="14" t="inlineStr">
        <is>
          <t>Tralee</t>
        </is>
      </c>
      <c r="F376" s="43" t="inlineStr">
        <is>
          <t>Lay</t>
        </is>
      </c>
      <c r="G376" s="47" t="inlineStr">
        <is>
          <t>Lay</t>
        </is>
      </c>
      <c r="H376" s="41" t="n">
        <v>9.300000000000001</v>
      </c>
      <c r="I376" s="41" t="n">
        <v>5.7</v>
      </c>
      <c r="J376" s="16" t="n">
        <v>-0.0677</v>
      </c>
      <c r="K376" s="42" t="n">
        <v>1</v>
      </c>
      <c r="L376" s="15" t="n">
        <v>1</v>
      </c>
      <c r="M376" s="43" t="inlineStr">
        <is>
          <t>Loss</t>
        </is>
      </c>
      <c r="N376" s="17">
        <f>IF(M376="Win",IF(F376="Bet",(I376-1)*K376,K376),IF(M376="Loss",IF(F376="Bet",-K376,-(I376-1)*K376),IF(M376="Void",0,"")))</f>
        <v/>
      </c>
      <c r="O376" s="18">
        <f>IF(OR(M376="Win",M376="Loss"),IF(F376="Bet",K376,(I376-1)*K376),"")</f>
        <v/>
      </c>
    </row>
    <row r="377">
      <c r="A377" s="44" t="n">
        <v>46285</v>
      </c>
      <c r="B377" s="45" t="inlineStr">
        <is>
          <t>Bairnsdale</t>
        </is>
      </c>
      <c r="C377" s="21" t="n">
        <v>6</v>
      </c>
      <c r="D377" s="21" t="n">
        <v>10</v>
      </c>
      <c r="E377" s="20" t="inlineStr">
        <is>
          <t>Dane On Tour</t>
        </is>
      </c>
      <c r="F377" s="46" t="inlineStr">
        <is>
          <t>Lay</t>
        </is>
      </c>
      <c r="G377" s="47" t="inlineStr">
        <is>
          <t>Lay</t>
        </is>
      </c>
      <c r="H377" s="48" t="n">
        <v>5.1</v>
      </c>
      <c r="I377" s="48" t="n">
        <v>3.75</v>
      </c>
      <c r="J377" s="22" t="n">
        <v>-0.0633</v>
      </c>
      <c r="K377" s="49" t="n">
        <v>1</v>
      </c>
      <c r="L377" s="21" t="n">
        <v>1</v>
      </c>
      <c r="M377" s="46" t="inlineStr">
        <is>
          <t>Loss</t>
        </is>
      </c>
      <c r="N377" s="23">
        <f>IF(M377="Win",IF(F377="Bet",(I377-1)*K377,K377),IF(M377="Loss",IF(F377="Bet",-K377,-(I377-1)*K377),IF(M377="Void",0,"")))</f>
        <v/>
      </c>
      <c r="O377" s="24">
        <f>IF(OR(M377="Win",M377="Loss"),IF(F377="Bet",K377,(I377-1)*K377),"")</f>
        <v/>
      </c>
    </row>
    <row r="378">
      <c r="A378" s="37" t="n">
        <v>46285</v>
      </c>
      <c r="B378" s="38" t="inlineStr">
        <is>
          <t>Sunshine Coast</t>
        </is>
      </c>
      <c r="C378" s="15" t="n">
        <v>7</v>
      </c>
      <c r="D378" s="15" t="n">
        <v>9</v>
      </c>
      <c r="E378" s="14" t="inlineStr">
        <is>
          <t>Smoke On The Water</t>
        </is>
      </c>
      <c r="F378" s="43" t="inlineStr">
        <is>
          <t>Lay</t>
        </is>
      </c>
      <c r="G378" s="47" t="inlineStr">
        <is>
          <t>Lay</t>
        </is>
      </c>
      <c r="H378" s="41" t="n">
        <v>7.2</v>
      </c>
      <c r="I378" s="41" t="n">
        <v>3.25</v>
      </c>
      <c r="J378" s="16" t="n">
        <v>-0.0653</v>
      </c>
      <c r="K378" s="42" t="n">
        <v>1</v>
      </c>
      <c r="L378" s="15" t="n">
        <v>1</v>
      </c>
      <c r="M378" s="43" t="inlineStr">
        <is>
          <t>Loss</t>
        </is>
      </c>
      <c r="N378" s="17">
        <f>IF(M378="Win",IF(F378="Bet",(I378-1)*K378,K378),IF(M378="Loss",IF(F378="Bet",-K378,-(I378-1)*K378),IF(M378="Void",0,"")))</f>
        <v/>
      </c>
      <c r="O378" s="18">
        <f>IF(OR(M378="Win",M378="Loss"),IF(F378="Bet",K378,(I378-1)*K378),"")</f>
        <v/>
      </c>
    </row>
    <row r="379">
      <c r="A379" s="44" t="n">
        <v>46285</v>
      </c>
      <c r="B379" s="45" t="inlineStr">
        <is>
          <t>Mount Gambier</t>
        </is>
      </c>
      <c r="C379" s="21" t="n">
        <v>5</v>
      </c>
      <c r="D379" s="21" t="n">
        <v>6</v>
      </c>
      <c r="E379" s="20" t="inlineStr">
        <is>
          <t>Salsbury Hill</t>
        </is>
      </c>
      <c r="F379" s="52" t="inlineStr">
        <is>
          <t>Bet</t>
        </is>
      </c>
      <c r="G379" s="40" t="inlineStr">
        <is>
          <t>Bet</t>
        </is>
      </c>
      <c r="H379" s="48" t="n">
        <v>9.6</v>
      </c>
      <c r="I379" s="48" t="n">
        <v>15</v>
      </c>
      <c r="J379" s="22" t="n">
        <v>0.0204</v>
      </c>
      <c r="K379" s="49" t="n">
        <v>1</v>
      </c>
      <c r="L379" s="21" t="n">
        <v>5</v>
      </c>
      <c r="M379" s="46" t="inlineStr">
        <is>
          <t>Loss</t>
        </is>
      </c>
      <c r="N379" s="23">
        <f>IF(M379="Win",IF(F379="Bet",(I379-1)*K379,K379),IF(M379="Loss",IF(F379="Bet",-K379,-(I379-1)*K379),IF(M379="Void",0,"")))</f>
        <v/>
      </c>
      <c r="O379" s="24">
        <f>IF(OR(M379="Win",M379="Loss"),IF(F379="Bet",K379,(I379-1)*K379),"")</f>
        <v/>
      </c>
    </row>
    <row r="380">
      <c r="A380" s="37" t="n">
        <v>46285</v>
      </c>
      <c r="B380" s="38" t="inlineStr">
        <is>
          <t>Mount Gambier</t>
        </is>
      </c>
      <c r="C380" s="15" t="n">
        <v>6</v>
      </c>
      <c r="D380" s="15" t="n">
        <v>1</v>
      </c>
      <c r="E380" s="14" t="inlineStr">
        <is>
          <t>Farag</t>
        </is>
      </c>
      <c r="F380" s="39" t="inlineStr">
        <is>
          <t>Bet</t>
        </is>
      </c>
      <c r="G380" s="40" t="inlineStr">
        <is>
          <t>Bet</t>
        </is>
      </c>
      <c r="H380" s="41" t="n">
        <v>10.3</v>
      </c>
      <c r="I380" s="41" t="n">
        <v>13</v>
      </c>
      <c r="J380" s="16" t="n">
        <v>0.02</v>
      </c>
      <c r="K380" s="42" t="n">
        <v>1</v>
      </c>
      <c r="L380" s="15" t="n">
        <v>6</v>
      </c>
      <c r="M380" s="43" t="inlineStr">
        <is>
          <t>Loss</t>
        </is>
      </c>
      <c r="N380" s="17">
        <f>IF(M380="Win",IF(F380="Bet",(I380-1)*K380,K380),IF(M380="Loss",IF(F380="Bet",-K380,-(I380-1)*K380),IF(M380="Void",0,"")))</f>
        <v/>
      </c>
      <c r="O380" s="18">
        <f>IF(OR(M380="Win",M380="Loss"),IF(F380="Bet",K380,(I380-1)*K380),"")</f>
        <v/>
      </c>
    </row>
    <row r="381">
      <c r="A381" s="44" t="n">
        <v>46285</v>
      </c>
      <c r="B381" s="45" t="inlineStr">
        <is>
          <t>Kalgoorlie</t>
        </is>
      </c>
      <c r="C381" s="21" t="n">
        <v>4</v>
      </c>
      <c r="D381" s="21" t="n">
        <v>3</v>
      </c>
      <c r="E381" s="20" t="inlineStr">
        <is>
          <t>Pancho's Place</t>
        </is>
      </c>
      <c r="F381" s="46" t="inlineStr">
        <is>
          <t>Lay</t>
        </is>
      </c>
      <c r="G381" s="47" t="inlineStr">
        <is>
          <t>Lay</t>
        </is>
      </c>
      <c r="H381" s="48" t="n">
        <v>10.1</v>
      </c>
      <c r="I381" s="48" t="n">
        <v>6.2</v>
      </c>
      <c r="J381" s="22" t="n">
        <v>-0.0621</v>
      </c>
      <c r="K381" s="49" t="n">
        <v>1</v>
      </c>
      <c r="L381" s="21" t="n">
        <v>8</v>
      </c>
      <c r="M381" s="50" t="inlineStr">
        <is>
          <t>Win</t>
        </is>
      </c>
      <c r="N381" s="23">
        <f>IF(M381="Win",IF(F381="Bet",(I381-1)*K381,K381),IF(M381="Loss",IF(F381="Bet",-K381,-(I381-1)*K381),IF(M381="Void",0,"")))</f>
        <v/>
      </c>
      <c r="O381" s="24">
        <f>IF(OR(M381="Win",M381="Loss"),IF(F381="Bet",K381,(I381-1)*K381),"")</f>
        <v/>
      </c>
    </row>
    <row r="382">
      <c r="A382" s="37" t="n">
        <v>46285</v>
      </c>
      <c r="B382" s="38" t="inlineStr">
        <is>
          <t>Nowra</t>
        </is>
      </c>
      <c r="C382" s="15" t="n">
        <v>7</v>
      </c>
      <c r="D382" s="15" t="n">
        <v>4</v>
      </c>
      <c r="E382" s="14" t="inlineStr">
        <is>
          <t>Superata</t>
        </is>
      </c>
      <c r="F382" s="43" t="inlineStr">
        <is>
          <t>Lay</t>
        </is>
      </c>
      <c r="G382" s="47" t="inlineStr">
        <is>
          <t>Lay</t>
        </is>
      </c>
      <c r="H382" s="41" t="n">
        <v>4.9</v>
      </c>
      <c r="I382" s="41" t="n">
        <v>2.75</v>
      </c>
      <c r="J382" s="16" t="n">
        <v>-0.0664</v>
      </c>
      <c r="K382" s="42" t="n">
        <v>1</v>
      </c>
      <c r="L382" s="15" t="n">
        <v>1</v>
      </c>
      <c r="M382" s="43" t="inlineStr">
        <is>
          <t>Loss</t>
        </is>
      </c>
      <c r="N382" s="17">
        <f>IF(M382="Win",IF(F382="Bet",(I382-1)*K382,K382),IF(M382="Loss",IF(F382="Bet",-K382,-(I382-1)*K382),IF(M382="Void",0,"")))</f>
        <v/>
      </c>
      <c r="O382" s="18">
        <f>IF(OR(M382="Win",M382="Loss"),IF(F382="Bet",K382,(I382-1)*K382),"")</f>
        <v/>
      </c>
    </row>
    <row r="383">
      <c r="A383" s="44" t="n">
        <v>46286</v>
      </c>
      <c r="B383" s="45" t="inlineStr">
        <is>
          <t>Narromine</t>
        </is>
      </c>
      <c r="C383" s="21" t="n">
        <v>7</v>
      </c>
      <c r="D383" s="21" t="n">
        <v>11</v>
      </c>
      <c r="E383" s="20" t="inlineStr">
        <is>
          <t>I'm A Beaut</t>
        </is>
      </c>
      <c r="F383" s="46" t="inlineStr">
        <is>
          <t>Lay</t>
        </is>
      </c>
      <c r="G383" s="47" t="inlineStr">
        <is>
          <t>Lay</t>
        </is>
      </c>
      <c r="H383" s="48" t="n">
        <v>4.6</v>
      </c>
      <c r="I383" s="48" t="n">
        <v>3.5</v>
      </c>
      <c r="J383" s="22" t="n">
        <v>-0.068</v>
      </c>
      <c r="K383" s="49" t="n">
        <v>1</v>
      </c>
      <c r="L383" s="21" t="n">
        <v>7</v>
      </c>
      <c r="M383" s="50" t="inlineStr">
        <is>
          <t>Win</t>
        </is>
      </c>
      <c r="N383" s="23">
        <f>IF(M383="Win",IF(F383="Bet",(I383-1)*K383,K383),IF(M383="Loss",IF(F383="Bet",-K383,-(I383-1)*K383),IF(M383="Void",0,"")))</f>
        <v/>
      </c>
      <c r="O383" s="24">
        <f>IF(OR(M383="Win",M383="Loss"),IF(F383="Bet",K383,(I383-1)*K383),"")</f>
        <v/>
      </c>
    </row>
    <row r="384">
      <c r="A384" s="37" t="n">
        <v>46286</v>
      </c>
      <c r="B384" s="38" t="inlineStr">
        <is>
          <t>Warrnambool</t>
        </is>
      </c>
      <c r="C384" s="15" t="n">
        <v>1</v>
      </c>
      <c r="D384" s="15" t="n">
        <v>10</v>
      </c>
      <c r="E384" s="14" t="inlineStr">
        <is>
          <t>King Snitz</t>
        </is>
      </c>
      <c r="F384" s="43" t="inlineStr">
        <is>
          <t>Lay</t>
        </is>
      </c>
      <c r="G384" s="47" t="inlineStr">
        <is>
          <t>Lay</t>
        </is>
      </c>
      <c r="H384" s="41" t="n">
        <v>2.2</v>
      </c>
      <c r="I384" s="41" t="n">
        <v>1.72</v>
      </c>
      <c r="J384" s="16" t="n">
        <v>-0.0747</v>
      </c>
      <c r="K384" s="42" t="n">
        <v>1</v>
      </c>
      <c r="L384" s="15" t="n">
        <v>1</v>
      </c>
      <c r="M384" s="43" t="inlineStr">
        <is>
          <t>Loss</t>
        </is>
      </c>
      <c r="N384" s="17">
        <f>IF(M384="Win",IF(F384="Bet",(I384-1)*K384,K384),IF(M384="Loss",IF(F384="Bet",-K384,-(I384-1)*K384),IF(M384="Void",0,"")))</f>
        <v/>
      </c>
      <c r="O384" s="18">
        <f>IF(OR(M384="Win",M384="Loss"),IF(F384="Bet",K384,(I384-1)*K384),"")</f>
        <v/>
      </c>
    </row>
    <row r="385">
      <c r="A385" s="44" t="n">
        <v>46286</v>
      </c>
      <c r="B385" s="45" t="inlineStr">
        <is>
          <t>Narromine</t>
        </is>
      </c>
      <c r="C385" s="21" t="n">
        <v>3</v>
      </c>
      <c r="D385" s="21" t="n">
        <v>4</v>
      </c>
      <c r="E385" s="20" t="inlineStr">
        <is>
          <t>The Beast</t>
        </is>
      </c>
      <c r="F385" s="52" t="inlineStr">
        <is>
          <t>Bet</t>
        </is>
      </c>
      <c r="G385" s="53" t="inlineStr">
        <is>
          <t>Prime</t>
        </is>
      </c>
      <c r="H385" s="48" t="n">
        <v>3.3</v>
      </c>
      <c r="I385" s="48" t="n">
        <v>3.7</v>
      </c>
      <c r="J385" s="22" t="n">
        <v>0.0286</v>
      </c>
      <c r="K385" s="49" t="n">
        <v>1</v>
      </c>
      <c r="L385" s="21" t="n">
        <v>2</v>
      </c>
      <c r="M385" s="46" t="inlineStr">
        <is>
          <t>Loss</t>
        </is>
      </c>
      <c r="N385" s="23">
        <f>IF(M385="Win",IF(F385="Bet",(I385-1)*K385,K385),IF(M385="Loss",IF(F385="Bet",-K385,-(I385-1)*K385),IF(M385="Void",0,"")))</f>
        <v/>
      </c>
      <c r="O385" s="24">
        <f>IF(OR(M385="Win",M385="Loss"),IF(F385="Bet",K385,(I385-1)*K385),"")</f>
        <v/>
      </c>
    </row>
    <row r="386">
      <c r="A386" s="37" t="n">
        <v>46286</v>
      </c>
      <c r="B386" s="38" t="inlineStr">
        <is>
          <t>Warrnambool</t>
        </is>
      </c>
      <c r="C386" s="15" t="n">
        <v>5</v>
      </c>
      <c r="D386" s="15" t="n">
        <v>6</v>
      </c>
      <c r="E386" s="14" t="inlineStr">
        <is>
          <t>Russian Into It</t>
        </is>
      </c>
      <c r="F386" s="43" t="inlineStr">
        <is>
          <t>Lay</t>
        </is>
      </c>
      <c r="G386" s="47" t="inlineStr">
        <is>
          <t>Lay</t>
        </is>
      </c>
      <c r="H386" s="41" t="n">
        <v>7.3</v>
      </c>
      <c r="I386" s="41" t="n">
        <v>4.7</v>
      </c>
      <c r="J386" s="16" t="n">
        <v>-0.0766</v>
      </c>
      <c r="K386" s="42" t="n">
        <v>1</v>
      </c>
      <c r="L386" s="15" t="n">
        <v>10</v>
      </c>
      <c r="M386" s="51" t="inlineStr">
        <is>
          <t>Win</t>
        </is>
      </c>
      <c r="N386" s="17">
        <f>IF(M386="Win",IF(F386="Bet",(I386-1)*K386,K386),IF(M386="Loss",IF(F386="Bet",-K386,-(I386-1)*K386),IF(M386="Void",0,"")))</f>
        <v/>
      </c>
      <c r="O386" s="18">
        <f>IF(OR(M386="Win",M386="Loss"),IF(F386="Bet",K386,(I386-1)*K386),"")</f>
        <v/>
      </c>
    </row>
    <row r="387">
      <c r="A387" s="44" t="n">
        <v>46286</v>
      </c>
      <c r="B387" s="45" t="inlineStr">
        <is>
          <t>Warrnambool</t>
        </is>
      </c>
      <c r="C387" s="21" t="n">
        <v>3</v>
      </c>
      <c r="D387" s="21" t="n">
        <v>1</v>
      </c>
      <c r="E387" s="20" t="inlineStr">
        <is>
          <t>Big Vee</t>
        </is>
      </c>
      <c r="F387" s="46" t="inlineStr">
        <is>
          <t>Lay</t>
        </is>
      </c>
      <c r="G387" s="47" t="inlineStr">
        <is>
          <t>Lay</t>
        </is>
      </c>
      <c r="H387" s="48" t="n">
        <v>3</v>
      </c>
      <c r="I387" s="48" t="n">
        <v>2.5</v>
      </c>
      <c r="J387" s="22" t="n">
        <v>-0.0669</v>
      </c>
      <c r="K387" s="49" t="n">
        <v>1</v>
      </c>
      <c r="L387" s="21" t="n">
        <v>3</v>
      </c>
      <c r="M387" s="50" t="inlineStr">
        <is>
          <t>Win</t>
        </is>
      </c>
      <c r="N387" s="23">
        <f>IF(M387="Win",IF(F387="Bet",(I387-1)*K387,K387),IF(M387="Loss",IF(F387="Bet",-K387,-(I387-1)*K387),IF(M387="Void",0,"")))</f>
        <v/>
      </c>
      <c r="O387" s="24">
        <f>IF(OR(M387="Win",M387="Loss"),IF(F387="Bet",K387,(I387-1)*K387),"")</f>
        <v/>
      </c>
    </row>
    <row r="388">
      <c r="A388" s="37" t="n">
        <v>46286</v>
      </c>
      <c r="B388" s="38" t="inlineStr">
        <is>
          <t>Warrnambool</t>
        </is>
      </c>
      <c r="C388" s="15" t="n">
        <v>4</v>
      </c>
      <c r="D388" s="15" t="n">
        <v>2</v>
      </c>
      <c r="E388" s="14" t="inlineStr">
        <is>
          <t>It's A Yes</t>
        </is>
      </c>
      <c r="F388" s="39" t="inlineStr">
        <is>
          <t>Bet</t>
        </is>
      </c>
      <c r="G388" s="53" t="inlineStr">
        <is>
          <t>Prime</t>
        </is>
      </c>
      <c r="H388" s="41" t="n">
        <v>2.15</v>
      </c>
      <c r="I388" s="41" t="n">
        <v>2.22</v>
      </c>
      <c r="J388" s="16" t="n">
        <v>-0.0012</v>
      </c>
      <c r="K388" s="42" t="n">
        <v>1</v>
      </c>
      <c r="L388" s="15" t="n">
        <v>2</v>
      </c>
      <c r="M388" s="43" t="inlineStr">
        <is>
          <t>Loss</t>
        </is>
      </c>
      <c r="N388" s="17">
        <f>IF(M388="Win",IF(F388="Bet",(I388-1)*K388,K388),IF(M388="Loss",IF(F388="Bet",-K388,-(I388-1)*K388),IF(M388="Void",0,"")))</f>
        <v/>
      </c>
      <c r="O388" s="18">
        <f>IF(OR(M388="Win",M388="Loss"),IF(F388="Bet",K388,(I388-1)*K388),"")</f>
        <v/>
      </c>
    </row>
    <row r="389">
      <c r="A389" s="44" t="n">
        <v>46286</v>
      </c>
      <c r="B389" s="45" t="inlineStr">
        <is>
          <t>Warrnambool</t>
        </is>
      </c>
      <c r="C389" s="21" t="n">
        <v>7</v>
      </c>
      <c r="D389" s="21" t="n">
        <v>2</v>
      </c>
      <c r="E389" s="20" t="inlineStr">
        <is>
          <t>Magnetic Chess</t>
        </is>
      </c>
      <c r="F389" s="52" t="inlineStr">
        <is>
          <t>Bet</t>
        </is>
      </c>
      <c r="G389" s="40" t="inlineStr">
        <is>
          <t>Bet</t>
        </is>
      </c>
      <c r="H389" s="48" t="n">
        <v>2.6</v>
      </c>
      <c r="I389" s="48" t="n">
        <v>2.4</v>
      </c>
      <c r="J389" s="22" t="n">
        <v>-0.0482</v>
      </c>
      <c r="K389" s="49" t="n">
        <v>1</v>
      </c>
      <c r="L389" s="21" t="n">
        <v>8</v>
      </c>
      <c r="M389" s="46" t="inlineStr">
        <is>
          <t>Loss</t>
        </is>
      </c>
      <c r="N389" s="23">
        <f>IF(M389="Win",IF(F389="Bet",(I389-1)*K389,K389),IF(M389="Loss",IF(F389="Bet",-K389,-(I389-1)*K389),IF(M389="Void",0,"")))</f>
        <v/>
      </c>
      <c r="O389" s="24">
        <f>IF(OR(M389="Win",M389="Loss"),IF(F389="Bet",K389,(I389-1)*K389),"")</f>
        <v/>
      </c>
    </row>
    <row r="390">
      <c r="A390" s="37" t="n">
        <v>46286</v>
      </c>
      <c r="B390" s="38" t="inlineStr">
        <is>
          <t>Grafton</t>
        </is>
      </c>
      <c r="C390" s="15" t="n">
        <v>5</v>
      </c>
      <c r="D390" s="15" t="n">
        <v>9</v>
      </c>
      <c r="E390" s="14" t="inlineStr">
        <is>
          <t>Lord Protector</t>
        </is>
      </c>
      <c r="F390" s="39" t="inlineStr">
        <is>
          <t>Bet</t>
        </is>
      </c>
      <c r="G390" s="53" t="inlineStr">
        <is>
          <t>Prime</t>
        </is>
      </c>
      <c r="H390" s="41" t="n">
        <v>3.5</v>
      </c>
      <c r="I390" s="41" t="n">
        <v>3.3</v>
      </c>
      <c r="J390" s="16" t="n">
        <v>-0.0269</v>
      </c>
      <c r="K390" s="42" t="n">
        <v>1</v>
      </c>
      <c r="L390" s="15" t="n">
        <v>4</v>
      </c>
      <c r="M390" s="43" t="inlineStr">
        <is>
          <t>Loss</t>
        </is>
      </c>
      <c r="N390" s="17">
        <f>IF(M390="Win",IF(F390="Bet",(I390-1)*K390,K390),IF(M390="Loss",IF(F390="Bet",-K390,-(I390-1)*K390),IF(M390="Void",0,"")))</f>
        <v/>
      </c>
      <c r="O390" s="18">
        <f>IF(OR(M390="Win",M390="Loss"),IF(F390="Bet",K390,(I390-1)*K390),"")</f>
        <v/>
      </c>
    </row>
    <row r="391">
      <c r="A391" s="44" t="n">
        <v>46286</v>
      </c>
      <c r="B391" s="45" t="inlineStr">
        <is>
          <t>Narromine</t>
        </is>
      </c>
      <c r="C391" s="21" t="n">
        <v>3</v>
      </c>
      <c r="D391" s="21" t="n">
        <v>3</v>
      </c>
      <c r="E391" s="20" t="inlineStr">
        <is>
          <t>Sutton Storm</t>
        </is>
      </c>
      <c r="F391" s="46" t="inlineStr">
        <is>
          <t>Lay</t>
        </is>
      </c>
      <c r="G391" s="47" t="inlineStr">
        <is>
          <t>Lay</t>
        </is>
      </c>
      <c r="H391" s="48" t="n">
        <v>5</v>
      </c>
      <c r="I391" s="48" t="n">
        <v>3.8</v>
      </c>
      <c r="J391" s="22" t="n">
        <v>-0.0645</v>
      </c>
      <c r="K391" s="49" t="n">
        <v>1</v>
      </c>
      <c r="L391" s="21" t="n">
        <v>1</v>
      </c>
      <c r="M391" s="46" t="inlineStr">
        <is>
          <t>Loss</t>
        </is>
      </c>
      <c r="N391" s="23">
        <f>IF(M391="Win",IF(F391="Bet",(I391-1)*K391,K391),IF(M391="Loss",IF(F391="Bet",-K391,-(I391-1)*K391),IF(M391="Void",0,"")))</f>
        <v/>
      </c>
      <c r="O391" s="24">
        <f>IF(OR(M391="Win",M391="Loss"),IF(F391="Bet",K391,(I391-1)*K391),"")</f>
        <v/>
      </c>
    </row>
    <row r="392">
      <c r="A392" s="37" t="n">
        <v>46286</v>
      </c>
      <c r="B392" s="38" t="inlineStr">
        <is>
          <t>Grafton</t>
        </is>
      </c>
      <c r="C392" s="15" t="n">
        <v>7</v>
      </c>
      <c r="D392" s="15" t="n">
        <v>1</v>
      </c>
      <c r="E392" s="14" t="inlineStr">
        <is>
          <t>Referees</t>
        </is>
      </c>
      <c r="F392" s="43" t="inlineStr">
        <is>
          <t>Lay</t>
        </is>
      </c>
      <c r="G392" s="47" t="inlineStr">
        <is>
          <t>Lay</t>
        </is>
      </c>
      <c r="H392" s="41" t="n">
        <v>3.6</v>
      </c>
      <c r="I392" s="41" t="n">
        <v>2.5</v>
      </c>
      <c r="J392" s="16" t="n">
        <v>-0.0814</v>
      </c>
      <c r="K392" s="42" t="n">
        <v>1</v>
      </c>
      <c r="L392" s="15" t="n">
        <v>4</v>
      </c>
      <c r="M392" s="51" t="inlineStr">
        <is>
          <t>Win</t>
        </is>
      </c>
      <c r="N392" s="17">
        <f>IF(M392="Win",IF(F392="Bet",(I392-1)*K392,K392),IF(M392="Loss",IF(F392="Bet",-K392,-(I392-1)*K392),IF(M392="Void",0,"")))</f>
        <v/>
      </c>
      <c r="O392" s="18">
        <f>IF(OR(M392="Win",M392="Loss"),IF(F392="Bet",K392,(I392-1)*K392),"")</f>
        <v/>
      </c>
    </row>
    <row r="393">
      <c r="A393" s="44" t="n">
        <v>46286</v>
      </c>
      <c r="B393" s="45" t="inlineStr">
        <is>
          <t>Narromine</t>
        </is>
      </c>
      <c r="C393" s="21" t="n">
        <v>1</v>
      </c>
      <c r="D393" s="21" t="n">
        <v>12</v>
      </c>
      <c r="E393" s="20" t="inlineStr">
        <is>
          <t>Silver Dream</t>
        </is>
      </c>
      <c r="F393" s="46" t="inlineStr">
        <is>
          <t>Lay</t>
        </is>
      </c>
      <c r="G393" s="47" t="inlineStr">
        <is>
          <t>Lay</t>
        </is>
      </c>
      <c r="H393" s="48" t="n">
        <v>3.2</v>
      </c>
      <c r="I393" s="48" t="n">
        <v>2.38</v>
      </c>
      <c r="J393" s="22" t="n">
        <v>-0.08110000000000001</v>
      </c>
      <c r="K393" s="49" t="n">
        <v>1</v>
      </c>
      <c r="L393" s="21" t="n">
        <v>8</v>
      </c>
      <c r="M393" s="50" t="inlineStr">
        <is>
          <t>Win</t>
        </is>
      </c>
      <c r="N393" s="23">
        <f>IF(M393="Win",IF(F393="Bet",(I393-1)*K393,K393),IF(M393="Loss",IF(F393="Bet",-K393,-(I393-1)*K393),IF(M393="Void",0,"")))</f>
        <v/>
      </c>
      <c r="O393" s="24">
        <f>IF(OR(M393="Win",M393="Loss"),IF(F393="Bet",K393,(I393-1)*K393),"")</f>
        <v/>
      </c>
    </row>
    <row r="394">
      <c r="A394" s="37" t="n">
        <v>46286</v>
      </c>
      <c r="B394" s="38" t="inlineStr">
        <is>
          <t>Warrnambool</t>
        </is>
      </c>
      <c r="C394" s="15" t="n">
        <v>4</v>
      </c>
      <c r="D394" s="15" t="n">
        <v>8</v>
      </c>
      <c r="E394" s="14" t="inlineStr">
        <is>
          <t>Flying Fury</t>
        </is>
      </c>
      <c r="F394" s="43" t="inlineStr">
        <is>
          <t>Lay</t>
        </is>
      </c>
      <c r="G394" s="47" t="inlineStr">
        <is>
          <t>Lay</t>
        </is>
      </c>
      <c r="H394" s="41" t="n">
        <v>5</v>
      </c>
      <c r="I394" s="41" t="n">
        <v>3.8</v>
      </c>
      <c r="J394" s="16" t="n">
        <v>-0.06370000000000001</v>
      </c>
      <c r="K394" s="42" t="n">
        <v>1</v>
      </c>
      <c r="L394" s="15" t="n">
        <v>3</v>
      </c>
      <c r="M394" s="51" t="inlineStr">
        <is>
          <t>Win</t>
        </is>
      </c>
      <c r="N394" s="17">
        <f>IF(M394="Win",IF(F394="Bet",(I394-1)*K394,K394),IF(M394="Loss",IF(F394="Bet",-K394,-(I394-1)*K394),IF(M394="Void",0,"")))</f>
        <v/>
      </c>
      <c r="O394" s="18">
        <f>IF(OR(M394="Win",M394="Loss"),IF(F394="Bet",K394,(I394-1)*K394),"")</f>
        <v/>
      </c>
    </row>
    <row r="395">
      <c r="A395" s="44" t="n">
        <v>46286</v>
      </c>
      <c r="B395" s="45" t="inlineStr">
        <is>
          <t>Grafton</t>
        </is>
      </c>
      <c r="C395" s="21" t="n">
        <v>4</v>
      </c>
      <c r="D395" s="21" t="n">
        <v>4</v>
      </c>
      <c r="E395" s="20" t="inlineStr">
        <is>
          <t>Battle Of Vienna</t>
        </is>
      </c>
      <c r="F395" s="46" t="inlineStr">
        <is>
          <t>Lay</t>
        </is>
      </c>
      <c r="G395" s="47" t="inlineStr">
        <is>
          <t>Lay</t>
        </is>
      </c>
      <c r="H395" s="48" t="n">
        <v>6.3</v>
      </c>
      <c r="I395" s="48" t="n">
        <v>3.98</v>
      </c>
      <c r="J395" s="22" t="n">
        <v>-0.0794</v>
      </c>
      <c r="K395" s="49" t="n">
        <v>1</v>
      </c>
      <c r="L395" s="21" t="n">
        <v>2</v>
      </c>
      <c r="M395" s="50" t="inlineStr">
        <is>
          <t>Win</t>
        </is>
      </c>
      <c r="N395" s="23">
        <f>IF(M395="Win",IF(F395="Bet",(I395-1)*K395,K395),IF(M395="Loss",IF(F395="Bet",-K395,-(I395-1)*K395),IF(M395="Void",0,"")))</f>
        <v/>
      </c>
      <c r="O395" s="24">
        <f>IF(OR(M395="Win",M395="Loss"),IF(F395="Bet",K395,(I395-1)*K395),"")</f>
        <v/>
      </c>
    </row>
    <row r="396">
      <c r="A396" s="37" t="n">
        <v>46286</v>
      </c>
      <c r="B396" s="38" t="inlineStr">
        <is>
          <t>Grafton</t>
        </is>
      </c>
      <c r="C396" s="15" t="n">
        <v>6</v>
      </c>
      <c r="D396" s="15" t="n">
        <v>9</v>
      </c>
      <c r="E396" s="14" t="inlineStr">
        <is>
          <t>Ever So Ready</t>
        </is>
      </c>
      <c r="F396" s="43" t="inlineStr">
        <is>
          <t>Lay</t>
        </is>
      </c>
      <c r="G396" s="47" t="inlineStr">
        <is>
          <t>Lay</t>
        </is>
      </c>
      <c r="H396" s="41" t="n">
        <v>4</v>
      </c>
      <c r="I396" s="41" t="n">
        <v>2.78</v>
      </c>
      <c r="J396" s="16" t="n">
        <v>-0.0617</v>
      </c>
      <c r="K396" s="42" t="n">
        <v>1</v>
      </c>
      <c r="L396" s="15" t="n">
        <v>1</v>
      </c>
      <c r="M396" s="43" t="inlineStr">
        <is>
          <t>Loss</t>
        </is>
      </c>
      <c r="N396" s="17">
        <f>IF(M396="Win",IF(F396="Bet",(I396-1)*K396,K396),IF(M396="Loss",IF(F396="Bet",-K396,-(I396-1)*K396),IF(M396="Void",0,"")))</f>
        <v/>
      </c>
      <c r="O396" s="18">
        <f>IF(OR(M396="Win",M396="Loss"),IF(F396="Bet",K396,(I396-1)*K396),"")</f>
        <v/>
      </c>
    </row>
    <row r="397">
      <c r="A397" s="44" t="n">
        <v>46287</v>
      </c>
      <c r="B397" s="45" t="inlineStr">
        <is>
          <t>Taree</t>
        </is>
      </c>
      <c r="C397" s="21" t="n">
        <v>6</v>
      </c>
      <c r="D397" s="21" t="n">
        <v>8</v>
      </c>
      <c r="E397" s="20" t="inlineStr">
        <is>
          <t>Gemtiki</t>
        </is>
      </c>
      <c r="F397" s="46" t="inlineStr">
        <is>
          <t>Lay</t>
        </is>
      </c>
      <c r="G397" s="47" t="inlineStr">
        <is>
          <t>Lay</t>
        </is>
      </c>
      <c r="H397" s="48" t="n">
        <v>4</v>
      </c>
      <c r="I397" s="48" t="n">
        <v>2.9</v>
      </c>
      <c r="J397" s="22" t="n">
        <v>-0.0752</v>
      </c>
      <c r="K397" s="49" t="n">
        <v>1</v>
      </c>
      <c r="L397" s="21" t="n">
        <v>4</v>
      </c>
      <c r="M397" s="50" t="inlineStr">
        <is>
          <t>Win</t>
        </is>
      </c>
      <c r="N397" s="23">
        <f>IF(M397="Win",IF(F397="Bet",(I397-1)*K397,K397),IF(M397="Loss",IF(F397="Bet",-K397,-(I397-1)*K397),IF(M397="Void",0,"")))</f>
        <v/>
      </c>
      <c r="O397" s="24">
        <f>IF(OR(M397="Win",M397="Loss"),IF(F397="Bet",K397,(I397-1)*K397),"")</f>
        <v/>
      </c>
    </row>
    <row r="398">
      <c r="A398" s="37" t="n">
        <v>46287</v>
      </c>
      <c r="B398" s="38" t="inlineStr">
        <is>
          <t>Leeton</t>
        </is>
      </c>
      <c r="C398" s="15" t="n">
        <v>6</v>
      </c>
      <c r="D398" s="15" t="n">
        <v>2</v>
      </c>
      <c r="E398" s="14" t="inlineStr">
        <is>
          <t>Party Boss</t>
        </is>
      </c>
      <c r="F398" s="39" t="inlineStr">
        <is>
          <t>Bet</t>
        </is>
      </c>
      <c r="G398" s="53" t="inlineStr">
        <is>
          <t>Prime</t>
        </is>
      </c>
      <c r="H398" s="41" t="n">
        <v>1.7</v>
      </c>
      <c r="I398" s="41" t="n">
        <v>2</v>
      </c>
      <c r="J398" s="16" t="n">
        <v>0.0698</v>
      </c>
      <c r="K398" s="42" t="n">
        <v>1</v>
      </c>
      <c r="L398" s="15" t="n">
        <v>1</v>
      </c>
      <c r="M398" s="51" t="inlineStr">
        <is>
          <t>Win</t>
        </is>
      </c>
      <c r="N398" s="17">
        <f>IF(M398="Win",IF(F398="Bet",(I398-1)*K398,K398),IF(M398="Loss",IF(F398="Bet",-K398,-(I398-1)*K398),IF(M398="Void",0,"")))</f>
        <v/>
      </c>
      <c r="O398" s="18">
        <f>IF(OR(M398="Win",M398="Loss"),IF(F398="Bet",K398,(I398-1)*K398),"")</f>
        <v/>
      </c>
    </row>
    <row r="399">
      <c r="A399" s="44" t="n">
        <v>46287</v>
      </c>
      <c r="B399" s="45" t="inlineStr">
        <is>
          <t>Taree</t>
        </is>
      </c>
      <c r="C399" s="21" t="n">
        <v>1</v>
      </c>
      <c r="D399" s="21" t="n">
        <v>6</v>
      </c>
      <c r="E399" s="20" t="inlineStr">
        <is>
          <t>Tasman Deel</t>
        </is>
      </c>
      <c r="F399" s="46" t="inlineStr">
        <is>
          <t>Lay</t>
        </is>
      </c>
      <c r="G399" s="47" t="inlineStr">
        <is>
          <t>Lay</t>
        </is>
      </c>
      <c r="H399" s="48" t="n">
        <v>2.2</v>
      </c>
      <c r="I399" s="48" t="n">
        <v>1.7</v>
      </c>
      <c r="J399" s="22" t="n">
        <v>-0.0678</v>
      </c>
      <c r="K399" s="49" t="n">
        <v>1</v>
      </c>
      <c r="L399" s="21" t="n">
        <v>2</v>
      </c>
      <c r="M399" s="50" t="inlineStr">
        <is>
          <t>Win</t>
        </is>
      </c>
      <c r="N399" s="23">
        <f>IF(M399="Win",IF(F399="Bet",(I399-1)*K399,K399),IF(M399="Loss",IF(F399="Bet",-K399,-(I399-1)*K399),IF(M399="Void",0,"")))</f>
        <v/>
      </c>
      <c r="O399" s="24">
        <f>IF(OR(M399="Win",M399="Loss"),IF(F399="Bet",K399,(I399-1)*K399),"")</f>
        <v/>
      </c>
    </row>
    <row r="400">
      <c r="A400" s="37" t="n">
        <v>46287</v>
      </c>
      <c r="B400" s="38" t="inlineStr">
        <is>
          <t>Leeton</t>
        </is>
      </c>
      <c r="C400" s="15" t="n">
        <v>7</v>
      </c>
      <c r="D400" s="15" t="n">
        <v>1</v>
      </c>
      <c r="E400" s="14" t="inlineStr">
        <is>
          <t>Postwar</t>
        </is>
      </c>
      <c r="F400" s="43" t="inlineStr">
        <is>
          <t>Lay</t>
        </is>
      </c>
      <c r="G400" s="47" t="inlineStr">
        <is>
          <t>Lay</t>
        </is>
      </c>
      <c r="H400" s="41" t="n">
        <v>3.4</v>
      </c>
      <c r="I400" s="41" t="n">
        <v>2.56</v>
      </c>
      <c r="J400" s="16" t="n">
        <v>-0.07630000000000001</v>
      </c>
      <c r="K400" s="42" t="n">
        <v>1</v>
      </c>
      <c r="L400" s="15" t="n">
        <v>5</v>
      </c>
      <c r="M400" s="51" t="inlineStr">
        <is>
          <t>Win</t>
        </is>
      </c>
      <c r="N400" s="17">
        <f>IF(M400="Win",IF(F400="Bet",(I400-1)*K400,K400),IF(M400="Loss",IF(F400="Bet",-K400,-(I400-1)*K400),IF(M400="Void",0,"")))</f>
        <v/>
      </c>
      <c r="O400" s="18">
        <f>IF(OR(M400="Win",M400="Loss"),IF(F400="Bet",K400,(I400-1)*K400),"")</f>
        <v/>
      </c>
    </row>
    <row r="401">
      <c r="A401" s="44" t="n">
        <v>46287</v>
      </c>
      <c r="B401" s="45" t="inlineStr">
        <is>
          <t>Taree</t>
        </is>
      </c>
      <c r="C401" s="21" t="n">
        <v>7</v>
      </c>
      <c r="D401" s="21" t="n">
        <v>4</v>
      </c>
      <c r="E401" s="20" t="inlineStr">
        <is>
          <t>Ellofadude</t>
        </is>
      </c>
      <c r="F401" s="46" t="inlineStr">
        <is>
          <t>Lay</t>
        </is>
      </c>
      <c r="G401" s="47" t="inlineStr">
        <is>
          <t>Lay</t>
        </is>
      </c>
      <c r="H401" s="48" t="n">
        <v>3.2</v>
      </c>
      <c r="I401" s="48" t="n">
        <v>1.92</v>
      </c>
      <c r="J401" s="22" t="n">
        <v>-0.0866</v>
      </c>
      <c r="K401" s="49" t="n">
        <v>1</v>
      </c>
      <c r="L401" s="21" t="n">
        <v>1</v>
      </c>
      <c r="M401" s="46" t="inlineStr">
        <is>
          <t>Loss</t>
        </is>
      </c>
      <c r="N401" s="23">
        <f>IF(M401="Win",IF(F401="Bet",(I401-1)*K401,K401),IF(M401="Loss",IF(F401="Bet",-K401,-(I401-1)*K401),IF(M401="Void",0,"")))</f>
        <v/>
      </c>
      <c r="O401" s="24">
        <f>IF(OR(M401="Win",M401="Loss"),IF(F401="Bet",K401,(I401-1)*K401),"")</f>
        <v/>
      </c>
    </row>
    <row r="402">
      <c r="A402" s="37" t="n">
        <v>46287</v>
      </c>
      <c r="B402" s="38" t="inlineStr">
        <is>
          <t>Swan Hill</t>
        </is>
      </c>
      <c r="C402" s="15" t="n">
        <v>1</v>
      </c>
      <c r="D402" s="15" t="n">
        <v>10</v>
      </c>
      <c r="E402" s="14" t="inlineStr">
        <is>
          <t>Oceans Fouroseven</t>
        </is>
      </c>
      <c r="F402" s="39" t="inlineStr">
        <is>
          <t>Bet</t>
        </is>
      </c>
      <c r="G402" s="40" t="inlineStr">
        <is>
          <t>Bet</t>
        </is>
      </c>
      <c r="H402" s="41" t="n">
        <v>2</v>
      </c>
      <c r="I402" s="41" t="n">
        <v>2.34</v>
      </c>
      <c r="J402" s="16" t="n">
        <v>0.0453</v>
      </c>
      <c r="K402" s="42" t="n">
        <v>1</v>
      </c>
      <c r="L402" s="15" t="n">
        <v>1</v>
      </c>
      <c r="M402" s="51" t="inlineStr">
        <is>
          <t>Win</t>
        </is>
      </c>
      <c r="N402" s="17">
        <f>IF(M402="Win",IF(F402="Bet",(I402-1)*K402,K402),IF(M402="Loss",IF(F402="Bet",-K402,-(I402-1)*K402),IF(M402="Void",0,"")))</f>
        <v/>
      </c>
      <c r="O402" s="18">
        <f>IF(OR(M402="Win",M402="Loss"),IF(F402="Bet",K402,(I402-1)*K402),"")</f>
        <v/>
      </c>
    </row>
    <row r="403">
      <c r="A403" s="44" t="n">
        <v>46287</v>
      </c>
      <c r="B403" s="45" t="inlineStr">
        <is>
          <t>Leeton</t>
        </is>
      </c>
      <c r="C403" s="21" t="n">
        <v>4</v>
      </c>
      <c r="D403" s="21" t="n">
        <v>4</v>
      </c>
      <c r="E403" s="20" t="inlineStr">
        <is>
          <t>Mayfair Hotel</t>
        </is>
      </c>
      <c r="F403" s="46" t="inlineStr">
        <is>
          <t>Lay</t>
        </is>
      </c>
      <c r="G403" s="47" t="inlineStr">
        <is>
          <t>Lay</t>
        </is>
      </c>
      <c r="H403" s="48" t="n">
        <v>7.9</v>
      </c>
      <c r="I403" s="48" t="n">
        <v>2.86</v>
      </c>
      <c r="J403" s="22" t="n">
        <v>-0.0625</v>
      </c>
      <c r="K403" s="49" t="n">
        <v>1</v>
      </c>
      <c r="L403" s="21" t="n">
        <v>4</v>
      </c>
      <c r="M403" s="50" t="inlineStr">
        <is>
          <t>Win</t>
        </is>
      </c>
      <c r="N403" s="23">
        <f>IF(M403="Win",IF(F403="Bet",(I403-1)*K403,K403),IF(M403="Loss",IF(F403="Bet",-K403,-(I403-1)*K403),IF(M403="Void",0,"")))</f>
        <v/>
      </c>
      <c r="O403" s="24">
        <f>IF(OR(M403="Win",M403="Loss"),IF(F403="Bet",K403,(I403-1)*K403),"")</f>
        <v/>
      </c>
    </row>
    <row r="404">
      <c r="A404" s="37" t="n">
        <v>46287</v>
      </c>
      <c r="B404" s="38" t="inlineStr">
        <is>
          <t>Leeton</t>
        </is>
      </c>
      <c r="C404" s="15" t="n">
        <v>4</v>
      </c>
      <c r="D404" s="15" t="n">
        <v>2</v>
      </c>
      <c r="E404" s="14" t="inlineStr">
        <is>
          <t>Sundrop</t>
        </is>
      </c>
      <c r="F404" s="39" t="inlineStr">
        <is>
          <t>Bet</t>
        </is>
      </c>
      <c r="G404" s="40" t="inlineStr">
        <is>
          <t>Bet</t>
        </is>
      </c>
      <c r="H404" s="41" t="n">
        <v>3.6</v>
      </c>
      <c r="I404" s="41" t="n">
        <v>10.36</v>
      </c>
      <c r="J404" s="16" t="n">
        <v>0.0242</v>
      </c>
      <c r="K404" s="42" t="n">
        <v>1</v>
      </c>
      <c r="L404" s="15" t="n">
        <v>3</v>
      </c>
      <c r="M404" s="43" t="inlineStr">
        <is>
          <t>Loss</t>
        </is>
      </c>
      <c r="N404" s="17">
        <f>IF(M404="Win",IF(F404="Bet",(I404-1)*K404,K404),IF(M404="Loss",IF(F404="Bet",-K404,-(I404-1)*K404),IF(M404="Void",0,"")))</f>
        <v/>
      </c>
      <c r="O404" s="18">
        <f>IF(OR(M404="Win",M404="Loss"),IF(F404="Bet",K404,(I404-1)*K404),"")</f>
        <v/>
      </c>
    </row>
    <row r="405">
      <c r="A405" s="44" t="n">
        <v>46287</v>
      </c>
      <c r="B405" s="45" t="inlineStr">
        <is>
          <t>Emerald</t>
        </is>
      </c>
      <c r="C405" s="21" t="n">
        <v>3</v>
      </c>
      <c r="D405" s="21" t="n">
        <v>3</v>
      </c>
      <c r="E405" s="20" t="inlineStr">
        <is>
          <t>Lonergy</t>
        </is>
      </c>
      <c r="F405" s="52" t="inlineStr">
        <is>
          <t>Bet</t>
        </is>
      </c>
      <c r="G405" s="40" t="inlineStr">
        <is>
          <t>Bet</t>
        </is>
      </c>
      <c r="H405" s="48" t="n">
        <v>3.8</v>
      </c>
      <c r="I405" s="48" t="n">
        <v>8.6</v>
      </c>
      <c r="J405" s="22" t="n">
        <v>0.0224</v>
      </c>
      <c r="K405" s="49" t="n">
        <v>1</v>
      </c>
      <c r="L405" s="21" t="n">
        <v>3</v>
      </c>
      <c r="M405" s="46" t="inlineStr">
        <is>
          <t>Loss</t>
        </is>
      </c>
      <c r="N405" s="23">
        <f>IF(M405="Win",IF(F405="Bet",(I405-1)*K405,K405),IF(M405="Loss",IF(F405="Bet",-K405,-(I405-1)*K405),IF(M405="Void",0,"")))</f>
        <v/>
      </c>
      <c r="O405" s="24">
        <f>IF(OR(M405="Win",M405="Loss"),IF(F405="Bet",K405,(I405-1)*K405),"")</f>
        <v/>
      </c>
    </row>
    <row r="406">
      <c r="A406" s="37" t="n">
        <v>46287</v>
      </c>
      <c r="B406" s="38" t="inlineStr">
        <is>
          <t>Emerald</t>
        </is>
      </c>
      <c r="C406" s="15" t="n">
        <v>6</v>
      </c>
      <c r="D406" s="15" t="n">
        <v>1</v>
      </c>
      <c r="E406" s="14" t="inlineStr">
        <is>
          <t>Pre Eminence</t>
        </is>
      </c>
      <c r="F406" s="39" t="inlineStr">
        <is>
          <t>Bet</t>
        </is>
      </c>
      <c r="G406" s="40" t="inlineStr">
        <is>
          <t>Bet</t>
        </is>
      </c>
      <c r="H406" s="41" t="n">
        <v>4.1</v>
      </c>
      <c r="I406" s="41" t="n">
        <v>7</v>
      </c>
      <c r="J406" s="16" t="n">
        <v>0.0244</v>
      </c>
      <c r="K406" s="42" t="n">
        <v>1</v>
      </c>
      <c r="L406" s="15" t="n">
        <v>6</v>
      </c>
      <c r="M406" s="43" t="inlineStr">
        <is>
          <t>Loss</t>
        </is>
      </c>
      <c r="N406" s="17">
        <f>IF(M406="Win",IF(F406="Bet",(I406-1)*K406,K406),IF(M406="Loss",IF(F406="Bet",-K406,-(I406-1)*K406),IF(M406="Void",0,"")))</f>
        <v/>
      </c>
      <c r="O406" s="18">
        <f>IF(OR(M406="Win",M406="Loss"),IF(F406="Bet",K406,(I406-1)*K406),"")</f>
        <v/>
      </c>
    </row>
    <row r="407">
      <c r="A407" s="44" t="n">
        <v>46287</v>
      </c>
      <c r="B407" s="45" t="inlineStr">
        <is>
          <t>Emerald</t>
        </is>
      </c>
      <c r="C407" s="21" t="n">
        <v>2</v>
      </c>
      <c r="D407" s="21" t="n">
        <v>5</v>
      </c>
      <c r="E407" s="20" t="inlineStr">
        <is>
          <t>Nitrogen</t>
        </is>
      </c>
      <c r="F407" s="52" t="inlineStr">
        <is>
          <t>Bet</t>
        </is>
      </c>
      <c r="G407" s="40" t="inlineStr">
        <is>
          <t>Bet</t>
        </is>
      </c>
      <c r="H407" s="48" t="n">
        <v>4.1</v>
      </c>
      <c r="I407" s="48" t="n">
        <v>9.33</v>
      </c>
      <c r="J407" s="22" t="n">
        <v>0.0419</v>
      </c>
      <c r="K407" s="49" t="n">
        <v>1</v>
      </c>
      <c r="L407" s="21" t="n">
        <v>3</v>
      </c>
      <c r="M407" s="46" t="inlineStr">
        <is>
          <t>Loss</t>
        </is>
      </c>
      <c r="N407" s="23">
        <f>IF(M407="Win",IF(F407="Bet",(I407-1)*K407,K407),IF(M407="Loss",IF(F407="Bet",-K407,-(I407-1)*K407),IF(M407="Void",0,"")))</f>
        <v/>
      </c>
      <c r="O407" s="24">
        <f>IF(OR(M407="Win",M407="Loss"),IF(F407="Bet",K407,(I407-1)*K407),"")</f>
        <v/>
      </c>
    </row>
    <row r="408">
      <c r="A408" s="37" t="n">
        <v>46287</v>
      </c>
      <c r="B408" s="38" t="inlineStr">
        <is>
          <t>Emerald</t>
        </is>
      </c>
      <c r="C408" s="15" t="n">
        <v>1</v>
      </c>
      <c r="D408" s="15" t="n">
        <v>12</v>
      </c>
      <c r="E408" s="14" t="inlineStr">
        <is>
          <t>Saint Anns</t>
        </is>
      </c>
      <c r="F408" s="43" t="inlineStr">
        <is>
          <t>Lay</t>
        </is>
      </c>
      <c r="G408" s="47" t="inlineStr">
        <is>
          <t>Lay</t>
        </is>
      </c>
      <c r="H408" s="41" t="n">
        <v>5.5</v>
      </c>
      <c r="I408" s="41" t="n">
        <v>2.36</v>
      </c>
      <c r="J408" s="16" t="n">
        <v>-0.0829</v>
      </c>
      <c r="K408" s="42" t="n">
        <v>1</v>
      </c>
      <c r="L408" s="15" t="n">
        <v>1</v>
      </c>
      <c r="M408" s="43" t="inlineStr">
        <is>
          <t>Loss</t>
        </is>
      </c>
      <c r="N408" s="17">
        <f>IF(M408="Win",IF(F408="Bet",(I408-1)*K408,K408),IF(M408="Loss",IF(F408="Bet",-K408,-(I408-1)*K408),IF(M408="Void",0,"")))</f>
        <v/>
      </c>
      <c r="O408" s="18">
        <f>IF(OR(M408="Win",M408="Loss"),IF(F408="Bet",K408,(I408-1)*K408),"")</f>
        <v/>
      </c>
    </row>
    <row r="409">
      <c r="A409" s="44" t="n">
        <v>46287</v>
      </c>
      <c r="B409" s="45" t="inlineStr">
        <is>
          <t>Leeton</t>
        </is>
      </c>
      <c r="C409" s="21" t="n">
        <v>2</v>
      </c>
      <c r="D409" s="21" t="n">
        <v>3</v>
      </c>
      <c r="E409" s="20" t="inlineStr">
        <is>
          <t>Tully's Bell</t>
        </is>
      </c>
      <c r="F409" s="46" t="inlineStr">
        <is>
          <t>Lay</t>
        </is>
      </c>
      <c r="G409" s="47" t="inlineStr">
        <is>
          <t>Lay</t>
        </is>
      </c>
      <c r="H409" s="48" t="n">
        <v>7.2</v>
      </c>
      <c r="I409" s="48" t="n">
        <v>4.9</v>
      </c>
      <c r="J409" s="22" t="n">
        <v>-0.0644</v>
      </c>
      <c r="K409" s="49" t="n">
        <v>1</v>
      </c>
      <c r="L409" s="21" t="n">
        <v>7</v>
      </c>
      <c r="M409" s="50" t="inlineStr">
        <is>
          <t>Win</t>
        </is>
      </c>
      <c r="N409" s="23">
        <f>IF(M409="Win",IF(F409="Bet",(I409-1)*K409,K409),IF(M409="Loss",IF(F409="Bet",-K409,-(I409-1)*K409),IF(M409="Void",0,"")))</f>
        <v/>
      </c>
      <c r="O409" s="24">
        <f>IF(OR(M409="Win",M409="Loss"),IF(F409="Bet",K409,(I409-1)*K409),"")</f>
        <v/>
      </c>
    </row>
    <row r="410">
      <c r="A410" s="37" t="n">
        <v>46287</v>
      </c>
      <c r="B410" s="38" t="inlineStr">
        <is>
          <t>Swan Hill</t>
        </is>
      </c>
      <c r="C410" s="15" t="n">
        <v>5</v>
      </c>
      <c r="D410" s="15" t="n">
        <v>12</v>
      </c>
      <c r="E410" s="14" t="inlineStr">
        <is>
          <t>Explosive Magic</t>
        </is>
      </c>
      <c r="F410" s="43" t="inlineStr">
        <is>
          <t>Lay</t>
        </is>
      </c>
      <c r="G410" s="47" t="inlineStr">
        <is>
          <t>Lay</t>
        </is>
      </c>
      <c r="H410" s="41" t="n">
        <v>4.9</v>
      </c>
      <c r="I410" s="41" t="n">
        <v>3.15</v>
      </c>
      <c r="J410" s="16" t="n">
        <v>-0.0814</v>
      </c>
      <c r="K410" s="42" t="n">
        <v>1</v>
      </c>
      <c r="L410" s="15" t="n">
        <v>2</v>
      </c>
      <c r="M410" s="51" t="inlineStr">
        <is>
          <t>Win</t>
        </is>
      </c>
      <c r="N410" s="17">
        <f>IF(M410="Win",IF(F410="Bet",(I410-1)*K410,K410),IF(M410="Loss",IF(F410="Bet",-K410,-(I410-1)*K410),IF(M410="Void",0,"")))</f>
        <v/>
      </c>
      <c r="O410" s="18">
        <f>IF(OR(M410="Win",M410="Loss"),IF(F410="Bet",K410,(I410-1)*K410),"")</f>
        <v/>
      </c>
    </row>
    <row r="411">
      <c r="A411" s="44" t="n">
        <v>46287</v>
      </c>
      <c r="B411" s="45" t="inlineStr">
        <is>
          <t>Emerald</t>
        </is>
      </c>
      <c r="C411" s="21" t="n">
        <v>6</v>
      </c>
      <c r="D411" s="21" t="n">
        <v>3</v>
      </c>
      <c r="E411" s="20" t="inlineStr">
        <is>
          <t>Sunnycoast</t>
        </is>
      </c>
      <c r="F411" s="46" t="inlineStr">
        <is>
          <t>Lay</t>
        </is>
      </c>
      <c r="G411" s="47" t="inlineStr">
        <is>
          <t>Lay</t>
        </is>
      </c>
      <c r="H411" s="48" t="n">
        <v>5.8</v>
      </c>
      <c r="I411" s="48" t="n">
        <v>3.05</v>
      </c>
      <c r="J411" s="22" t="n">
        <v>-0.0653</v>
      </c>
      <c r="K411" s="49" t="n">
        <v>1</v>
      </c>
      <c r="L411" s="21" t="n">
        <v>2</v>
      </c>
      <c r="M411" s="50" t="inlineStr">
        <is>
          <t>Win</t>
        </is>
      </c>
      <c r="N411" s="23">
        <f>IF(M411="Win",IF(F411="Bet",(I411-1)*K411,K411),IF(M411="Loss",IF(F411="Bet",-K411,-(I411-1)*K411),IF(M411="Void",0,"")))</f>
        <v/>
      </c>
      <c r="O411" s="24">
        <f>IF(OR(M411="Win",M411="Loss"),IF(F411="Bet",K411,(I411-1)*K411),"")</f>
        <v/>
      </c>
    </row>
    <row r="412">
      <c r="A412" s="37" t="n">
        <v>46287</v>
      </c>
      <c r="B412" s="38" t="inlineStr">
        <is>
          <t>Taree</t>
        </is>
      </c>
      <c r="C412" s="15" t="n">
        <v>5</v>
      </c>
      <c r="D412" s="15" t="n">
        <v>8</v>
      </c>
      <c r="E412" s="14" t="inlineStr">
        <is>
          <t>Alabama Charm</t>
        </is>
      </c>
      <c r="F412" s="43" t="inlineStr">
        <is>
          <t>Lay</t>
        </is>
      </c>
      <c r="G412" s="47" t="inlineStr">
        <is>
          <t>Lay</t>
        </is>
      </c>
      <c r="H412" s="41" t="n">
        <v>3</v>
      </c>
      <c r="I412" s="41" t="n">
        <v>2.44</v>
      </c>
      <c r="J412" s="16" t="n">
        <v>-0.0765</v>
      </c>
      <c r="K412" s="42" t="n">
        <v>1</v>
      </c>
      <c r="L412" s="15" t="n">
        <v>3</v>
      </c>
      <c r="M412" s="51" t="inlineStr">
        <is>
          <t>Win</t>
        </is>
      </c>
      <c r="N412" s="17">
        <f>IF(M412="Win",IF(F412="Bet",(I412-1)*K412,K412),IF(M412="Loss",IF(F412="Bet",-K412,-(I412-1)*K412),IF(M412="Void",0,"")))</f>
        <v/>
      </c>
      <c r="O412" s="18">
        <f>IF(OR(M412="Win",M412="Loss"),IF(F412="Bet",K412,(I412-1)*K412),"")</f>
        <v/>
      </c>
    </row>
    <row r="413">
      <c r="A413" s="44" t="n">
        <v>46287</v>
      </c>
      <c r="B413" s="45" t="inlineStr">
        <is>
          <t>Swan Hill</t>
        </is>
      </c>
      <c r="C413" s="21" t="n">
        <v>7</v>
      </c>
      <c r="D413" s="21" t="n">
        <v>12</v>
      </c>
      <c r="E413" s="20" t="inlineStr">
        <is>
          <t>Habitual</t>
        </is>
      </c>
      <c r="F413" s="46" t="inlineStr">
        <is>
          <t>Lay</t>
        </is>
      </c>
      <c r="G413" s="47" t="inlineStr">
        <is>
          <t>Lay</t>
        </is>
      </c>
      <c r="H413" s="48" t="n">
        <v>3.2</v>
      </c>
      <c r="I413" s="48" t="n">
        <v>2.32</v>
      </c>
      <c r="J413" s="22" t="n">
        <v>-0.06</v>
      </c>
      <c r="K413" s="49" t="n">
        <v>1</v>
      </c>
      <c r="L413" s="21" t="n">
        <v>4</v>
      </c>
      <c r="M413" s="50" t="inlineStr">
        <is>
          <t>Win</t>
        </is>
      </c>
      <c r="N413" s="23">
        <f>IF(M413="Win",IF(F413="Bet",(I413-1)*K413,K413),IF(M413="Loss",IF(F413="Bet",-K413,-(I413-1)*K413),IF(M413="Void",0,"")))</f>
        <v/>
      </c>
      <c r="O413" s="24">
        <f>IF(OR(M413="Win",M413="Loss"),IF(F413="Bet",K413,(I413-1)*K413),"")</f>
        <v/>
      </c>
    </row>
    <row r="414">
      <c r="A414" s="37" t="n">
        <v>46287</v>
      </c>
      <c r="B414" s="38" t="inlineStr">
        <is>
          <t>Emerald</t>
        </is>
      </c>
      <c r="C414" s="15" t="n">
        <v>3</v>
      </c>
      <c r="D414" s="15" t="n">
        <v>9</v>
      </c>
      <c r="E414" s="14" t="inlineStr">
        <is>
          <t>Too Many Kisses</t>
        </is>
      </c>
      <c r="F414" s="43" t="inlineStr">
        <is>
          <t>Lay</t>
        </is>
      </c>
      <c r="G414" s="47" t="inlineStr">
        <is>
          <t>Lay</t>
        </is>
      </c>
      <c r="H414" s="41" t="n">
        <v>3.7</v>
      </c>
      <c r="I414" s="41" t="n">
        <v>2.54</v>
      </c>
      <c r="J414" s="16" t="n">
        <v>-0.0613</v>
      </c>
      <c r="K414" s="42" t="n">
        <v>1</v>
      </c>
      <c r="L414" s="15" t="n">
        <v>1</v>
      </c>
      <c r="M414" s="43" t="inlineStr">
        <is>
          <t>Loss</t>
        </is>
      </c>
      <c r="N414" s="17">
        <f>IF(M414="Win",IF(F414="Bet",(I414-1)*K414,K414),IF(M414="Loss",IF(F414="Bet",-K414,-(I414-1)*K414),IF(M414="Void",0,"")))</f>
        <v/>
      </c>
      <c r="O414" s="18">
        <f>IF(OR(M414="Win",M414="Loss"),IF(F414="Bet",K414,(I414-1)*K414),"")</f>
        <v/>
      </c>
    </row>
    <row r="415">
      <c r="A415" s="44" t="n">
        <v>46287</v>
      </c>
      <c r="B415" s="45" t="inlineStr">
        <is>
          <t>Emerald</t>
        </is>
      </c>
      <c r="C415" s="21" t="n">
        <v>2</v>
      </c>
      <c r="D415" s="21" t="n">
        <v>1</v>
      </c>
      <c r="E415" s="20" t="inlineStr">
        <is>
          <t>Pride Of Savabella</t>
        </is>
      </c>
      <c r="F415" s="46" t="inlineStr">
        <is>
          <t>Lay</t>
        </is>
      </c>
      <c r="G415" s="47" t="inlineStr">
        <is>
          <t>Lay</t>
        </is>
      </c>
      <c r="H415" s="48" t="n">
        <v>2.25</v>
      </c>
      <c r="I415" s="48" t="n">
        <v>1.95</v>
      </c>
      <c r="J415" s="22" t="n">
        <v>-0.0698</v>
      </c>
      <c r="K415" s="49" t="n">
        <v>1</v>
      </c>
      <c r="L415" s="21" t="n">
        <v>5</v>
      </c>
      <c r="M415" s="50" t="inlineStr">
        <is>
          <t>Win</t>
        </is>
      </c>
      <c r="N415" s="23">
        <f>IF(M415="Win",IF(F415="Bet",(I415-1)*K415,K415),IF(M415="Loss",IF(F415="Bet",-K415,-(I415-1)*K415),IF(M415="Void",0,"")))</f>
        <v/>
      </c>
      <c r="O415" s="24">
        <f>IF(OR(M415="Win",M415="Loss"),IF(F415="Bet",K415,(I415-1)*K415),"")</f>
        <v/>
      </c>
    </row>
    <row r="416">
      <c r="A416" s="37" t="n">
        <v>46287</v>
      </c>
      <c r="B416" s="38" t="inlineStr">
        <is>
          <t>Swan Hill</t>
        </is>
      </c>
      <c r="C416" s="15" t="n">
        <v>3</v>
      </c>
      <c r="D416" s="15" t="n">
        <v>5</v>
      </c>
      <c r="E416" s="14" t="inlineStr">
        <is>
          <t>So Star</t>
        </is>
      </c>
      <c r="F416" s="43" t="inlineStr">
        <is>
          <t>Lay</t>
        </is>
      </c>
      <c r="G416" s="47" t="inlineStr">
        <is>
          <t>Lay</t>
        </is>
      </c>
      <c r="H416" s="41" t="n">
        <v>1.45</v>
      </c>
      <c r="I416" s="41" t="n">
        <v>1.32</v>
      </c>
      <c r="J416" s="16" t="n">
        <v>-0.0622</v>
      </c>
      <c r="K416" s="42" t="n">
        <v>1</v>
      </c>
      <c r="L416" s="15" t="n">
        <v>1</v>
      </c>
      <c r="M416" s="43" t="inlineStr">
        <is>
          <t>Loss</t>
        </is>
      </c>
      <c r="N416" s="17">
        <f>IF(M416="Win",IF(F416="Bet",(I416-1)*K416,K416),IF(M416="Loss",IF(F416="Bet",-K416,-(I416-1)*K416),IF(M416="Void",0,"")))</f>
        <v/>
      </c>
      <c r="O416" s="18">
        <f>IF(OR(M416="Win",M416="Loss"),IF(F416="Bet",K416,(I416-1)*K416),"")</f>
        <v/>
      </c>
    </row>
    <row r="417">
      <c r="A417" s="44" t="n">
        <v>46287</v>
      </c>
      <c r="B417" s="45" t="inlineStr">
        <is>
          <t>Taree</t>
        </is>
      </c>
      <c r="C417" s="21" t="n">
        <v>4</v>
      </c>
      <c r="D417" s="21" t="n">
        <v>7</v>
      </c>
      <c r="E417" s="20" t="inlineStr">
        <is>
          <t>Columbo</t>
        </is>
      </c>
      <c r="F417" s="46" t="inlineStr">
        <is>
          <t>Lay</t>
        </is>
      </c>
      <c r="G417" s="47" t="inlineStr">
        <is>
          <t>Lay</t>
        </is>
      </c>
      <c r="H417" s="48" t="n">
        <v>3.8</v>
      </c>
      <c r="I417" s="48" t="n">
        <v>2.7</v>
      </c>
      <c r="J417" s="22" t="n">
        <v>-0.0621</v>
      </c>
      <c r="K417" s="49" t="n">
        <v>1</v>
      </c>
      <c r="L417" s="21" t="n">
        <v>1</v>
      </c>
      <c r="M417" s="46" t="inlineStr">
        <is>
          <t>Loss</t>
        </is>
      </c>
      <c r="N417" s="23">
        <f>IF(M417="Win",IF(F417="Bet",(I417-1)*K417,K417),IF(M417="Loss",IF(F417="Bet",-K417,-(I417-1)*K417),IF(M417="Void",0,"")))</f>
        <v/>
      </c>
      <c r="O417" s="24">
        <f>IF(OR(M417="Win",M417="Loss"),IF(F417="Bet",K417,(I417-1)*K417),"")</f>
        <v/>
      </c>
    </row>
    <row r="418">
      <c r="A418" s="37" t="n">
        <v>46287</v>
      </c>
      <c r="B418" s="38" t="inlineStr">
        <is>
          <t>Leeton</t>
        </is>
      </c>
      <c r="C418" s="15" t="n">
        <v>3</v>
      </c>
      <c r="D418" s="15" t="n">
        <v>9</v>
      </c>
      <c r="E418" s="14" t="inlineStr">
        <is>
          <t>Tassy Fox</t>
        </is>
      </c>
      <c r="F418" s="39" t="inlineStr">
        <is>
          <t>Bet</t>
        </is>
      </c>
      <c r="G418" s="40" t="inlineStr">
        <is>
          <t>Bet</t>
        </is>
      </c>
      <c r="H418" s="41" t="n">
        <v>4.8</v>
      </c>
      <c r="I418" s="41" t="n">
        <v>5.5</v>
      </c>
      <c r="J418" s="16" t="n">
        <v>0.0245</v>
      </c>
      <c r="K418" s="42" t="n">
        <v>1</v>
      </c>
      <c r="L418" s="15" t="n">
        <v>5</v>
      </c>
      <c r="M418" s="43" t="inlineStr">
        <is>
          <t>Loss</t>
        </is>
      </c>
      <c r="N418" s="17">
        <f>IF(M418="Win",IF(F418="Bet",(I418-1)*K418,K418),IF(M418="Loss",IF(F418="Bet",-K418,-(I418-1)*K418),IF(M418="Void",0,"")))</f>
        <v/>
      </c>
      <c r="O418" s="18">
        <f>IF(OR(M418="Win",M418="Loss"),IF(F418="Bet",K418,(I418-1)*K418),"")</f>
        <v/>
      </c>
    </row>
    <row r="419">
      <c r="A419" s="44" t="n">
        <v>46287</v>
      </c>
      <c r="B419" s="45" t="inlineStr">
        <is>
          <t>Swan Hill</t>
        </is>
      </c>
      <c r="C419" s="21" t="n">
        <v>6</v>
      </c>
      <c r="D419" s="21" t="n">
        <v>4</v>
      </c>
      <c r="E419" s="20" t="inlineStr">
        <is>
          <t>Fonn Power</t>
        </is>
      </c>
      <c r="F419" s="46" t="inlineStr">
        <is>
          <t>Lay</t>
        </is>
      </c>
      <c r="G419" s="47" t="inlineStr">
        <is>
          <t>Lay</t>
        </is>
      </c>
      <c r="H419" s="48" t="n">
        <v>4.8</v>
      </c>
      <c r="I419" s="48" t="n">
        <v>3.05</v>
      </c>
      <c r="J419" s="22" t="n">
        <v>-0.0601</v>
      </c>
      <c r="K419" s="49" t="n">
        <v>1</v>
      </c>
      <c r="L419" s="21" t="n">
        <v>8</v>
      </c>
      <c r="M419" s="50" t="inlineStr">
        <is>
          <t>Win</t>
        </is>
      </c>
      <c r="N419" s="23">
        <f>IF(M419="Win",IF(F419="Bet",(I419-1)*K419,K419),IF(M419="Loss",IF(F419="Bet",-K419,-(I419-1)*K419),IF(M419="Void",0,"")))</f>
        <v/>
      </c>
      <c r="O419" s="24">
        <f>IF(OR(M419="Win",M419="Loss"),IF(F419="Bet",K419,(I419-1)*K419),"")</f>
        <v/>
      </c>
    </row>
    <row r="420">
      <c r="A420" s="37" t="n">
        <v>46287</v>
      </c>
      <c r="B420" s="38" t="inlineStr">
        <is>
          <t>Emerald</t>
        </is>
      </c>
      <c r="C420" s="15" t="n">
        <v>5</v>
      </c>
      <c r="D420" s="15" t="n">
        <v>4</v>
      </c>
      <c r="E420" s="14" t="inlineStr">
        <is>
          <t>Crudo</t>
        </is>
      </c>
      <c r="F420" s="43" t="inlineStr">
        <is>
          <t>Lay</t>
        </is>
      </c>
      <c r="G420" s="47" t="inlineStr">
        <is>
          <t>Lay</t>
        </is>
      </c>
      <c r="H420" s="41" t="n">
        <v>10.1</v>
      </c>
      <c r="I420" s="41" t="n">
        <v>5.7</v>
      </c>
      <c r="J420" s="16" t="n">
        <v>-0.0622</v>
      </c>
      <c r="K420" s="42" t="n">
        <v>1</v>
      </c>
      <c r="L420" s="15" t="n">
        <v>5</v>
      </c>
      <c r="M420" s="51" t="inlineStr">
        <is>
          <t>Win</t>
        </is>
      </c>
      <c r="N420" s="17">
        <f>IF(M420="Win",IF(F420="Bet",(I420-1)*K420,K420),IF(M420="Loss",IF(F420="Bet",-K420,-(I420-1)*K420),IF(M420="Void",0,"")))</f>
        <v/>
      </c>
      <c r="O420" s="18">
        <f>IF(OR(M420="Win",M420="Loss"),IF(F420="Bet",K420,(I420-1)*K420),"")</f>
        <v/>
      </c>
    </row>
    <row r="421">
      <c r="A421" s="44" t="n">
        <v>46287</v>
      </c>
      <c r="B421" s="45" t="inlineStr">
        <is>
          <t>Leeton</t>
        </is>
      </c>
      <c r="C421" s="21" t="n">
        <v>7</v>
      </c>
      <c r="D421" s="21" t="n">
        <v>6</v>
      </c>
      <c r="E421" s="20" t="inlineStr">
        <is>
          <t>Justbetryin'</t>
        </is>
      </c>
      <c r="F421" s="52" t="inlineStr">
        <is>
          <t>Bet</t>
        </is>
      </c>
      <c r="G421" s="40" t="inlineStr">
        <is>
          <t>Bet</t>
        </is>
      </c>
      <c r="H421" s="48" t="n">
        <v>6.8</v>
      </c>
      <c r="I421" s="48" t="n">
        <v>11.43</v>
      </c>
      <c r="J421" s="22" t="n">
        <v>0.0225</v>
      </c>
      <c r="K421" s="49" t="n">
        <v>1</v>
      </c>
      <c r="L421" s="21" t="n">
        <v>1</v>
      </c>
      <c r="M421" s="50" t="inlineStr">
        <is>
          <t>Win</t>
        </is>
      </c>
      <c r="N421" s="23">
        <f>IF(M421="Win",IF(F421="Bet",(I421-1)*K421,K421),IF(M421="Loss",IF(F421="Bet",-K421,-(I421-1)*K421),IF(M421="Void",0,"")))</f>
        <v/>
      </c>
      <c r="O421" s="24">
        <f>IF(OR(M421="Win",M421="Loss"),IF(F421="Bet",K421,(I421-1)*K421),"")</f>
        <v/>
      </c>
    </row>
    <row r="422">
      <c r="A422" s="37" t="n">
        <v>46288</v>
      </c>
      <c r="B422" s="38" t="inlineStr">
        <is>
          <t>Geelong</t>
        </is>
      </c>
      <c r="C422" s="15" t="n">
        <v>1</v>
      </c>
      <c r="D422" s="15" t="n">
        <v>9</v>
      </c>
      <c r="E422" s="14" t="inlineStr">
        <is>
          <t>Youmzaa</t>
        </is>
      </c>
      <c r="F422" s="39" t="inlineStr">
        <is>
          <t>Bet</t>
        </is>
      </c>
      <c r="G422" s="40" t="inlineStr">
        <is>
          <t>Bet</t>
        </is>
      </c>
      <c r="H422" s="41" t="n">
        <v>1.6</v>
      </c>
      <c r="I422" s="41" t="n">
        <v>1.65</v>
      </c>
      <c r="J422" s="16" t="n">
        <v>0.0265</v>
      </c>
      <c r="K422" s="42" t="n">
        <v>1</v>
      </c>
      <c r="L422" s="15" t="n"/>
      <c r="M422" s="54" t="inlineStr">
        <is>
          <t>Void</t>
        </is>
      </c>
      <c r="N422" s="17">
        <f>IF(M422="Win",IF(F422="Bet",(I422-1)*K422,K422),IF(M422="Loss",IF(F422="Bet",-K422,-(I422-1)*K422),IF(M422="Void",0,"")))</f>
        <v/>
      </c>
      <c r="O422" s="18">
        <f>IF(OR(M422="Win",M422="Loss"),IF(F422="Bet",K422,(I422-1)*K422),"")</f>
        <v/>
      </c>
    </row>
    <row r="423">
      <c r="A423" s="44" t="n">
        <v>46288</v>
      </c>
      <c r="B423" s="45" t="inlineStr">
        <is>
          <t>Northam</t>
        </is>
      </c>
      <c r="C423" s="21" t="n">
        <v>3</v>
      </c>
      <c r="D423" s="21" t="n">
        <v>3</v>
      </c>
      <c r="E423" s="20" t="inlineStr">
        <is>
          <t>Rory's Revenge</t>
        </is>
      </c>
      <c r="F423" s="46" t="inlineStr">
        <is>
          <t>Lay</t>
        </is>
      </c>
      <c r="G423" s="47" t="inlineStr">
        <is>
          <t>Lay</t>
        </is>
      </c>
      <c r="H423" s="48" t="n">
        <v>3.2</v>
      </c>
      <c r="I423" s="48" t="n">
        <v>2.65</v>
      </c>
      <c r="J423" s="22" t="n">
        <v>-0.0696</v>
      </c>
      <c r="K423" s="49" t="n">
        <v>1</v>
      </c>
      <c r="L423" s="21" t="n">
        <v>1</v>
      </c>
      <c r="M423" s="46" t="inlineStr">
        <is>
          <t>Loss</t>
        </is>
      </c>
      <c r="N423" s="23">
        <f>IF(M423="Win",IF(F423="Bet",(I423-1)*K423,K423),IF(M423="Loss",IF(F423="Bet",-K423,-(I423-1)*K423),IF(M423="Void",0,"")))</f>
        <v/>
      </c>
      <c r="O423" s="24">
        <f>IF(OR(M423="Win",M423="Loss"),IF(F423="Bet",K423,(I423-1)*K423),"")</f>
        <v/>
      </c>
    </row>
    <row r="424">
      <c r="A424" s="37" t="n">
        <v>46288</v>
      </c>
      <c r="B424" s="38" t="inlineStr">
        <is>
          <t>Northam</t>
        </is>
      </c>
      <c r="C424" s="15" t="n">
        <v>6</v>
      </c>
      <c r="D424" s="15" t="n">
        <v>4</v>
      </c>
      <c r="E424" s="14" t="inlineStr">
        <is>
          <t>Olden</t>
        </is>
      </c>
      <c r="F424" s="43" t="inlineStr">
        <is>
          <t>Lay</t>
        </is>
      </c>
      <c r="G424" s="47" t="inlineStr">
        <is>
          <t>Lay</t>
        </is>
      </c>
      <c r="H424" s="41" t="n">
        <v>5.4</v>
      </c>
      <c r="I424" s="41" t="n">
        <v>3.86</v>
      </c>
      <c r="J424" s="16" t="n">
        <v>-0.0649</v>
      </c>
      <c r="K424" s="42" t="n">
        <v>1</v>
      </c>
      <c r="L424" s="15" t="n">
        <v>1</v>
      </c>
      <c r="M424" s="43" t="inlineStr">
        <is>
          <t>Loss</t>
        </is>
      </c>
      <c r="N424" s="17">
        <f>IF(M424="Win",IF(F424="Bet",(I424-1)*K424,K424),IF(M424="Loss",IF(F424="Bet",-K424,-(I424-1)*K424),IF(M424="Void",0,"")))</f>
        <v/>
      </c>
      <c r="O424" s="18">
        <f>IF(OR(M424="Win",M424="Loss"),IF(F424="Bet",K424,(I424-1)*K424),"")</f>
        <v/>
      </c>
    </row>
    <row r="425">
      <c r="A425" s="44" t="n">
        <v>46288</v>
      </c>
      <c r="B425" s="45" t="inlineStr">
        <is>
          <t>Geelong</t>
        </is>
      </c>
      <c r="C425" s="21" t="n">
        <v>3</v>
      </c>
      <c r="D425" s="21" t="n">
        <v>12</v>
      </c>
      <c r="E425" s="20" t="inlineStr">
        <is>
          <t>Stipulation</t>
        </is>
      </c>
      <c r="F425" s="46" t="inlineStr">
        <is>
          <t>Lay</t>
        </is>
      </c>
      <c r="G425" s="47" t="inlineStr">
        <is>
          <t>Lay</t>
        </is>
      </c>
      <c r="H425" s="48" t="n">
        <v>4.5</v>
      </c>
      <c r="I425" s="48" t="n">
        <v>1.72</v>
      </c>
      <c r="J425" s="22" t="n">
        <v>-0.0636</v>
      </c>
      <c r="K425" s="49" t="n">
        <v>1</v>
      </c>
      <c r="L425" s="21" t="n">
        <v>1</v>
      </c>
      <c r="M425" s="46" t="inlineStr">
        <is>
          <t>Loss</t>
        </is>
      </c>
      <c r="N425" s="23">
        <f>IF(M425="Win",IF(F425="Bet",(I425-1)*K425,K425),IF(M425="Loss",IF(F425="Bet",-K425,-(I425-1)*K425),IF(M425="Void",0,"")))</f>
        <v/>
      </c>
      <c r="O425" s="24">
        <f>IF(OR(M425="Win",M425="Loss"),IF(F425="Bet",K425,(I425-1)*K425),"")</f>
        <v/>
      </c>
    </row>
    <row r="426">
      <c r="A426" s="37" t="n">
        <v>46288</v>
      </c>
      <c r="B426" s="38" t="inlineStr">
        <is>
          <t>Warwick Farm</t>
        </is>
      </c>
      <c r="C426" s="15" t="n">
        <v>2</v>
      </c>
      <c r="D426" s="15" t="n">
        <v>6</v>
      </c>
      <c r="E426" s="14" t="inlineStr">
        <is>
          <t>Peyton</t>
        </is>
      </c>
      <c r="F426" s="43" t="inlineStr">
        <is>
          <t>Lay</t>
        </is>
      </c>
      <c r="G426" s="47" t="inlineStr">
        <is>
          <t>Lay</t>
        </is>
      </c>
      <c r="H426" s="41" t="n">
        <v>3.4</v>
      </c>
      <c r="I426" s="41" t="n">
        <v>2.24</v>
      </c>
      <c r="J426" s="16" t="n">
        <v>-0.0796</v>
      </c>
      <c r="K426" s="42" t="n">
        <v>1</v>
      </c>
      <c r="L426" s="15" t="n"/>
      <c r="M426" s="54" t="inlineStr">
        <is>
          <t>Void</t>
        </is>
      </c>
      <c r="N426" s="17">
        <f>IF(M426="Win",IF(F426="Bet",(I426-1)*K426,K426),IF(M426="Loss",IF(F426="Bet",-K426,-(I426-1)*K426),IF(M426="Void",0,"")))</f>
        <v/>
      </c>
      <c r="O426" s="18">
        <f>IF(OR(M426="Win",M426="Loss"),IF(F426="Bet",K426,(I426-1)*K426),"")</f>
        <v/>
      </c>
    </row>
    <row r="427">
      <c r="A427" s="44" t="n">
        <v>46288</v>
      </c>
      <c r="B427" s="45" t="inlineStr">
        <is>
          <t>Eagle Farm</t>
        </is>
      </c>
      <c r="C427" s="21" t="n">
        <v>3</v>
      </c>
      <c r="D427" s="21" t="n">
        <v>1</v>
      </c>
      <c r="E427" s="20" t="inlineStr">
        <is>
          <t>Breezin'</t>
        </is>
      </c>
      <c r="F427" s="52" t="inlineStr">
        <is>
          <t>Bet</t>
        </is>
      </c>
      <c r="G427" s="40" t="inlineStr">
        <is>
          <t>Bet</t>
        </is>
      </c>
      <c r="H427" s="48" t="n">
        <v>7.3</v>
      </c>
      <c r="I427" s="48" t="n">
        <v>9.5</v>
      </c>
      <c r="J427" s="22" t="n">
        <v>0.0254</v>
      </c>
      <c r="K427" s="49" t="n">
        <v>1</v>
      </c>
      <c r="L427" s="21" t="n">
        <v>6</v>
      </c>
      <c r="M427" s="46" t="inlineStr">
        <is>
          <t>Loss</t>
        </is>
      </c>
      <c r="N427" s="23">
        <f>IF(M427="Win",IF(F427="Bet",(I427-1)*K427,K427),IF(M427="Loss",IF(F427="Bet",-K427,-(I427-1)*K427),IF(M427="Void",0,"")))</f>
        <v/>
      </c>
      <c r="O427" s="24">
        <f>IF(OR(M427="Win",M427="Loss"),IF(F427="Bet",K427,(I427-1)*K427),"")</f>
        <v/>
      </c>
    </row>
    <row r="428">
      <c r="A428" s="37" t="n">
        <v>46288</v>
      </c>
      <c r="B428" s="38" t="inlineStr">
        <is>
          <t>Northam</t>
        </is>
      </c>
      <c r="C428" s="15" t="n">
        <v>1</v>
      </c>
      <c r="D428" s="15" t="n">
        <v>1</v>
      </c>
      <c r="E428" s="14" t="inlineStr">
        <is>
          <t>Last Stylebender</t>
        </is>
      </c>
      <c r="F428" s="43" t="inlineStr">
        <is>
          <t>Lay</t>
        </is>
      </c>
      <c r="G428" s="47" t="inlineStr">
        <is>
          <t>Lay</t>
        </is>
      </c>
      <c r="H428" s="41" t="n">
        <v>3</v>
      </c>
      <c r="I428" s="41" t="n">
        <v>2.52</v>
      </c>
      <c r="J428" s="16" t="n">
        <v>-0.0672</v>
      </c>
      <c r="K428" s="42" t="n">
        <v>1</v>
      </c>
      <c r="L428" s="15" t="n">
        <v>1</v>
      </c>
      <c r="M428" s="43" t="inlineStr">
        <is>
          <t>Loss</t>
        </is>
      </c>
      <c r="N428" s="17">
        <f>IF(M428="Win",IF(F428="Bet",(I428-1)*K428,K428),IF(M428="Loss",IF(F428="Bet",-K428,-(I428-1)*K428),IF(M428="Void",0,"")))</f>
        <v/>
      </c>
      <c r="O428" s="18">
        <f>IF(OR(M428="Win",M428="Loss"),IF(F428="Bet",K428,(I428-1)*K428),"")</f>
        <v/>
      </c>
    </row>
    <row r="429">
      <c r="A429" s="44" t="n">
        <v>46288</v>
      </c>
      <c r="B429" s="45" t="inlineStr">
        <is>
          <t>Eagle Farm</t>
        </is>
      </c>
      <c r="C429" s="21" t="n">
        <v>2</v>
      </c>
      <c r="D429" s="21" t="n">
        <v>11</v>
      </c>
      <c r="E429" s="20" t="inlineStr">
        <is>
          <t>Maremoto</t>
        </is>
      </c>
      <c r="F429" s="46" t="inlineStr">
        <is>
          <t>Lay</t>
        </is>
      </c>
      <c r="G429" s="47" t="inlineStr">
        <is>
          <t>Lay</t>
        </is>
      </c>
      <c r="H429" s="48" t="n">
        <v>2.55</v>
      </c>
      <c r="I429" s="48" t="n">
        <v>2.14</v>
      </c>
      <c r="J429" s="22" t="n">
        <v>-0.064</v>
      </c>
      <c r="K429" s="49" t="n">
        <v>1</v>
      </c>
      <c r="L429" s="21" t="n">
        <v>3</v>
      </c>
      <c r="M429" s="50" t="inlineStr">
        <is>
          <t>Win</t>
        </is>
      </c>
      <c r="N429" s="23">
        <f>IF(M429="Win",IF(F429="Bet",(I429-1)*K429,K429),IF(M429="Loss",IF(F429="Bet",-K429,-(I429-1)*K429),IF(M429="Void",0,"")))</f>
        <v/>
      </c>
      <c r="O429" s="24">
        <f>IF(OR(M429="Win",M429="Loss"),IF(F429="Bet",K429,(I429-1)*K429),"")</f>
        <v/>
      </c>
    </row>
    <row r="430">
      <c r="A430" s="37" t="n">
        <v>46288</v>
      </c>
      <c r="B430" s="38" t="inlineStr">
        <is>
          <t>Gawler</t>
        </is>
      </c>
      <c r="C430" s="15" t="n">
        <v>1</v>
      </c>
      <c r="D430" s="15" t="n">
        <v>3</v>
      </c>
      <c r="E430" s="14" t="inlineStr">
        <is>
          <t>Lunar Vista</t>
        </is>
      </c>
      <c r="F430" s="43" t="inlineStr">
        <is>
          <t>Lay</t>
        </is>
      </c>
      <c r="G430" s="47" t="inlineStr">
        <is>
          <t>Lay</t>
        </is>
      </c>
      <c r="H430" s="41" t="n">
        <v>4.4</v>
      </c>
      <c r="I430" s="41" t="n">
        <v>2.24</v>
      </c>
      <c r="J430" s="16" t="n">
        <v>-0.0975</v>
      </c>
      <c r="K430" s="42" t="n">
        <v>1</v>
      </c>
      <c r="L430" s="15" t="n">
        <v>1</v>
      </c>
      <c r="M430" s="43" t="inlineStr">
        <is>
          <t>Loss</t>
        </is>
      </c>
      <c r="N430" s="17">
        <f>IF(M430="Win",IF(F430="Bet",(I430-1)*K430,K430),IF(M430="Loss",IF(F430="Bet",-K430,-(I430-1)*K430),IF(M430="Void",0,"")))</f>
        <v/>
      </c>
      <c r="O430" s="18">
        <f>IF(OR(M430="Win",M430="Loss"),IF(F430="Bet",K430,(I430-1)*K430),"")</f>
        <v/>
      </c>
    </row>
    <row r="431">
      <c r="A431" s="44" t="n">
        <v>46288</v>
      </c>
      <c r="B431" s="45" t="inlineStr">
        <is>
          <t>Geelong</t>
        </is>
      </c>
      <c r="C431" s="21" t="n">
        <v>8</v>
      </c>
      <c r="D431" s="21" t="n">
        <v>8</v>
      </c>
      <c r="E431" s="20" t="inlineStr">
        <is>
          <t>It's A Yes</t>
        </is>
      </c>
      <c r="F431" s="46" t="inlineStr">
        <is>
          <t>Lay</t>
        </is>
      </c>
      <c r="G431" s="47" t="inlineStr">
        <is>
          <t>Lay</t>
        </is>
      </c>
      <c r="H431" s="48" t="n">
        <v>4.5</v>
      </c>
      <c r="I431" s="48" t="n">
        <v>2.31</v>
      </c>
      <c r="J431" s="22" t="n">
        <v>-0.089</v>
      </c>
      <c r="K431" s="49" t="n">
        <v>1</v>
      </c>
      <c r="L431" s="21" t="n">
        <v>4</v>
      </c>
      <c r="M431" s="50" t="inlineStr">
        <is>
          <t>Win</t>
        </is>
      </c>
      <c r="N431" s="23">
        <f>IF(M431="Win",IF(F431="Bet",(I431-1)*K431,K431),IF(M431="Loss",IF(F431="Bet",-K431,-(I431-1)*K431),IF(M431="Void",0,"")))</f>
        <v/>
      </c>
      <c r="O431" s="24">
        <f>IF(OR(M431="Win",M431="Loss"),IF(F431="Bet",K431,(I431-1)*K431),"")</f>
        <v/>
      </c>
    </row>
    <row r="432">
      <c r="A432" s="37" t="n">
        <v>46288</v>
      </c>
      <c r="B432" s="38" t="inlineStr">
        <is>
          <t>Eagle Farm</t>
        </is>
      </c>
      <c r="C432" s="15" t="n">
        <v>4</v>
      </c>
      <c r="D432" s="15" t="n">
        <v>11</v>
      </c>
      <c r="E432" s="14" t="inlineStr">
        <is>
          <t>Hell Or Heaven</t>
        </is>
      </c>
      <c r="F432" s="43" t="inlineStr">
        <is>
          <t>Lay</t>
        </is>
      </c>
      <c r="G432" s="47" t="inlineStr">
        <is>
          <t>Lay</t>
        </is>
      </c>
      <c r="H432" s="41" t="n">
        <v>11.8</v>
      </c>
      <c r="I432" s="41" t="n">
        <v>4.4</v>
      </c>
      <c r="J432" s="16" t="n">
        <v>-0.0624</v>
      </c>
      <c r="K432" s="42" t="n">
        <v>1</v>
      </c>
      <c r="L432" s="15" t="n">
        <v>2</v>
      </c>
      <c r="M432" s="51" t="inlineStr">
        <is>
          <t>Win</t>
        </is>
      </c>
      <c r="N432" s="17">
        <f>IF(M432="Win",IF(F432="Bet",(I432-1)*K432,K432),IF(M432="Loss",IF(F432="Bet",-K432,-(I432-1)*K432),IF(M432="Void",0,"")))</f>
        <v/>
      </c>
      <c r="O432" s="18">
        <f>IF(OR(M432="Win",M432="Loss"),IF(F432="Bet",K432,(I432-1)*K432),"")</f>
        <v/>
      </c>
    </row>
    <row r="433">
      <c r="A433" s="44" t="n">
        <v>46288</v>
      </c>
      <c r="B433" s="45" t="inlineStr">
        <is>
          <t>Gawler</t>
        </is>
      </c>
      <c r="C433" s="21" t="n">
        <v>6</v>
      </c>
      <c r="D433" s="21" t="n">
        <v>3</v>
      </c>
      <c r="E433" s="20" t="inlineStr">
        <is>
          <t>Ilustrious Warrior</t>
        </is>
      </c>
      <c r="F433" s="46" t="inlineStr">
        <is>
          <t>Lay</t>
        </is>
      </c>
      <c r="G433" s="47" t="inlineStr">
        <is>
          <t>Lay</t>
        </is>
      </c>
      <c r="H433" s="48" t="n">
        <v>6.9</v>
      </c>
      <c r="I433" s="48" t="n">
        <v>3.65</v>
      </c>
      <c r="J433" s="22" t="n">
        <v>-0.06279999999999999</v>
      </c>
      <c r="K433" s="49" t="n">
        <v>1</v>
      </c>
      <c r="L433" s="21" t="n">
        <v>4</v>
      </c>
      <c r="M433" s="50" t="inlineStr">
        <is>
          <t>Win</t>
        </is>
      </c>
      <c r="N433" s="23">
        <f>IF(M433="Win",IF(F433="Bet",(I433-1)*K433,K433),IF(M433="Loss",IF(F433="Bet",-K433,-(I433-1)*K433),IF(M433="Void",0,"")))</f>
        <v/>
      </c>
      <c r="O433" s="24">
        <f>IF(OR(M433="Win",M433="Loss"),IF(F433="Bet",K433,(I433-1)*K433),"")</f>
        <v/>
      </c>
    </row>
    <row r="434">
      <c r="A434" s="37" t="n">
        <v>46288</v>
      </c>
      <c r="B434" s="38" t="inlineStr">
        <is>
          <t>Eagle Farm</t>
        </is>
      </c>
      <c r="C434" s="15" t="n">
        <v>7</v>
      </c>
      <c r="D434" s="15" t="n">
        <v>15</v>
      </c>
      <c r="E434" s="14" t="inlineStr">
        <is>
          <t>Lady Windermere</t>
        </is>
      </c>
      <c r="F434" s="39" t="inlineStr">
        <is>
          <t>Bet</t>
        </is>
      </c>
      <c r="G434" s="40" t="inlineStr">
        <is>
          <t>Bet</t>
        </is>
      </c>
      <c r="H434" s="41" t="n">
        <v>8</v>
      </c>
      <c r="I434" s="41" t="n">
        <v>9.5</v>
      </c>
      <c r="J434" s="16" t="n">
        <v>0.0204</v>
      </c>
      <c r="K434" s="42" t="n">
        <v>1</v>
      </c>
      <c r="L434" s="15" t="n">
        <v>7</v>
      </c>
      <c r="M434" s="43" t="inlineStr">
        <is>
          <t>Loss</t>
        </is>
      </c>
      <c r="N434" s="17">
        <f>IF(M434="Win",IF(F434="Bet",(I434-1)*K434,K434),IF(M434="Loss",IF(F434="Bet",-K434,-(I434-1)*K434),IF(M434="Void",0,"")))</f>
        <v/>
      </c>
      <c r="O434" s="18">
        <f>IF(OR(M434="Win",M434="Loss"),IF(F434="Bet",K434,(I434-1)*K434),"")</f>
        <v/>
      </c>
    </row>
    <row r="435">
      <c r="A435" s="44" t="n">
        <v>46288</v>
      </c>
      <c r="B435" s="45" t="inlineStr">
        <is>
          <t>Geelong</t>
        </is>
      </c>
      <c r="C435" s="21" t="n">
        <v>6</v>
      </c>
      <c r="D435" s="21" t="n">
        <v>3</v>
      </c>
      <c r="E435" s="20" t="inlineStr">
        <is>
          <t>Shultzy</t>
        </is>
      </c>
      <c r="F435" s="52" t="inlineStr">
        <is>
          <t>Bet</t>
        </is>
      </c>
      <c r="G435" s="40" t="inlineStr">
        <is>
          <t>Bet</t>
        </is>
      </c>
      <c r="H435" s="48" t="n">
        <v>6</v>
      </c>
      <c r="I435" s="48" t="n">
        <v>7</v>
      </c>
      <c r="J435" s="22" t="n">
        <v>0.024</v>
      </c>
      <c r="K435" s="49" t="n">
        <v>1</v>
      </c>
      <c r="L435" s="21" t="n"/>
      <c r="M435" s="55" t="inlineStr">
        <is>
          <t>Void</t>
        </is>
      </c>
      <c r="N435" s="23">
        <f>IF(M435="Win",IF(F435="Bet",(I435-1)*K435,K435),IF(M435="Loss",IF(F435="Bet",-K435,-(I435-1)*K435),IF(M435="Void",0,"")))</f>
        <v/>
      </c>
      <c r="O435" s="24">
        <f>IF(OR(M435="Win",M435="Loss"),IF(F435="Bet",K435,(I435-1)*K435),"")</f>
        <v/>
      </c>
    </row>
    <row r="436">
      <c r="A436" s="37" t="n">
        <v>46288</v>
      </c>
      <c r="B436" s="38" t="inlineStr">
        <is>
          <t>Geelong</t>
        </is>
      </c>
      <c r="C436" s="15" t="n">
        <v>3</v>
      </c>
      <c r="D436" s="15" t="n">
        <v>3</v>
      </c>
      <c r="E436" s="14" t="inlineStr">
        <is>
          <t>Fringilla</t>
        </is>
      </c>
      <c r="F436" s="39" t="inlineStr">
        <is>
          <t>Bet</t>
        </is>
      </c>
      <c r="G436" s="40" t="inlineStr">
        <is>
          <t>Bet</t>
        </is>
      </c>
      <c r="H436" s="41" t="n">
        <v>4</v>
      </c>
      <c r="I436" s="41" t="n">
        <v>4.4</v>
      </c>
      <c r="J436" s="16" t="n">
        <v>0.0205</v>
      </c>
      <c r="K436" s="42" t="n">
        <v>1</v>
      </c>
      <c r="L436" s="15" t="n">
        <v>2</v>
      </c>
      <c r="M436" s="43" t="inlineStr">
        <is>
          <t>Loss</t>
        </is>
      </c>
      <c r="N436" s="17">
        <f>IF(M436="Win",IF(F436="Bet",(I436-1)*K436,K436),IF(M436="Loss",IF(F436="Bet",-K436,-(I436-1)*K436),IF(M436="Void",0,"")))</f>
        <v/>
      </c>
      <c r="O436" s="18">
        <f>IF(OR(M436="Win",M436="Loss"),IF(F436="Bet",K436,(I436-1)*K436),"")</f>
        <v/>
      </c>
    </row>
    <row r="437">
      <c r="A437" s="44" t="n">
        <v>46288</v>
      </c>
      <c r="B437" s="45" t="inlineStr">
        <is>
          <t>Warwick Farm</t>
        </is>
      </c>
      <c r="C437" s="21" t="n">
        <v>7</v>
      </c>
      <c r="D437" s="21" t="n">
        <v>10</v>
      </c>
      <c r="E437" s="20" t="inlineStr">
        <is>
          <t>Agatha</t>
        </is>
      </c>
      <c r="F437" s="52" t="inlineStr">
        <is>
          <t>Bet</t>
        </is>
      </c>
      <c r="G437" s="40" t="inlineStr">
        <is>
          <t>Bet</t>
        </is>
      </c>
      <c r="H437" s="48" t="n">
        <v>3.3</v>
      </c>
      <c r="I437" s="48" t="n">
        <v>4.31</v>
      </c>
      <c r="J437" s="22" t="n">
        <v>0.0388</v>
      </c>
      <c r="K437" s="49" t="n">
        <v>1</v>
      </c>
      <c r="L437" s="21" t="n">
        <v>3</v>
      </c>
      <c r="M437" s="46" t="inlineStr">
        <is>
          <t>Loss</t>
        </is>
      </c>
      <c r="N437" s="23">
        <f>IF(M437="Win",IF(F437="Bet",(I437-1)*K437,K437),IF(M437="Loss",IF(F437="Bet",-K437,-(I437-1)*K437),IF(M437="Void",0,"")))</f>
        <v/>
      </c>
      <c r="O437" s="24">
        <f>IF(OR(M437="Win",M437="Loss"),IF(F437="Bet",K437,(I437-1)*K437),"")</f>
        <v/>
      </c>
    </row>
    <row r="438">
      <c r="A438" s="37" t="n">
        <v>46288</v>
      </c>
      <c r="B438" s="38" t="inlineStr">
        <is>
          <t>Warwick Farm</t>
        </is>
      </c>
      <c r="C438" s="15" t="n">
        <v>6</v>
      </c>
      <c r="D438" s="15" t="n">
        <v>4</v>
      </c>
      <c r="E438" s="14" t="inlineStr">
        <is>
          <t>Bartolf</t>
        </is>
      </c>
      <c r="F438" s="43" t="inlineStr">
        <is>
          <t>Lay</t>
        </is>
      </c>
      <c r="G438" s="47" t="inlineStr">
        <is>
          <t>Lay</t>
        </is>
      </c>
      <c r="H438" s="41" t="n">
        <v>6.1</v>
      </c>
      <c r="I438" s="41" t="n">
        <v>4.1</v>
      </c>
      <c r="J438" s="16" t="n">
        <v>-0.0789</v>
      </c>
      <c r="K438" s="42" t="n">
        <v>1</v>
      </c>
      <c r="L438" s="15" t="n">
        <v>5</v>
      </c>
      <c r="M438" s="51" t="inlineStr">
        <is>
          <t>Win</t>
        </is>
      </c>
      <c r="N438" s="17">
        <f>IF(M438="Win",IF(F438="Bet",(I438-1)*K438,K438),IF(M438="Loss",IF(F438="Bet",-K438,-(I438-1)*K438),IF(M438="Void",0,"")))</f>
        <v/>
      </c>
      <c r="O438" s="18">
        <f>IF(OR(M438="Win",M438="Loss"),IF(F438="Bet",K438,(I438-1)*K438),"")</f>
        <v/>
      </c>
    </row>
    <row r="439">
      <c r="A439" s="44" t="n">
        <v>46288</v>
      </c>
      <c r="B439" s="45" t="inlineStr">
        <is>
          <t>Warwick Farm</t>
        </is>
      </c>
      <c r="C439" s="21" t="n">
        <v>6</v>
      </c>
      <c r="D439" s="21" t="n">
        <v>6</v>
      </c>
      <c r="E439" s="20" t="inlineStr">
        <is>
          <t>Call Me Gorgeous</t>
        </is>
      </c>
      <c r="F439" s="52" t="inlineStr">
        <is>
          <t>Bet</t>
        </is>
      </c>
      <c r="G439" s="40" t="inlineStr">
        <is>
          <t>Bet</t>
        </is>
      </c>
      <c r="H439" s="48" t="n">
        <v>5.7</v>
      </c>
      <c r="I439" s="48" t="n">
        <v>6.5</v>
      </c>
      <c r="J439" s="22" t="n">
        <v>0.0218</v>
      </c>
      <c r="K439" s="49" t="n">
        <v>1</v>
      </c>
      <c r="L439" s="21" t="n">
        <v>7</v>
      </c>
      <c r="M439" s="46" t="inlineStr">
        <is>
          <t>Loss</t>
        </is>
      </c>
      <c r="N439" s="23">
        <f>IF(M439="Win",IF(F439="Bet",(I439-1)*K439,K439),IF(M439="Loss",IF(F439="Bet",-K439,-(I439-1)*K439),IF(M439="Void",0,"")))</f>
        <v/>
      </c>
      <c r="O439" s="24">
        <f>IF(OR(M439="Win",M439="Loss"),IF(F439="Bet",K439,(I439-1)*K439),"")</f>
        <v/>
      </c>
    </row>
    <row r="440">
      <c r="A440" s="37" t="n">
        <v>46288</v>
      </c>
      <c r="B440" s="38" t="inlineStr">
        <is>
          <t>Gawler</t>
        </is>
      </c>
      <c r="C440" s="15" t="n">
        <v>7</v>
      </c>
      <c r="D440" s="15" t="n">
        <v>3</v>
      </c>
      <c r="E440" s="14" t="inlineStr">
        <is>
          <t>Yarrawizardharry</t>
        </is>
      </c>
      <c r="F440" s="43" t="inlineStr">
        <is>
          <t>Lay</t>
        </is>
      </c>
      <c r="G440" s="47" t="inlineStr">
        <is>
          <t>Lay</t>
        </is>
      </c>
      <c r="H440" s="41" t="n">
        <v>6.3</v>
      </c>
      <c r="I440" s="41" t="n">
        <v>3.61</v>
      </c>
      <c r="J440" s="16" t="n">
        <v>-0.06270000000000001</v>
      </c>
      <c r="K440" s="42" t="n">
        <v>1</v>
      </c>
      <c r="L440" s="15" t="n">
        <v>3</v>
      </c>
      <c r="M440" s="51" t="inlineStr">
        <is>
          <t>Win</t>
        </is>
      </c>
      <c r="N440" s="17">
        <f>IF(M440="Win",IF(F440="Bet",(I440-1)*K440,K440),IF(M440="Loss",IF(F440="Bet",-K440,-(I440-1)*K440),IF(M440="Void",0,"")))</f>
        <v/>
      </c>
      <c r="O440" s="18">
        <f>IF(OR(M440="Win",M440="Loss"),IF(F440="Bet",K440,(I440-1)*K440),"")</f>
        <v/>
      </c>
    </row>
    <row r="441">
      <c r="A441" s="44" t="n">
        <v>46288</v>
      </c>
      <c r="B441" s="45" t="inlineStr">
        <is>
          <t>Northam</t>
        </is>
      </c>
      <c r="C441" s="21" t="n">
        <v>7</v>
      </c>
      <c r="D441" s="21" t="n">
        <v>8</v>
      </c>
      <c r="E441" s="20" t="inlineStr">
        <is>
          <t>My Jimmy</t>
        </is>
      </c>
      <c r="F441" s="46" t="inlineStr">
        <is>
          <t>Lay</t>
        </is>
      </c>
      <c r="G441" s="47" t="inlineStr">
        <is>
          <t>Lay</t>
        </is>
      </c>
      <c r="H441" s="48" t="n">
        <v>5</v>
      </c>
      <c r="I441" s="48" t="n">
        <v>3.25</v>
      </c>
      <c r="J441" s="22" t="n">
        <v>-0.06510000000000001</v>
      </c>
      <c r="K441" s="49" t="n">
        <v>1</v>
      </c>
      <c r="L441" s="21" t="n">
        <v>3</v>
      </c>
      <c r="M441" s="50" t="inlineStr">
        <is>
          <t>Win</t>
        </is>
      </c>
      <c r="N441" s="23">
        <f>IF(M441="Win",IF(F441="Bet",(I441-1)*K441,K441),IF(M441="Loss",IF(F441="Bet",-K441,-(I441-1)*K441),IF(M441="Void",0,"")))</f>
        <v/>
      </c>
      <c r="O441" s="24">
        <f>IF(OR(M441="Win",M441="Loss"),IF(F441="Bet",K441,(I441-1)*K441),"")</f>
        <v/>
      </c>
    </row>
    <row r="442">
      <c r="A442" s="37" t="n">
        <v>46288</v>
      </c>
      <c r="B442" s="38" t="inlineStr">
        <is>
          <t>Gawler</t>
        </is>
      </c>
      <c r="C442" s="15" t="n">
        <v>3</v>
      </c>
      <c r="D442" s="15" t="n">
        <v>6</v>
      </c>
      <c r="E442" s="14" t="inlineStr">
        <is>
          <t>Extra Chill</t>
        </is>
      </c>
      <c r="F442" s="43" t="inlineStr">
        <is>
          <t>Lay</t>
        </is>
      </c>
      <c r="G442" s="47" t="inlineStr">
        <is>
          <t>Lay</t>
        </is>
      </c>
      <c r="H442" s="41" t="n">
        <v>3</v>
      </c>
      <c r="I442" s="41" t="n">
        <v>2.48</v>
      </c>
      <c r="J442" s="16" t="n">
        <v>-0.07049999999999999</v>
      </c>
      <c r="K442" s="42" t="n">
        <v>1</v>
      </c>
      <c r="L442" s="15" t="n">
        <v>6</v>
      </c>
      <c r="M442" s="51" t="inlineStr">
        <is>
          <t>Win</t>
        </is>
      </c>
      <c r="N442" s="17">
        <f>IF(M442="Win",IF(F442="Bet",(I442-1)*K442,K442),IF(M442="Loss",IF(F442="Bet",-K442,-(I442-1)*K442),IF(M442="Void",0,"")))</f>
        <v/>
      </c>
      <c r="O442" s="18">
        <f>IF(OR(M442="Win",M442="Loss"),IF(F442="Bet",K442,(I442-1)*K442),"")</f>
        <v/>
      </c>
    </row>
    <row r="443">
      <c r="A443" s="44" t="n">
        <v>46288</v>
      </c>
      <c r="B443" s="45" t="inlineStr">
        <is>
          <t>Eagle Farm</t>
        </is>
      </c>
      <c r="C443" s="21" t="n">
        <v>4</v>
      </c>
      <c r="D443" s="21" t="n">
        <v>6</v>
      </c>
      <c r="E443" s="20" t="inlineStr">
        <is>
          <t>Anderlay</t>
        </is>
      </c>
      <c r="F443" s="52" t="inlineStr">
        <is>
          <t>Bet</t>
        </is>
      </c>
      <c r="G443" s="40" t="inlineStr">
        <is>
          <t>Bet</t>
        </is>
      </c>
      <c r="H443" s="48" t="n">
        <v>6.5</v>
      </c>
      <c r="I443" s="48" t="n">
        <v>10</v>
      </c>
      <c r="J443" s="22" t="n">
        <v>0.0216</v>
      </c>
      <c r="K443" s="49" t="n">
        <v>1</v>
      </c>
      <c r="L443" s="21" t="n">
        <v>5</v>
      </c>
      <c r="M443" s="46" t="inlineStr">
        <is>
          <t>Loss</t>
        </is>
      </c>
      <c r="N443" s="23">
        <f>IF(M443="Win",IF(F443="Bet",(I443-1)*K443,K443),IF(M443="Loss",IF(F443="Bet",-K443,-(I443-1)*K443),IF(M443="Void",0,"")))</f>
        <v/>
      </c>
      <c r="O443" s="24">
        <f>IF(OR(M443="Win",M443="Loss"),IF(F443="Bet",K443,(I443-1)*K443),"")</f>
        <v/>
      </c>
    </row>
    <row r="444">
      <c r="A444" s="37" t="n">
        <v>46288</v>
      </c>
      <c r="B444" s="38" t="inlineStr">
        <is>
          <t>Northam</t>
        </is>
      </c>
      <c r="C444" s="15" t="n">
        <v>8</v>
      </c>
      <c r="D444" s="15" t="n">
        <v>1</v>
      </c>
      <c r="E444" s="14" t="inlineStr">
        <is>
          <t>Hey True Blue</t>
        </is>
      </c>
      <c r="F444" s="39" t="inlineStr">
        <is>
          <t>Bet</t>
        </is>
      </c>
      <c r="G444" s="40" t="inlineStr">
        <is>
          <t>Bet</t>
        </is>
      </c>
      <c r="H444" s="41" t="n">
        <v>6.9</v>
      </c>
      <c r="I444" s="41" t="n">
        <v>17</v>
      </c>
      <c r="J444" s="16" t="n">
        <v>0.0201</v>
      </c>
      <c r="K444" s="42" t="n">
        <v>1</v>
      </c>
      <c r="L444" s="15" t="n">
        <v>7</v>
      </c>
      <c r="M444" s="43" t="inlineStr">
        <is>
          <t>Loss</t>
        </is>
      </c>
      <c r="N444" s="17">
        <f>IF(M444="Win",IF(F444="Bet",(I444-1)*K444,K444),IF(M444="Loss",IF(F444="Bet",-K444,-(I444-1)*K444),IF(M444="Void",0,"")))</f>
        <v/>
      </c>
      <c r="O444" s="18">
        <f>IF(OR(M444="Win",M444="Loss"),IF(F444="Bet",K444,(I444-1)*K444),"")</f>
        <v/>
      </c>
    </row>
    <row r="445">
      <c r="A445" s="44" t="n">
        <v>46288</v>
      </c>
      <c r="B445" s="45" t="inlineStr">
        <is>
          <t>Eagle Farm</t>
        </is>
      </c>
      <c r="C445" s="21" t="n">
        <v>6</v>
      </c>
      <c r="D445" s="21" t="n">
        <v>5</v>
      </c>
      <c r="E445" s="20" t="inlineStr">
        <is>
          <t>Fireforce</t>
        </is>
      </c>
      <c r="F445" s="52" t="inlineStr">
        <is>
          <t>Bet</t>
        </is>
      </c>
      <c r="G445" s="40" t="inlineStr">
        <is>
          <t>Bet</t>
        </is>
      </c>
      <c r="H445" s="48" t="n">
        <v>7.9</v>
      </c>
      <c r="I445" s="48" t="n">
        <v>9.5</v>
      </c>
      <c r="J445" s="22" t="n">
        <v>0.0206</v>
      </c>
      <c r="K445" s="49" t="n">
        <v>1</v>
      </c>
      <c r="L445" s="21" t="n">
        <v>8</v>
      </c>
      <c r="M445" s="46" t="inlineStr">
        <is>
          <t>Loss</t>
        </is>
      </c>
      <c r="N445" s="23">
        <f>IF(M445="Win",IF(F445="Bet",(I445-1)*K445,K445),IF(M445="Loss",IF(F445="Bet",-K445,-(I445-1)*K445),IF(M445="Void",0,"")))</f>
        <v/>
      </c>
      <c r="O445" s="24">
        <f>IF(OR(M445="Win",M445="Loss"),IF(F445="Bet",K445,(I445-1)*K445),"")</f>
        <v/>
      </c>
    </row>
    <row r="446">
      <c r="A446" s="37" t="n">
        <v>46288</v>
      </c>
      <c r="B446" s="38" t="inlineStr">
        <is>
          <t>Northam</t>
        </is>
      </c>
      <c r="C446" s="15" t="n">
        <v>5</v>
      </c>
      <c r="D446" s="15" t="n">
        <v>8</v>
      </c>
      <c r="E446" s="14" t="inlineStr">
        <is>
          <t>The Stalagmite</t>
        </is>
      </c>
      <c r="F446" s="39" t="inlineStr">
        <is>
          <t>Bet</t>
        </is>
      </c>
      <c r="G446" s="40" t="inlineStr">
        <is>
          <t>Bet</t>
        </is>
      </c>
      <c r="H446" s="41" t="n">
        <v>7.7</v>
      </c>
      <c r="I446" s="41" t="n">
        <v>9.5</v>
      </c>
      <c r="J446" s="16" t="n">
        <v>0.0247</v>
      </c>
      <c r="K446" s="42" t="n">
        <v>1</v>
      </c>
      <c r="L446" s="15" t="n">
        <v>12</v>
      </c>
      <c r="M446" s="43" t="inlineStr">
        <is>
          <t>Loss</t>
        </is>
      </c>
      <c r="N446" s="17">
        <f>IF(M446="Win",IF(F446="Bet",(I446-1)*K446,K446),IF(M446="Loss",IF(F446="Bet",-K446,-(I446-1)*K446),IF(M446="Void",0,"")))</f>
        <v/>
      </c>
      <c r="O446" s="18">
        <f>IF(OR(M446="Win",M446="Loss"),IF(F446="Bet",K446,(I446-1)*K446),"")</f>
        <v/>
      </c>
    </row>
    <row r="447">
      <c r="A447" s="44" t="n">
        <v>46288</v>
      </c>
      <c r="B447" s="45" t="inlineStr">
        <is>
          <t>Eagle Farm</t>
        </is>
      </c>
      <c r="C447" s="21" t="n">
        <v>4</v>
      </c>
      <c r="D447" s="21" t="n">
        <v>8</v>
      </c>
      <c r="E447" s="20" t="inlineStr">
        <is>
          <t>Buttercup</t>
        </is>
      </c>
      <c r="F447" s="52" t="inlineStr">
        <is>
          <t>Bet</t>
        </is>
      </c>
      <c r="G447" s="40" t="inlineStr">
        <is>
          <t>Bet</t>
        </is>
      </c>
      <c r="H447" s="48" t="n">
        <v>4.2</v>
      </c>
      <c r="I447" s="48" t="n">
        <v>6.89</v>
      </c>
      <c r="J447" s="22" t="n">
        <v>0.0217</v>
      </c>
      <c r="K447" s="49" t="n">
        <v>1</v>
      </c>
      <c r="L447" s="21" t="n">
        <v>3</v>
      </c>
      <c r="M447" s="46" t="inlineStr">
        <is>
          <t>Loss</t>
        </is>
      </c>
      <c r="N447" s="23">
        <f>IF(M447="Win",IF(F447="Bet",(I447-1)*K447,K447),IF(M447="Loss",IF(F447="Bet",-K447,-(I447-1)*K447),IF(M447="Void",0,"")))</f>
        <v/>
      </c>
      <c r="O447" s="24">
        <f>IF(OR(M447="Win",M447="Loss"),IF(F447="Bet",K447,(I447-1)*K447),"")</f>
        <v/>
      </c>
    </row>
    <row r="448">
      <c r="A448" s="37" t="n">
        <v>46288</v>
      </c>
      <c r="B448" s="38" t="inlineStr">
        <is>
          <t>Eagle Farm</t>
        </is>
      </c>
      <c r="C448" s="15" t="n">
        <v>6</v>
      </c>
      <c r="D448" s="15" t="n">
        <v>10</v>
      </c>
      <c r="E448" s="14" t="inlineStr">
        <is>
          <t>Quickzou</t>
        </is>
      </c>
      <c r="F448" s="43" t="inlineStr">
        <is>
          <t>Lay</t>
        </is>
      </c>
      <c r="G448" s="47" t="inlineStr">
        <is>
          <t>Lay</t>
        </is>
      </c>
      <c r="H448" s="41" t="n">
        <v>6</v>
      </c>
      <c r="I448" s="41" t="n">
        <v>4.3</v>
      </c>
      <c r="J448" s="16" t="n">
        <v>-0.0608</v>
      </c>
      <c r="K448" s="42" t="n">
        <v>1</v>
      </c>
      <c r="L448" s="15" t="n">
        <v>2</v>
      </c>
      <c r="M448" s="51" t="inlineStr">
        <is>
          <t>Win</t>
        </is>
      </c>
      <c r="N448" s="17">
        <f>IF(M448="Win",IF(F448="Bet",(I448-1)*K448,K448),IF(M448="Loss",IF(F448="Bet",-K448,-(I448-1)*K448),IF(M448="Void",0,"")))</f>
        <v/>
      </c>
      <c r="O448" s="18">
        <f>IF(OR(M448="Win",M448="Loss"),IF(F448="Bet",K448,(I448-1)*K448),"")</f>
        <v/>
      </c>
    </row>
    <row r="449">
      <c r="A449" s="44" t="n">
        <v>46288</v>
      </c>
      <c r="B449" s="45" t="inlineStr">
        <is>
          <t>Northam</t>
        </is>
      </c>
      <c r="C449" s="21" t="n">
        <v>8</v>
      </c>
      <c r="D449" s="21" t="n">
        <v>7</v>
      </c>
      <c r="E449" s="20" t="inlineStr">
        <is>
          <t>Jemconi</t>
        </is>
      </c>
      <c r="F449" s="46" t="inlineStr">
        <is>
          <t>Lay</t>
        </is>
      </c>
      <c r="G449" s="47" t="inlineStr">
        <is>
          <t>Lay</t>
        </is>
      </c>
      <c r="H449" s="48" t="n">
        <v>5</v>
      </c>
      <c r="I449" s="48" t="n">
        <v>2.98</v>
      </c>
      <c r="J449" s="22" t="n">
        <v>-0.0631</v>
      </c>
      <c r="K449" s="49" t="n">
        <v>1</v>
      </c>
      <c r="L449" s="21" t="n">
        <v>3</v>
      </c>
      <c r="M449" s="50" t="inlineStr">
        <is>
          <t>Win</t>
        </is>
      </c>
      <c r="N449" s="23">
        <f>IF(M449="Win",IF(F449="Bet",(I449-1)*K449,K449),IF(M449="Loss",IF(F449="Bet",-K449,-(I449-1)*K449),IF(M449="Void",0,"")))</f>
        <v/>
      </c>
      <c r="O449" s="24">
        <f>IF(OR(M449="Win",M449="Loss"),IF(F449="Bet",K449,(I449-1)*K449),"")</f>
        <v/>
      </c>
    </row>
    <row r="450">
      <c r="A450" s="37" t="n">
        <v>46288</v>
      </c>
      <c r="B450" s="38" t="inlineStr">
        <is>
          <t>Northam</t>
        </is>
      </c>
      <c r="C450" s="15" t="n">
        <v>8</v>
      </c>
      <c r="D450" s="15" t="n">
        <v>6</v>
      </c>
      <c r="E450" s="14" t="inlineStr">
        <is>
          <t>Hot Chix Lane</t>
        </is>
      </c>
      <c r="F450" s="39" t="inlineStr">
        <is>
          <t>Bet</t>
        </is>
      </c>
      <c r="G450" s="40" t="inlineStr">
        <is>
          <t>Bet</t>
        </is>
      </c>
      <c r="H450" s="41" t="n">
        <v>6.5</v>
      </c>
      <c r="I450" s="41" t="n">
        <v>7.5</v>
      </c>
      <c r="J450" s="16" t="n">
        <v>0.0216</v>
      </c>
      <c r="K450" s="42" t="n">
        <v>1</v>
      </c>
      <c r="L450" s="15" t="n">
        <v>2</v>
      </c>
      <c r="M450" s="43" t="inlineStr">
        <is>
          <t>Loss</t>
        </is>
      </c>
      <c r="N450" s="17">
        <f>IF(M450="Win",IF(F450="Bet",(I450-1)*K450,K450),IF(M450="Loss",IF(F450="Bet",-K450,-(I450-1)*K450),IF(M450="Void",0,"")))</f>
        <v/>
      </c>
      <c r="O450" s="18">
        <f>IF(OR(M450="Win",M450="Loss"),IF(F450="Bet",K450,(I450-1)*K450),"")</f>
        <v/>
      </c>
    </row>
    <row r="451">
      <c r="A451" s="44" t="n">
        <v>46288</v>
      </c>
      <c r="B451" s="45" t="inlineStr">
        <is>
          <t>Geelong</t>
        </is>
      </c>
      <c r="C451" s="21" t="n">
        <v>4</v>
      </c>
      <c r="D451" s="21" t="n">
        <v>6</v>
      </c>
      <c r="E451" s="20" t="inlineStr">
        <is>
          <t>Sirvaldane</t>
        </is>
      </c>
      <c r="F451" s="52" t="inlineStr">
        <is>
          <t>Bet</t>
        </is>
      </c>
      <c r="G451" s="40" t="inlineStr">
        <is>
          <t>Bet</t>
        </is>
      </c>
      <c r="H451" s="48" t="n">
        <v>12.3</v>
      </c>
      <c r="I451" s="48" t="n">
        <v>19</v>
      </c>
      <c r="J451" s="22" t="n">
        <v>0.0226</v>
      </c>
      <c r="K451" s="49" t="n">
        <v>1</v>
      </c>
      <c r="L451" s="21" t="n">
        <v>7</v>
      </c>
      <c r="M451" s="46" t="inlineStr">
        <is>
          <t>Loss</t>
        </is>
      </c>
      <c r="N451" s="23">
        <f>IF(M451="Win",IF(F451="Bet",(I451-1)*K451,K451),IF(M451="Loss",IF(F451="Bet",-K451,-(I451-1)*K451),IF(M451="Void",0,"")))</f>
        <v/>
      </c>
      <c r="O451" s="24">
        <f>IF(OR(M451="Win",M451="Loss"),IF(F451="Bet",K451,(I451-1)*K451),"")</f>
        <v/>
      </c>
    </row>
    <row r="452">
      <c r="A452" s="37" t="n">
        <v>46288</v>
      </c>
      <c r="B452" s="38" t="inlineStr">
        <is>
          <t>Northam</t>
        </is>
      </c>
      <c r="C452" s="15" t="n">
        <v>2</v>
      </c>
      <c r="D452" s="15" t="n">
        <v>2</v>
      </c>
      <c r="E452" s="14" t="inlineStr">
        <is>
          <t>Official Business</t>
        </is>
      </c>
      <c r="F452" s="43" t="inlineStr">
        <is>
          <t>Lay</t>
        </is>
      </c>
      <c r="G452" s="47" t="inlineStr">
        <is>
          <t>Lay</t>
        </is>
      </c>
      <c r="H452" s="41" t="n">
        <v>3.4</v>
      </c>
      <c r="I452" s="41" t="n">
        <v>2.42</v>
      </c>
      <c r="J452" s="16" t="n">
        <v>-0.0722</v>
      </c>
      <c r="K452" s="42" t="n">
        <v>1</v>
      </c>
      <c r="L452" s="15" t="n">
        <v>1</v>
      </c>
      <c r="M452" s="43" t="inlineStr">
        <is>
          <t>Loss</t>
        </is>
      </c>
      <c r="N452" s="17">
        <f>IF(M452="Win",IF(F452="Bet",(I452-1)*K452,K452),IF(M452="Loss",IF(F452="Bet",-K452,-(I452-1)*K452),IF(M452="Void",0,"")))</f>
        <v/>
      </c>
      <c r="O452" s="18">
        <f>IF(OR(M452="Win",M452="Loss"),IF(F452="Bet",K452,(I452-1)*K452),"")</f>
        <v/>
      </c>
    </row>
    <row r="453">
      <c r="A453" s="44" t="n">
        <v>46288</v>
      </c>
      <c r="B453" s="45" t="inlineStr">
        <is>
          <t>Gawler</t>
        </is>
      </c>
      <c r="C453" s="21" t="n">
        <v>4</v>
      </c>
      <c r="D453" s="21" t="n">
        <v>2</v>
      </c>
      <c r="E453" s="20" t="inlineStr">
        <is>
          <t>Spangled Sipper</t>
        </is>
      </c>
      <c r="F453" s="52" t="inlineStr">
        <is>
          <t>Bet</t>
        </is>
      </c>
      <c r="G453" s="40" t="inlineStr">
        <is>
          <t>Bet</t>
        </is>
      </c>
      <c r="H453" s="48" t="n">
        <v>6.9</v>
      </c>
      <c r="I453" s="48" t="n">
        <v>8</v>
      </c>
      <c r="J453" s="22" t="n">
        <v>0.0204</v>
      </c>
      <c r="K453" s="49" t="n">
        <v>1</v>
      </c>
      <c r="L453" s="21" t="n">
        <v>5</v>
      </c>
      <c r="M453" s="46" t="inlineStr">
        <is>
          <t>Loss</t>
        </is>
      </c>
      <c r="N453" s="23">
        <f>IF(M453="Win",IF(F453="Bet",(I453-1)*K453,K453),IF(M453="Loss",IF(F453="Bet",-K453,-(I453-1)*K453),IF(M453="Void",0,"")))</f>
        <v/>
      </c>
      <c r="O453" s="24">
        <f>IF(OR(M453="Win",M453="Loss"),IF(F453="Bet",K453,(I453-1)*K453),"")</f>
        <v/>
      </c>
    </row>
    <row r="454">
      <c r="A454" s="37" t="n">
        <v>46288</v>
      </c>
      <c r="B454" s="38" t="inlineStr">
        <is>
          <t>Geelong</t>
        </is>
      </c>
      <c r="C454" s="15" t="n">
        <v>2</v>
      </c>
      <c r="D454" s="15" t="n">
        <v>10</v>
      </c>
      <c r="E454" s="14" t="inlineStr">
        <is>
          <t>True Rebel</t>
        </is>
      </c>
      <c r="F454" s="39" t="inlineStr">
        <is>
          <t>Bet</t>
        </is>
      </c>
      <c r="G454" s="40" t="inlineStr">
        <is>
          <t>Bet</t>
        </is>
      </c>
      <c r="H454" s="41" t="n">
        <v>1.9</v>
      </c>
      <c r="I454" s="41" t="n">
        <v>2.1</v>
      </c>
      <c r="J454" s="16" t="n">
        <v>0.0207</v>
      </c>
      <c r="K454" s="42" t="n">
        <v>1</v>
      </c>
      <c r="L454" s="15" t="n">
        <v>1</v>
      </c>
      <c r="M454" s="51" t="inlineStr">
        <is>
          <t>Win</t>
        </is>
      </c>
      <c r="N454" s="17">
        <f>IF(M454="Win",IF(F454="Bet",(I454-1)*K454,K454),IF(M454="Loss",IF(F454="Bet",-K454,-(I454-1)*K454),IF(M454="Void",0,"")))</f>
        <v/>
      </c>
      <c r="O454" s="18">
        <f>IF(OR(M454="Win",M454="Loss"),IF(F454="Bet",K454,(I454-1)*K454),"")</f>
        <v/>
      </c>
    </row>
    <row r="455">
      <c r="A455" s="44" t="n">
        <v>46288</v>
      </c>
      <c r="B455" s="45" t="inlineStr">
        <is>
          <t>Eagle Farm</t>
        </is>
      </c>
      <c r="C455" s="21" t="n">
        <v>2</v>
      </c>
      <c r="D455" s="21" t="n">
        <v>8</v>
      </c>
      <c r="E455" s="20" t="inlineStr">
        <is>
          <t>Whiskey Warrior</t>
        </is>
      </c>
      <c r="F455" s="46" t="inlineStr">
        <is>
          <t>Lay</t>
        </is>
      </c>
      <c r="G455" s="47" t="inlineStr">
        <is>
          <t>Lay</t>
        </is>
      </c>
      <c r="H455" s="48" t="n">
        <v>13.4</v>
      </c>
      <c r="I455" s="48" t="n">
        <v>5.4</v>
      </c>
      <c r="J455" s="22" t="n">
        <v>-0.0604</v>
      </c>
      <c r="K455" s="49" t="n">
        <v>1</v>
      </c>
      <c r="L455" s="21" t="n">
        <v>9</v>
      </c>
      <c r="M455" s="50" t="inlineStr">
        <is>
          <t>Win</t>
        </is>
      </c>
      <c r="N455" s="23">
        <f>IF(M455="Win",IF(F455="Bet",(I455-1)*K455,K455),IF(M455="Loss",IF(F455="Bet",-K455,-(I455-1)*K455),IF(M455="Void",0,"")))</f>
        <v/>
      </c>
      <c r="O455" s="24">
        <f>IF(OR(M455="Win",M455="Loss"),IF(F455="Bet",K455,(I455-1)*K455),"")</f>
        <v/>
      </c>
    </row>
    <row r="456">
      <c r="A456" s="37" t="n">
        <v>46288</v>
      </c>
      <c r="B456" s="38" t="inlineStr">
        <is>
          <t>Gawler</t>
        </is>
      </c>
      <c r="C456" s="15" t="n">
        <v>1</v>
      </c>
      <c r="D456" s="15" t="n">
        <v>7</v>
      </c>
      <c r="E456" s="14" t="inlineStr">
        <is>
          <t>Snobbery</t>
        </is>
      </c>
      <c r="F456" s="39" t="inlineStr">
        <is>
          <t>Bet</t>
        </is>
      </c>
      <c r="G456" s="40" t="inlineStr">
        <is>
          <t>Bet</t>
        </is>
      </c>
      <c r="H456" s="41" t="n">
        <v>7.9</v>
      </c>
      <c r="I456" s="41" t="n">
        <v>15</v>
      </c>
      <c r="J456" s="16" t="n">
        <v>0.0209</v>
      </c>
      <c r="K456" s="42" t="n">
        <v>1</v>
      </c>
      <c r="L456" s="15" t="n">
        <v>5</v>
      </c>
      <c r="M456" s="43" t="inlineStr">
        <is>
          <t>Loss</t>
        </is>
      </c>
      <c r="N456" s="17">
        <f>IF(M456="Win",IF(F456="Bet",(I456-1)*K456,K456),IF(M456="Loss",IF(F456="Bet",-K456,-(I456-1)*K456),IF(M456="Void",0,"")))</f>
        <v/>
      </c>
      <c r="O456" s="18">
        <f>IF(OR(M456="Win",M456="Loss"),IF(F456="Bet",K456,(I456-1)*K456),"")</f>
        <v/>
      </c>
    </row>
    <row r="457">
      <c r="A457" s="44" t="n">
        <v>46288</v>
      </c>
      <c r="B457" s="45" t="inlineStr">
        <is>
          <t>Geelong</t>
        </is>
      </c>
      <c r="C457" s="21" t="n">
        <v>2</v>
      </c>
      <c r="D457" s="21" t="n">
        <v>8</v>
      </c>
      <c r="E457" s="20" t="inlineStr">
        <is>
          <t>Meness</t>
        </is>
      </c>
      <c r="F457" s="46" t="inlineStr">
        <is>
          <t>Lay</t>
        </is>
      </c>
      <c r="G457" s="47" t="inlineStr">
        <is>
          <t>Lay</t>
        </is>
      </c>
      <c r="H457" s="48" t="n">
        <v>2.6</v>
      </c>
      <c r="I457" s="48" t="n">
        <v>2.22</v>
      </c>
      <c r="J457" s="22" t="n">
        <v>-0.0633</v>
      </c>
      <c r="K457" s="49" t="n">
        <v>1</v>
      </c>
      <c r="L457" s="21" t="n">
        <v>2</v>
      </c>
      <c r="M457" s="50" t="inlineStr">
        <is>
          <t>Win</t>
        </is>
      </c>
      <c r="N457" s="23">
        <f>IF(M457="Win",IF(F457="Bet",(I457-1)*K457,K457),IF(M457="Loss",IF(F457="Bet",-K457,-(I457-1)*K457),IF(M457="Void",0,"")))</f>
        <v/>
      </c>
      <c r="O457" s="24">
        <f>IF(OR(M457="Win",M457="Loss"),IF(F457="Bet",K457,(I457-1)*K457),"")</f>
        <v/>
      </c>
    </row>
    <row r="458">
      <c r="A458" s="37" t="n">
        <v>46288</v>
      </c>
      <c r="B458" s="38" t="inlineStr">
        <is>
          <t>Geelong</t>
        </is>
      </c>
      <c r="C458" s="15" t="n">
        <v>8</v>
      </c>
      <c r="D458" s="15" t="n">
        <v>6</v>
      </c>
      <c r="E458" s="14" t="inlineStr">
        <is>
          <t>Sea Poem</t>
        </is>
      </c>
      <c r="F458" s="39" t="inlineStr">
        <is>
          <t>Bet</t>
        </is>
      </c>
      <c r="G458" s="40" t="inlineStr">
        <is>
          <t>Bet</t>
        </is>
      </c>
      <c r="H458" s="41" t="n">
        <v>6.1</v>
      </c>
      <c r="I458" s="41" t="n">
        <v>8</v>
      </c>
      <c r="J458" s="16" t="n">
        <v>0.0205</v>
      </c>
      <c r="K458" s="42" t="n">
        <v>1</v>
      </c>
      <c r="L458" s="15" t="n">
        <v>3</v>
      </c>
      <c r="M458" s="43" t="inlineStr">
        <is>
          <t>Loss</t>
        </is>
      </c>
      <c r="N458" s="17">
        <f>IF(M458="Win",IF(F458="Bet",(I458-1)*K458,K458),IF(M458="Loss",IF(F458="Bet",-K458,-(I458-1)*K458),IF(M458="Void",0,"")))</f>
        <v/>
      </c>
      <c r="O458" s="18">
        <f>IF(OR(M458="Win",M458="Loss"),IF(F458="Bet",K458,(I458-1)*K458),"")</f>
        <v/>
      </c>
    </row>
    <row r="459">
      <c r="A459" s="44" t="n">
        <v>46288</v>
      </c>
      <c r="B459" s="45" t="inlineStr">
        <is>
          <t>Warwick Farm</t>
        </is>
      </c>
      <c r="C459" s="21" t="n">
        <v>5</v>
      </c>
      <c r="D459" s="21" t="n">
        <v>7</v>
      </c>
      <c r="E459" s="20" t="inlineStr">
        <is>
          <t>Cobra Club</t>
        </is>
      </c>
      <c r="F459" s="46" t="inlineStr">
        <is>
          <t>Lay</t>
        </is>
      </c>
      <c r="G459" s="47" t="inlineStr">
        <is>
          <t>Lay</t>
        </is>
      </c>
      <c r="H459" s="48" t="n">
        <v>7.6</v>
      </c>
      <c r="I459" s="48" t="n">
        <v>5.1</v>
      </c>
      <c r="J459" s="22" t="n">
        <v>-0.064</v>
      </c>
      <c r="K459" s="49" t="n">
        <v>1</v>
      </c>
      <c r="L459" s="21" t="n">
        <v>10</v>
      </c>
      <c r="M459" s="50" t="inlineStr">
        <is>
          <t>Win</t>
        </is>
      </c>
      <c r="N459" s="23">
        <f>IF(M459="Win",IF(F459="Bet",(I459-1)*K459,K459),IF(M459="Loss",IF(F459="Bet",-K459,-(I459-1)*K459),IF(M459="Void",0,"")))</f>
        <v/>
      </c>
      <c r="O459" s="24">
        <f>IF(OR(M459="Win",M459="Loss"),IF(F459="Bet",K459,(I459-1)*K459),"")</f>
        <v/>
      </c>
    </row>
    <row r="460">
      <c r="A460" s="37" t="n">
        <v>46288</v>
      </c>
      <c r="B460" s="38" t="inlineStr">
        <is>
          <t>Gawler</t>
        </is>
      </c>
      <c r="C460" s="15" t="n">
        <v>3</v>
      </c>
      <c r="D460" s="15" t="n">
        <v>8</v>
      </c>
      <c r="E460" s="14" t="inlineStr">
        <is>
          <t>Terminal Shock</t>
        </is>
      </c>
      <c r="F460" s="43" t="inlineStr">
        <is>
          <t>Lay</t>
        </is>
      </c>
      <c r="G460" s="47" t="inlineStr">
        <is>
          <t>Lay</t>
        </is>
      </c>
      <c r="H460" s="41" t="n">
        <v>8.699999999999999</v>
      </c>
      <c r="I460" s="41" t="n">
        <v>5.4</v>
      </c>
      <c r="J460" s="16" t="n">
        <v>-0.0706</v>
      </c>
      <c r="K460" s="42" t="n">
        <v>1</v>
      </c>
      <c r="L460" s="15" t="n">
        <v>7</v>
      </c>
      <c r="M460" s="51" t="inlineStr">
        <is>
          <t>Win</t>
        </is>
      </c>
      <c r="N460" s="17">
        <f>IF(M460="Win",IF(F460="Bet",(I460-1)*K460,K460),IF(M460="Loss",IF(F460="Bet",-K460,-(I460-1)*K460),IF(M460="Void",0,"")))</f>
        <v/>
      </c>
      <c r="O460" s="18">
        <f>IF(OR(M460="Win",M460="Loss"),IF(F460="Bet",K460,(I460-1)*K460),"")</f>
        <v/>
      </c>
    </row>
    <row r="461">
      <c r="A461" s="44" t="n">
        <v>46288</v>
      </c>
      <c r="B461" s="45" t="inlineStr">
        <is>
          <t>Geelong</t>
        </is>
      </c>
      <c r="C461" s="21" t="n">
        <v>6</v>
      </c>
      <c r="D461" s="21" t="n">
        <v>4</v>
      </c>
      <c r="E461" s="20" t="inlineStr">
        <is>
          <t>Black Peppermint</t>
        </is>
      </c>
      <c r="F461" s="52" t="inlineStr">
        <is>
          <t>Bet</t>
        </is>
      </c>
      <c r="G461" s="40" t="inlineStr">
        <is>
          <t>Bet</t>
        </is>
      </c>
      <c r="H461" s="48" t="n">
        <v>5.1</v>
      </c>
      <c r="I461" s="48" t="n">
        <v>7.04</v>
      </c>
      <c r="J461" s="22" t="n">
        <v>0.0299</v>
      </c>
      <c r="K461" s="49" t="n">
        <v>1</v>
      </c>
      <c r="L461" s="21" t="n">
        <v>3</v>
      </c>
      <c r="M461" s="46" t="inlineStr">
        <is>
          <t>Loss</t>
        </is>
      </c>
      <c r="N461" s="23">
        <f>IF(M461="Win",IF(F461="Bet",(I461-1)*K461,K461),IF(M461="Loss",IF(F461="Bet",-K461,-(I461-1)*K461),IF(M461="Void",0,"")))</f>
        <v/>
      </c>
      <c r="O461" s="24">
        <f>IF(OR(M461="Win",M461="Loss"),IF(F461="Bet",K461,(I461-1)*K461),"")</f>
        <v/>
      </c>
    </row>
    <row r="462">
      <c r="A462" s="37" t="n">
        <v>46288</v>
      </c>
      <c r="B462" s="38" t="inlineStr">
        <is>
          <t>Warwick Farm</t>
        </is>
      </c>
      <c r="C462" s="15" t="n">
        <v>5</v>
      </c>
      <c r="D462" s="15" t="n">
        <v>9</v>
      </c>
      <c r="E462" s="14" t="inlineStr">
        <is>
          <t>Leica Storm</t>
        </is>
      </c>
      <c r="F462" s="43" t="inlineStr">
        <is>
          <t>Lay</t>
        </is>
      </c>
      <c r="G462" s="47" t="inlineStr">
        <is>
          <t>Lay</t>
        </is>
      </c>
      <c r="H462" s="41" t="n">
        <v>7.6</v>
      </c>
      <c r="I462" s="41" t="n">
        <v>5</v>
      </c>
      <c r="J462" s="16" t="n">
        <v>-0.0687</v>
      </c>
      <c r="K462" s="42" t="n">
        <v>1</v>
      </c>
      <c r="L462" s="15" t="n">
        <v>5</v>
      </c>
      <c r="M462" s="51" t="inlineStr">
        <is>
          <t>Win</t>
        </is>
      </c>
      <c r="N462" s="17">
        <f>IF(M462="Win",IF(F462="Bet",(I462-1)*K462,K462),IF(M462="Loss",IF(F462="Bet",-K462,-(I462-1)*K462),IF(M462="Void",0,"")))</f>
        <v/>
      </c>
      <c r="O462" s="18">
        <f>IF(OR(M462="Win",M462="Loss"),IF(F462="Bet",K462,(I462-1)*K462),"")</f>
        <v/>
      </c>
    </row>
    <row r="463">
      <c r="A463" s="44" t="n">
        <v>46288</v>
      </c>
      <c r="B463" s="45" t="inlineStr">
        <is>
          <t>Northam</t>
        </is>
      </c>
      <c r="C463" s="21" t="n">
        <v>4</v>
      </c>
      <c r="D463" s="21" t="n">
        <v>8</v>
      </c>
      <c r="E463" s="20" t="inlineStr">
        <is>
          <t>Grey Ol' Day</t>
        </is>
      </c>
      <c r="F463" s="46" t="inlineStr">
        <is>
          <t>Lay</t>
        </is>
      </c>
      <c r="G463" s="47" t="inlineStr">
        <is>
          <t>Lay</t>
        </is>
      </c>
      <c r="H463" s="48" t="n">
        <v>3</v>
      </c>
      <c r="I463" s="48" t="n">
        <v>2.3</v>
      </c>
      <c r="J463" s="22" t="n">
        <v>-0.103</v>
      </c>
      <c r="K463" s="49" t="n">
        <v>1</v>
      </c>
      <c r="L463" s="21" t="n">
        <v>1</v>
      </c>
      <c r="M463" s="46" t="inlineStr">
        <is>
          <t>Loss</t>
        </is>
      </c>
      <c r="N463" s="23">
        <f>IF(M463="Win",IF(F463="Bet",(I463-1)*K463,K463),IF(M463="Loss",IF(F463="Bet",-K463,-(I463-1)*K463),IF(M463="Void",0,"")))</f>
        <v/>
      </c>
      <c r="O463" s="24">
        <f>IF(OR(M463="Win",M463="Loss"),IF(F463="Bet",K463,(I463-1)*K463),"")</f>
        <v/>
      </c>
    </row>
    <row r="464">
      <c r="A464" s="37" t="n">
        <v>46288</v>
      </c>
      <c r="B464" s="38" t="inlineStr">
        <is>
          <t>Northam</t>
        </is>
      </c>
      <c r="C464" s="15" t="n">
        <v>5</v>
      </c>
      <c r="D464" s="15" t="n">
        <v>3</v>
      </c>
      <c r="E464" s="14" t="inlineStr">
        <is>
          <t>Xelcimus</t>
        </is>
      </c>
      <c r="F464" s="43" t="inlineStr">
        <is>
          <t>Lay</t>
        </is>
      </c>
      <c r="G464" s="47" t="inlineStr">
        <is>
          <t>Lay</t>
        </is>
      </c>
      <c r="H464" s="41" t="n">
        <v>8.800000000000001</v>
      </c>
      <c r="I464" s="41" t="n">
        <v>5.2</v>
      </c>
      <c r="J464" s="16" t="n">
        <v>-0.0688</v>
      </c>
      <c r="K464" s="42" t="n">
        <v>1</v>
      </c>
      <c r="L464" s="15" t="n">
        <v>10</v>
      </c>
      <c r="M464" s="51" t="inlineStr">
        <is>
          <t>Win</t>
        </is>
      </c>
      <c r="N464" s="17">
        <f>IF(M464="Win",IF(F464="Bet",(I464-1)*K464,K464),IF(M464="Loss",IF(F464="Bet",-K464,-(I464-1)*K464),IF(M464="Void",0,"")))</f>
        <v/>
      </c>
      <c r="O464" s="18">
        <f>IF(OR(M464="Win",M464="Loss"),IF(F464="Bet",K464,(I464-1)*K464),"")</f>
        <v/>
      </c>
    </row>
    <row r="465">
      <c r="A465" s="44" t="n">
        <v>46288</v>
      </c>
      <c r="B465" s="45" t="inlineStr">
        <is>
          <t>Northam</t>
        </is>
      </c>
      <c r="C465" s="21" t="n">
        <v>6</v>
      </c>
      <c r="D465" s="21" t="n">
        <v>6</v>
      </c>
      <c r="E465" s="20" t="inlineStr">
        <is>
          <t>Heavenly Rapture</t>
        </is>
      </c>
      <c r="F465" s="52" t="inlineStr">
        <is>
          <t>Bet</t>
        </is>
      </c>
      <c r="G465" s="40" t="inlineStr">
        <is>
          <t>Bet</t>
        </is>
      </c>
      <c r="H465" s="48" t="n">
        <v>4.2</v>
      </c>
      <c r="I465" s="48" t="n">
        <v>4.8</v>
      </c>
      <c r="J465" s="22" t="n">
        <v>0.0231</v>
      </c>
      <c r="K465" s="49" t="n">
        <v>1</v>
      </c>
      <c r="L465" s="21" t="n">
        <v>5</v>
      </c>
      <c r="M465" s="46" t="inlineStr">
        <is>
          <t>Loss</t>
        </is>
      </c>
      <c r="N465" s="23">
        <f>IF(M465="Win",IF(F465="Bet",(I465-1)*K465,K465),IF(M465="Loss",IF(F465="Bet",-K465,-(I465-1)*K465),IF(M465="Void",0,"")))</f>
        <v/>
      </c>
      <c r="O465" s="24">
        <f>IF(OR(M465="Win",M465="Loss"),IF(F465="Bet",K465,(I465-1)*K465),"")</f>
        <v/>
      </c>
    </row>
    <row r="466">
      <c r="A466" s="37" t="n">
        <v>46289</v>
      </c>
      <c r="B466" s="38" t="inlineStr">
        <is>
          <t>Goulburn</t>
        </is>
      </c>
      <c r="C466" s="15" t="n">
        <v>2</v>
      </c>
      <c r="D466" s="15" t="n">
        <v>2</v>
      </c>
      <c r="E466" s="14" t="inlineStr">
        <is>
          <t>Borderfall</t>
        </is>
      </c>
      <c r="F466" s="43" t="inlineStr">
        <is>
          <t>Lay</t>
        </is>
      </c>
      <c r="G466" s="47" t="inlineStr">
        <is>
          <t>Lay</t>
        </is>
      </c>
      <c r="H466" s="41" t="n">
        <v>4.1</v>
      </c>
      <c r="I466" s="41" t="n">
        <v>3</v>
      </c>
      <c r="J466" s="16" t="n">
        <v>-0.0771</v>
      </c>
      <c r="K466" s="42" t="n">
        <v>1</v>
      </c>
      <c r="L466" s="15" t="n">
        <v>3</v>
      </c>
      <c r="M466" s="51" t="inlineStr">
        <is>
          <t>Win</t>
        </is>
      </c>
      <c r="N466" s="17">
        <f>IF(M466="Win",IF(F466="Bet",(I466-1)*K466,K466),IF(M466="Loss",IF(F466="Bet",-K466,-(I466-1)*K466),IF(M466="Void",0,"")))</f>
        <v/>
      </c>
      <c r="O466" s="18">
        <f>IF(OR(M466="Win",M466="Loss"),IF(F466="Bet",K466,(I466-1)*K466),"")</f>
        <v/>
      </c>
    </row>
    <row r="467">
      <c r="A467" s="44" t="n">
        <v>46289</v>
      </c>
      <c r="B467" s="45" t="inlineStr">
        <is>
          <t>Moe</t>
        </is>
      </c>
      <c r="C467" s="21" t="n">
        <v>2</v>
      </c>
      <c r="D467" s="21" t="n">
        <v>10</v>
      </c>
      <c r="E467" s="20" t="inlineStr">
        <is>
          <t>Jean Georges</t>
        </is>
      </c>
      <c r="F467" s="46" t="inlineStr">
        <is>
          <t>Lay</t>
        </is>
      </c>
      <c r="G467" s="47" t="inlineStr">
        <is>
          <t>Lay</t>
        </is>
      </c>
      <c r="H467" s="48" t="n">
        <v>2.85</v>
      </c>
      <c r="I467" s="48" t="n">
        <v>2</v>
      </c>
      <c r="J467" s="22" t="n">
        <v>-0.0747</v>
      </c>
      <c r="K467" s="49" t="n">
        <v>1</v>
      </c>
      <c r="L467" s="21" t="n">
        <v>1</v>
      </c>
      <c r="M467" s="46" t="inlineStr">
        <is>
          <t>Loss</t>
        </is>
      </c>
      <c r="N467" s="23">
        <f>IF(M467="Win",IF(F467="Bet",(I467-1)*K467,K467),IF(M467="Loss",IF(F467="Bet",-K467,-(I467-1)*K467),IF(M467="Void",0,"")))</f>
        <v/>
      </c>
      <c r="O467" s="24">
        <f>IF(OR(M467="Win",M467="Loss"),IF(F467="Bet",K467,(I467-1)*K467),"")</f>
        <v/>
      </c>
    </row>
    <row r="468">
      <c r="A468" s="37" t="n">
        <v>46289</v>
      </c>
      <c r="B468" s="38" t="inlineStr">
        <is>
          <t>Hawkesbury</t>
        </is>
      </c>
      <c r="C468" s="15" t="n">
        <v>6</v>
      </c>
      <c r="D468" s="15" t="n">
        <v>5</v>
      </c>
      <c r="E468" s="14" t="inlineStr">
        <is>
          <t>Ausbred Hed'n'tail</t>
        </is>
      </c>
      <c r="F468" s="43" t="inlineStr">
        <is>
          <t>Lay</t>
        </is>
      </c>
      <c r="G468" s="47" t="inlineStr">
        <is>
          <t>Lay</t>
        </is>
      </c>
      <c r="H468" s="41" t="n">
        <v>4.3</v>
      </c>
      <c r="I468" s="41" t="n">
        <v>2.18</v>
      </c>
      <c r="J468" s="16" t="n">
        <v>-0.0641</v>
      </c>
      <c r="K468" s="42" t="n">
        <v>1</v>
      </c>
      <c r="L468" s="15" t="n">
        <v>3</v>
      </c>
      <c r="M468" s="51" t="inlineStr">
        <is>
          <t>Win</t>
        </is>
      </c>
      <c r="N468" s="17">
        <f>IF(M468="Win",IF(F468="Bet",(I468-1)*K468,K468),IF(M468="Loss",IF(F468="Bet",-K468,-(I468-1)*K468),IF(M468="Void",0,"")))</f>
        <v/>
      </c>
      <c r="O468" s="18">
        <f>IF(OR(M468="Win",M468="Loss"),IF(F468="Bet",K468,(I468-1)*K468),"")</f>
        <v/>
      </c>
    </row>
    <row r="469">
      <c r="A469" s="44" t="n">
        <v>46289</v>
      </c>
      <c r="B469" s="45" t="inlineStr">
        <is>
          <t>Hawkesbury</t>
        </is>
      </c>
      <c r="C469" s="21" t="n">
        <v>5</v>
      </c>
      <c r="D469" s="21" t="n">
        <v>1</v>
      </c>
      <c r="E469" s="20" t="inlineStr">
        <is>
          <t>Oakfield Alaska</t>
        </is>
      </c>
      <c r="F469" s="52" t="inlineStr">
        <is>
          <t>Bet</t>
        </is>
      </c>
      <c r="G469" s="40" t="inlineStr">
        <is>
          <t>Bet</t>
        </is>
      </c>
      <c r="H469" s="48" t="n">
        <v>4.7</v>
      </c>
      <c r="I469" s="48" t="n">
        <v>7</v>
      </c>
      <c r="J469" s="22" t="n">
        <v>0.0309</v>
      </c>
      <c r="K469" s="49" t="n">
        <v>1</v>
      </c>
      <c r="L469" s="21" t="n">
        <v>7</v>
      </c>
      <c r="M469" s="46" t="inlineStr">
        <is>
          <t>Loss</t>
        </is>
      </c>
      <c r="N469" s="23">
        <f>IF(M469="Win",IF(F469="Bet",(I469-1)*K469,K469),IF(M469="Loss",IF(F469="Bet",-K469,-(I469-1)*K469),IF(M469="Void",0,"")))</f>
        <v/>
      </c>
      <c r="O469" s="24">
        <f>IF(OR(M469="Win",M469="Loss"),IF(F469="Bet",K469,(I469-1)*K469),"")</f>
        <v/>
      </c>
    </row>
    <row r="470">
      <c r="A470" s="37" t="n">
        <v>46289</v>
      </c>
      <c r="B470" s="38" t="inlineStr">
        <is>
          <t>Moe</t>
        </is>
      </c>
      <c r="C470" s="15" t="n">
        <v>5</v>
      </c>
      <c r="D470" s="15" t="n">
        <v>1</v>
      </c>
      <c r="E470" s="14" t="inlineStr">
        <is>
          <t>Aubaine</t>
        </is>
      </c>
      <c r="F470" s="43" t="inlineStr">
        <is>
          <t>Lay</t>
        </is>
      </c>
      <c r="G470" s="47" t="inlineStr">
        <is>
          <t>Lay</t>
        </is>
      </c>
      <c r="H470" s="41" t="n">
        <v>3.8</v>
      </c>
      <c r="I470" s="41" t="n">
        <v>3.05</v>
      </c>
      <c r="J470" s="16" t="n">
        <v>-0.0653</v>
      </c>
      <c r="K470" s="42" t="n">
        <v>1</v>
      </c>
      <c r="L470" s="15" t="n">
        <v>6</v>
      </c>
      <c r="M470" s="51" t="inlineStr">
        <is>
          <t>Win</t>
        </is>
      </c>
      <c r="N470" s="17">
        <f>IF(M470="Win",IF(F470="Bet",(I470-1)*K470,K470),IF(M470="Loss",IF(F470="Bet",-K470,-(I470-1)*K470),IF(M470="Void",0,"")))</f>
        <v/>
      </c>
      <c r="O470" s="18">
        <f>IF(OR(M470="Win",M470="Loss"),IF(F470="Bet",K470,(I470-1)*K470),"")</f>
        <v/>
      </c>
    </row>
    <row r="471">
      <c r="A471" s="44" t="n">
        <v>46289</v>
      </c>
      <c r="B471" s="45" t="inlineStr">
        <is>
          <t>Goulburn</t>
        </is>
      </c>
      <c r="C471" s="21" t="n">
        <v>3</v>
      </c>
      <c r="D471" s="21" t="n">
        <v>4</v>
      </c>
      <c r="E471" s="20" t="inlineStr">
        <is>
          <t>Costalivin</t>
        </is>
      </c>
      <c r="F471" s="46" t="inlineStr">
        <is>
          <t>Lay</t>
        </is>
      </c>
      <c r="G471" s="47" t="inlineStr">
        <is>
          <t>Lay</t>
        </is>
      </c>
      <c r="H471" s="48" t="n">
        <v>7</v>
      </c>
      <c r="I471" s="48" t="n">
        <v>3.45</v>
      </c>
      <c r="J471" s="22" t="n">
        <v>-0.06510000000000001</v>
      </c>
      <c r="K471" s="49" t="n">
        <v>1</v>
      </c>
      <c r="L471" s="21" t="n">
        <v>1</v>
      </c>
      <c r="M471" s="46" t="inlineStr">
        <is>
          <t>Loss</t>
        </is>
      </c>
      <c r="N471" s="23">
        <f>IF(M471="Win",IF(F471="Bet",(I471-1)*K471,K471),IF(M471="Loss",IF(F471="Bet",-K471,-(I471-1)*K471),IF(M471="Void",0,"")))</f>
        <v/>
      </c>
      <c r="O471" s="24">
        <f>IF(OR(M471="Win",M471="Loss"),IF(F471="Bet",K471,(I471-1)*K471),"")</f>
        <v/>
      </c>
    </row>
    <row r="472">
      <c r="A472" s="37" t="n">
        <v>46289</v>
      </c>
      <c r="B472" s="38" t="inlineStr">
        <is>
          <t>Hawkesbury</t>
        </is>
      </c>
      <c r="C472" s="15" t="n">
        <v>7</v>
      </c>
      <c r="D472" s="15" t="n">
        <v>9</v>
      </c>
      <c r="E472" s="14" t="inlineStr">
        <is>
          <t>Flight Of Power</t>
        </is>
      </c>
      <c r="F472" s="43" t="inlineStr">
        <is>
          <t>Lay</t>
        </is>
      </c>
      <c r="G472" s="47" t="inlineStr">
        <is>
          <t>Lay</t>
        </is>
      </c>
      <c r="H472" s="41" t="n">
        <v>4.6</v>
      </c>
      <c r="I472" s="41" t="n">
        <v>2.66</v>
      </c>
      <c r="J472" s="16" t="n">
        <v>-0.0837</v>
      </c>
      <c r="K472" s="42" t="n">
        <v>1</v>
      </c>
      <c r="L472" s="15" t="n">
        <v>1</v>
      </c>
      <c r="M472" s="43" t="inlineStr">
        <is>
          <t>Loss</t>
        </is>
      </c>
      <c r="N472" s="17">
        <f>IF(M472="Win",IF(F472="Bet",(I472-1)*K472,K472),IF(M472="Loss",IF(F472="Bet",-K472,-(I472-1)*K472),IF(M472="Void",0,"")))</f>
        <v/>
      </c>
      <c r="O472" s="18">
        <f>IF(OR(M472="Win",M472="Loss"),IF(F472="Bet",K472,(I472-1)*K472),"")</f>
        <v/>
      </c>
    </row>
    <row r="473">
      <c r="A473" s="44" t="n">
        <v>46289</v>
      </c>
      <c r="B473" s="45" t="inlineStr">
        <is>
          <t>Hawkesbury</t>
        </is>
      </c>
      <c r="C473" s="21" t="n">
        <v>4</v>
      </c>
      <c r="D473" s="21" t="n">
        <v>1</v>
      </c>
      <c r="E473" s="20" t="inlineStr">
        <is>
          <t>Force March</t>
        </is>
      </c>
      <c r="F473" s="46" t="inlineStr">
        <is>
          <t>Lay</t>
        </is>
      </c>
      <c r="G473" s="47" t="inlineStr">
        <is>
          <t>Lay</t>
        </is>
      </c>
      <c r="H473" s="48" t="n">
        <v>5.1</v>
      </c>
      <c r="I473" s="48" t="n">
        <v>3.9</v>
      </c>
      <c r="J473" s="22" t="n">
        <v>-0.0606</v>
      </c>
      <c r="K473" s="49" t="n">
        <v>1</v>
      </c>
      <c r="L473" s="21" t="n"/>
      <c r="M473" s="55" t="inlineStr">
        <is>
          <t>Void</t>
        </is>
      </c>
      <c r="N473" s="23">
        <f>IF(M473="Win",IF(F473="Bet",(I473-1)*K473,K473),IF(M473="Loss",IF(F473="Bet",-K473,-(I473-1)*K473),IF(M473="Void",0,"")))</f>
        <v/>
      </c>
      <c r="O473" s="24">
        <f>IF(OR(M473="Win",M473="Loss"),IF(F473="Bet",K473,(I473-1)*K473),"")</f>
        <v/>
      </c>
    </row>
    <row r="474">
      <c r="A474" s="37" t="n">
        <v>46289</v>
      </c>
      <c r="B474" s="38" t="inlineStr">
        <is>
          <t>Moe</t>
        </is>
      </c>
      <c r="C474" s="15" t="n">
        <v>1</v>
      </c>
      <c r="D474" s="15" t="n">
        <v>8</v>
      </c>
      <c r="E474" s="14" t="inlineStr">
        <is>
          <t>Churchillena</t>
        </is>
      </c>
      <c r="F474" s="43" t="inlineStr">
        <is>
          <t>Lay</t>
        </is>
      </c>
      <c r="G474" s="47" t="inlineStr">
        <is>
          <t>Lay</t>
        </is>
      </c>
      <c r="H474" s="41" t="n">
        <v>7.1</v>
      </c>
      <c r="I474" s="41" t="n">
        <v>4.5</v>
      </c>
      <c r="J474" s="16" t="n">
        <v>-0.0809</v>
      </c>
      <c r="K474" s="42" t="n">
        <v>1</v>
      </c>
      <c r="L474" s="15" t="n">
        <v>8</v>
      </c>
      <c r="M474" s="51" t="inlineStr">
        <is>
          <t>Win</t>
        </is>
      </c>
      <c r="N474" s="17">
        <f>IF(M474="Win",IF(F474="Bet",(I474-1)*K474,K474),IF(M474="Loss",IF(F474="Bet",-K474,-(I474-1)*K474),IF(M474="Void",0,"")))</f>
        <v/>
      </c>
      <c r="O474" s="18">
        <f>IF(OR(M474="Win",M474="Loss"),IF(F474="Bet",K474,(I474-1)*K474),"")</f>
        <v/>
      </c>
    </row>
    <row r="475">
      <c r="A475" s="44" t="n">
        <v>46289</v>
      </c>
      <c r="B475" s="45" t="inlineStr">
        <is>
          <t>Hawkesbury</t>
        </is>
      </c>
      <c r="C475" s="21" t="n">
        <v>3</v>
      </c>
      <c r="D475" s="21" t="n">
        <v>10</v>
      </c>
      <c r="E475" s="20" t="inlineStr">
        <is>
          <t>True Tone</t>
        </is>
      </c>
      <c r="F475" s="46" t="inlineStr">
        <is>
          <t>Lay</t>
        </is>
      </c>
      <c r="G475" s="47" t="inlineStr">
        <is>
          <t>Lay</t>
        </is>
      </c>
      <c r="H475" s="48" t="n">
        <v>1.9</v>
      </c>
      <c r="I475" s="48" t="n">
        <v>1.41</v>
      </c>
      <c r="J475" s="22" t="n">
        <v>-0.1204</v>
      </c>
      <c r="K475" s="49" t="n">
        <v>1</v>
      </c>
      <c r="L475" s="21" t="n">
        <v>2</v>
      </c>
      <c r="M475" s="50" t="inlineStr">
        <is>
          <t>Win</t>
        </is>
      </c>
      <c r="N475" s="23">
        <f>IF(M475="Win",IF(F475="Bet",(I475-1)*K475,K475),IF(M475="Loss",IF(F475="Bet",-K475,-(I475-1)*K475),IF(M475="Void",0,"")))</f>
        <v/>
      </c>
      <c r="O475" s="24">
        <f>IF(OR(M475="Win",M475="Loss"),IF(F475="Bet",K475,(I475-1)*K475),"")</f>
        <v/>
      </c>
    </row>
    <row r="476">
      <c r="A476" s="37" t="n">
        <v>46289</v>
      </c>
      <c r="B476" s="38" t="inlineStr">
        <is>
          <t>Moe</t>
        </is>
      </c>
      <c r="C476" s="15" t="n">
        <v>8</v>
      </c>
      <c r="D476" s="15" t="n">
        <v>6</v>
      </c>
      <c r="E476" s="14" t="inlineStr">
        <is>
          <t>Russian Front</t>
        </is>
      </c>
      <c r="F476" s="43" t="inlineStr">
        <is>
          <t>Lay</t>
        </is>
      </c>
      <c r="G476" s="47" t="inlineStr">
        <is>
          <t>Lay</t>
        </is>
      </c>
      <c r="H476" s="41" t="n">
        <v>3.5</v>
      </c>
      <c r="I476" s="41" t="n">
        <v>2.85</v>
      </c>
      <c r="J476" s="16" t="n">
        <v>-0.062</v>
      </c>
      <c r="K476" s="42" t="n">
        <v>1</v>
      </c>
      <c r="L476" s="15" t="n">
        <v>4</v>
      </c>
      <c r="M476" s="51" t="inlineStr">
        <is>
          <t>Win</t>
        </is>
      </c>
      <c r="N476" s="17">
        <f>IF(M476="Win",IF(F476="Bet",(I476-1)*K476,K476),IF(M476="Loss",IF(F476="Bet",-K476,-(I476-1)*K476),IF(M476="Void",0,"")))</f>
        <v/>
      </c>
      <c r="O476" s="18">
        <f>IF(OR(M476="Win",M476="Loss"),IF(F476="Bet",K476,(I476-1)*K476),"")</f>
        <v/>
      </c>
    </row>
    <row r="477">
      <c r="A477" s="44" t="n">
        <v>46289</v>
      </c>
      <c r="B477" s="45" t="inlineStr">
        <is>
          <t>Moe</t>
        </is>
      </c>
      <c r="C477" s="21" t="n">
        <v>1</v>
      </c>
      <c r="D477" s="21" t="n">
        <v>7</v>
      </c>
      <c r="E477" s="20" t="inlineStr">
        <is>
          <t>Wolves' Den</t>
        </is>
      </c>
      <c r="F477" s="52" t="inlineStr">
        <is>
          <t>Bet</t>
        </is>
      </c>
      <c r="G477" s="40" t="inlineStr">
        <is>
          <t>Bet</t>
        </is>
      </c>
      <c r="H477" s="48" t="n">
        <v>4.3</v>
      </c>
      <c r="I477" s="48" t="n">
        <v>6.15</v>
      </c>
      <c r="J477" s="22" t="n">
        <v>0.0234</v>
      </c>
      <c r="K477" s="49" t="n">
        <v>1</v>
      </c>
      <c r="L477" s="21" t="n">
        <v>1</v>
      </c>
      <c r="M477" s="50" t="inlineStr">
        <is>
          <t>Win</t>
        </is>
      </c>
      <c r="N477" s="23">
        <f>IF(M477="Win",IF(F477="Bet",(I477-1)*K477,K477),IF(M477="Loss",IF(F477="Bet",-K477,-(I477-1)*K477),IF(M477="Void",0,"")))</f>
        <v/>
      </c>
      <c r="O477" s="24">
        <f>IF(OR(M477="Win",M477="Loss"),IF(F477="Bet",K477,(I477-1)*K477),"")</f>
        <v/>
      </c>
    </row>
    <row r="478">
      <c r="A478" s="37" t="n">
        <v>46289</v>
      </c>
      <c r="B478" s="38" t="inlineStr">
        <is>
          <t>Warwick</t>
        </is>
      </c>
      <c r="C478" s="15" t="n">
        <v>3</v>
      </c>
      <c r="D478" s="15" t="n">
        <v>6</v>
      </c>
      <c r="E478" s="14" t="inlineStr">
        <is>
          <t>Worthy Stunnah</t>
        </is>
      </c>
      <c r="F478" s="43" t="inlineStr">
        <is>
          <t>Lay</t>
        </is>
      </c>
      <c r="G478" s="47" t="inlineStr">
        <is>
          <t>Lay</t>
        </is>
      </c>
      <c r="H478" s="41" t="n">
        <v>3.4</v>
      </c>
      <c r="I478" s="41" t="n">
        <v>2.61</v>
      </c>
      <c r="J478" s="16" t="n">
        <v>-0.0712</v>
      </c>
      <c r="K478" s="42" t="n">
        <v>1</v>
      </c>
      <c r="L478" s="15" t="n">
        <v>2</v>
      </c>
      <c r="M478" s="51" t="inlineStr">
        <is>
          <t>Win</t>
        </is>
      </c>
      <c r="N478" s="17">
        <f>IF(M478="Win",IF(F478="Bet",(I478-1)*K478,K478),IF(M478="Loss",IF(F478="Bet",-K478,-(I478-1)*K478),IF(M478="Void",0,"")))</f>
        <v/>
      </c>
      <c r="O478" s="18">
        <f>IF(OR(M478="Win",M478="Loss"),IF(F478="Bet",K478,(I478-1)*K478),"")</f>
        <v/>
      </c>
    </row>
    <row r="479">
      <c r="A479" s="44" t="n">
        <v>46289</v>
      </c>
      <c r="B479" s="45" t="inlineStr">
        <is>
          <t>Warwick</t>
        </is>
      </c>
      <c r="C479" s="21" t="n">
        <v>3</v>
      </c>
      <c r="D479" s="21" t="n">
        <v>5</v>
      </c>
      <c r="E479" s="20" t="inlineStr">
        <is>
          <t>Testy Nic</t>
        </is>
      </c>
      <c r="F479" s="46" t="inlineStr">
        <is>
          <t>Lay</t>
        </is>
      </c>
      <c r="G479" s="47" t="inlineStr">
        <is>
          <t>Lay</t>
        </is>
      </c>
      <c r="H479" s="48" t="n">
        <v>2.4</v>
      </c>
      <c r="I479" s="48" t="n">
        <v>2.08</v>
      </c>
      <c r="J479" s="22" t="n">
        <v>-0.065</v>
      </c>
      <c r="K479" s="49" t="n">
        <v>1</v>
      </c>
      <c r="L479" s="21" t="n">
        <v>4</v>
      </c>
      <c r="M479" s="50" t="inlineStr">
        <is>
          <t>Win</t>
        </is>
      </c>
      <c r="N479" s="23">
        <f>IF(M479="Win",IF(F479="Bet",(I479-1)*K479,K479),IF(M479="Loss",IF(F479="Bet",-K479,-(I479-1)*K479),IF(M479="Void",0,"")))</f>
        <v/>
      </c>
      <c r="O479" s="24">
        <f>IF(OR(M479="Win",M479="Loss"),IF(F479="Bet",K479,(I479-1)*K479),"")</f>
        <v/>
      </c>
    </row>
    <row r="480">
      <c r="A480" s="37" t="n">
        <v>46289</v>
      </c>
      <c r="B480" s="38" t="inlineStr">
        <is>
          <t>Warwick</t>
        </is>
      </c>
      <c r="C480" s="15" t="n">
        <v>4</v>
      </c>
      <c r="D480" s="15" t="n">
        <v>2</v>
      </c>
      <c r="E480" s="14" t="inlineStr">
        <is>
          <t>Over The Louvre</t>
        </is>
      </c>
      <c r="F480" s="43" t="inlineStr">
        <is>
          <t>Lay</t>
        </is>
      </c>
      <c r="G480" s="47" t="inlineStr">
        <is>
          <t>Lay</t>
        </is>
      </c>
      <c r="H480" s="41" t="n">
        <v>8.5</v>
      </c>
      <c r="I480" s="41" t="n">
        <v>5</v>
      </c>
      <c r="J480" s="16" t="n">
        <v>-0.0635</v>
      </c>
      <c r="K480" s="42" t="n">
        <v>1</v>
      </c>
      <c r="L480" s="15" t="n">
        <v>4</v>
      </c>
      <c r="M480" s="51" t="inlineStr">
        <is>
          <t>Win</t>
        </is>
      </c>
      <c r="N480" s="17">
        <f>IF(M480="Win",IF(F480="Bet",(I480-1)*K480,K480),IF(M480="Loss",IF(F480="Bet",-K480,-(I480-1)*K480),IF(M480="Void",0,"")))</f>
        <v/>
      </c>
      <c r="O480" s="18">
        <f>IF(OR(M480="Win",M480="Loss"),IF(F480="Bet",K480,(I480-1)*K480),"")</f>
        <v/>
      </c>
    </row>
    <row r="481">
      <c r="A481" s="44" t="n">
        <v>46289</v>
      </c>
      <c r="B481" s="45" t="inlineStr">
        <is>
          <t>Goulburn</t>
        </is>
      </c>
      <c r="C481" s="21" t="n">
        <v>3</v>
      </c>
      <c r="D481" s="21" t="n">
        <v>5</v>
      </c>
      <c r="E481" s="20" t="inlineStr">
        <is>
          <t>Daylite</t>
        </is>
      </c>
      <c r="F481" s="46" t="inlineStr">
        <is>
          <t>Lay</t>
        </is>
      </c>
      <c r="G481" s="47" t="inlineStr">
        <is>
          <t>Lay</t>
        </is>
      </c>
      <c r="H481" s="48" t="n">
        <v>9.9</v>
      </c>
      <c r="I481" s="48" t="n">
        <v>4.8</v>
      </c>
      <c r="J481" s="22" t="n">
        <v>-0.0601</v>
      </c>
      <c r="K481" s="49" t="n">
        <v>1</v>
      </c>
      <c r="L481" s="21" t="n">
        <v>6</v>
      </c>
      <c r="M481" s="50" t="inlineStr">
        <is>
          <t>Win</t>
        </is>
      </c>
      <c r="N481" s="23">
        <f>IF(M481="Win",IF(F481="Bet",(I481-1)*K481,K481),IF(M481="Loss",IF(F481="Bet",-K481,-(I481-1)*K481),IF(M481="Void",0,"")))</f>
        <v/>
      </c>
      <c r="O481" s="24">
        <f>IF(OR(M481="Win",M481="Loss"),IF(F481="Bet",K481,(I481-1)*K481),"")</f>
        <v/>
      </c>
    </row>
    <row r="482">
      <c r="A482" s="37" t="n">
        <v>46289</v>
      </c>
      <c r="B482" s="38" t="inlineStr">
        <is>
          <t>Warwick</t>
        </is>
      </c>
      <c r="C482" s="15" t="n">
        <v>4</v>
      </c>
      <c r="D482" s="15" t="n">
        <v>8</v>
      </c>
      <c r="E482" s="14" t="inlineStr">
        <is>
          <t>Head Of The River</t>
        </is>
      </c>
      <c r="F482" s="39" t="inlineStr">
        <is>
          <t>Bet</t>
        </is>
      </c>
      <c r="G482" s="40" t="inlineStr">
        <is>
          <t>Bet</t>
        </is>
      </c>
      <c r="H482" s="41" t="n">
        <v>2.3</v>
      </c>
      <c r="I482" s="41" t="n">
        <v>2.65</v>
      </c>
      <c r="J482" s="16" t="n">
        <v>0.0312</v>
      </c>
      <c r="K482" s="42" t="n">
        <v>1</v>
      </c>
      <c r="L482" s="15" t="n">
        <v>2</v>
      </c>
      <c r="M482" s="43" t="inlineStr">
        <is>
          <t>Loss</t>
        </is>
      </c>
      <c r="N482" s="17">
        <f>IF(M482="Win",IF(F482="Bet",(I482-1)*K482,K482),IF(M482="Loss",IF(F482="Bet",-K482,-(I482-1)*K482),IF(M482="Void",0,"")))</f>
        <v/>
      </c>
      <c r="O482" s="18">
        <f>IF(OR(M482="Win",M482="Loss"),IF(F482="Bet",K482,(I482-1)*K482),"")</f>
        <v/>
      </c>
    </row>
    <row r="483">
      <c r="A483" s="44" t="n">
        <v>46289</v>
      </c>
      <c r="B483" s="45" t="inlineStr">
        <is>
          <t>Warwick</t>
        </is>
      </c>
      <c r="C483" s="21" t="n">
        <v>4</v>
      </c>
      <c r="D483" s="21" t="n">
        <v>9</v>
      </c>
      <c r="E483" s="20" t="inlineStr">
        <is>
          <t>Mishani Senorita</t>
        </is>
      </c>
      <c r="F483" s="46" t="inlineStr">
        <is>
          <t>Lay</t>
        </is>
      </c>
      <c r="G483" s="47" t="inlineStr">
        <is>
          <t>Lay</t>
        </is>
      </c>
      <c r="H483" s="48" t="n">
        <v>5.9</v>
      </c>
      <c r="I483" s="48" t="n">
        <v>4</v>
      </c>
      <c r="J483" s="22" t="n">
        <v>-0.0623</v>
      </c>
      <c r="K483" s="49" t="n">
        <v>1</v>
      </c>
      <c r="L483" s="21" t="n">
        <v>3</v>
      </c>
      <c r="M483" s="50" t="inlineStr">
        <is>
          <t>Win</t>
        </is>
      </c>
      <c r="N483" s="23">
        <f>IF(M483="Win",IF(F483="Bet",(I483-1)*K483,K483),IF(M483="Loss",IF(F483="Bet",-K483,-(I483-1)*K483),IF(M483="Void",0,"")))</f>
        <v/>
      </c>
      <c r="O483" s="24">
        <f>IF(OR(M483="Win",M483="Loss"),IF(F483="Bet",K483,(I483-1)*K483),"")</f>
        <v/>
      </c>
    </row>
    <row r="484">
      <c r="A484" s="37" t="n">
        <v>46289</v>
      </c>
      <c r="B484" s="38" t="inlineStr">
        <is>
          <t>Moe</t>
        </is>
      </c>
      <c r="C484" s="15" t="n">
        <v>7</v>
      </c>
      <c r="D484" s="15" t="n">
        <v>7</v>
      </c>
      <c r="E484" s="14" t="inlineStr">
        <is>
          <t>Dirty Diana</t>
        </is>
      </c>
      <c r="F484" s="43" t="inlineStr">
        <is>
          <t>Lay</t>
        </is>
      </c>
      <c r="G484" s="47" t="inlineStr">
        <is>
          <t>Lay</t>
        </is>
      </c>
      <c r="H484" s="41" t="n">
        <v>4.1</v>
      </c>
      <c r="I484" s="41" t="n">
        <v>3.25</v>
      </c>
      <c r="J484" s="16" t="n">
        <v>-0.0655</v>
      </c>
      <c r="K484" s="42" t="n">
        <v>1</v>
      </c>
      <c r="L484" s="15" t="n">
        <v>3</v>
      </c>
      <c r="M484" s="51" t="inlineStr">
        <is>
          <t>Win</t>
        </is>
      </c>
      <c r="N484" s="17">
        <f>IF(M484="Win",IF(F484="Bet",(I484-1)*K484,K484),IF(M484="Loss",IF(F484="Bet",-K484,-(I484-1)*K484),IF(M484="Void",0,"")))</f>
        <v/>
      </c>
      <c r="O484" s="18">
        <f>IF(OR(M484="Win",M484="Loss"),IF(F484="Bet",K484,(I484-1)*K484),"")</f>
        <v/>
      </c>
    </row>
    <row r="485">
      <c r="A485" s="44" t="n">
        <v>46289</v>
      </c>
      <c r="B485" s="45" t="inlineStr">
        <is>
          <t>Goulburn</t>
        </is>
      </c>
      <c r="C485" s="21" t="n">
        <v>3</v>
      </c>
      <c r="D485" s="21" t="n">
        <v>2</v>
      </c>
      <c r="E485" s="20" t="inlineStr">
        <is>
          <t>Divine Secrets</t>
        </is>
      </c>
      <c r="F485" s="52" t="inlineStr">
        <is>
          <t>Bet</t>
        </is>
      </c>
      <c r="G485" s="40" t="inlineStr">
        <is>
          <t>Bet</t>
        </is>
      </c>
      <c r="H485" s="48" t="n">
        <v>3.8</v>
      </c>
      <c r="I485" s="48" t="n">
        <v>5.1</v>
      </c>
      <c r="J485" s="22" t="n">
        <v>0.0229</v>
      </c>
      <c r="K485" s="49" t="n">
        <v>1</v>
      </c>
      <c r="L485" s="21" t="n">
        <v>4</v>
      </c>
      <c r="M485" s="46" t="inlineStr">
        <is>
          <t>Loss</t>
        </is>
      </c>
      <c r="N485" s="23">
        <f>IF(M485="Win",IF(F485="Bet",(I485-1)*K485,K485),IF(M485="Loss",IF(F485="Bet",-K485,-(I485-1)*K485),IF(M485="Void",0,"")))</f>
        <v/>
      </c>
      <c r="O485" s="24">
        <f>IF(OR(M485="Win",M485="Loss"),IF(F485="Bet",K485,(I485-1)*K485),"")</f>
        <v/>
      </c>
    </row>
    <row r="486">
      <c r="A486" s="37" t="n">
        <v>46289</v>
      </c>
      <c r="B486" s="38" t="inlineStr">
        <is>
          <t>Goulburn</t>
        </is>
      </c>
      <c r="C486" s="15" t="n">
        <v>4</v>
      </c>
      <c r="D486" s="15" t="n">
        <v>4</v>
      </c>
      <c r="E486" s="14" t="inlineStr">
        <is>
          <t>Wolf Island</t>
        </is>
      </c>
      <c r="F486" s="43" t="inlineStr">
        <is>
          <t>Lay</t>
        </is>
      </c>
      <c r="G486" s="47" t="inlineStr">
        <is>
          <t>Lay</t>
        </is>
      </c>
      <c r="H486" s="41" t="n">
        <v>5</v>
      </c>
      <c r="I486" s="41" t="n">
        <v>3.5</v>
      </c>
      <c r="J486" s="16" t="n">
        <v>-0.0712</v>
      </c>
      <c r="K486" s="42" t="n">
        <v>1</v>
      </c>
      <c r="L486" s="15" t="n">
        <v>1</v>
      </c>
      <c r="M486" s="43" t="inlineStr">
        <is>
          <t>Loss</t>
        </is>
      </c>
      <c r="N486" s="17">
        <f>IF(M486="Win",IF(F486="Bet",(I486-1)*K486,K486),IF(M486="Loss",IF(F486="Bet",-K486,-(I486-1)*K486),IF(M486="Void",0,"")))</f>
        <v/>
      </c>
      <c r="O486" s="18">
        <f>IF(OR(M486="Win",M486="Loss"),IF(F486="Bet",K486,(I486-1)*K486),"")</f>
        <v/>
      </c>
    </row>
    <row r="487">
      <c r="A487" s="44" t="n">
        <v>46289</v>
      </c>
      <c r="B487" s="45" t="inlineStr">
        <is>
          <t>Goulburn</t>
        </is>
      </c>
      <c r="C487" s="21" t="n">
        <v>4</v>
      </c>
      <c r="D487" s="21" t="n">
        <v>2</v>
      </c>
      <c r="E487" s="20" t="inlineStr">
        <is>
          <t>Okami Star</t>
        </is>
      </c>
      <c r="F487" s="52" t="inlineStr">
        <is>
          <t>Bet</t>
        </is>
      </c>
      <c r="G487" s="40" t="inlineStr">
        <is>
          <t>Bet</t>
        </is>
      </c>
      <c r="H487" s="48" t="n">
        <v>7.6</v>
      </c>
      <c r="I487" s="48" t="n">
        <v>9</v>
      </c>
      <c r="J487" s="22" t="n">
        <v>0.0205</v>
      </c>
      <c r="K487" s="49" t="n">
        <v>1</v>
      </c>
      <c r="L487" s="21" t="n">
        <v>3</v>
      </c>
      <c r="M487" s="46" t="inlineStr">
        <is>
          <t>Loss</t>
        </is>
      </c>
      <c r="N487" s="23">
        <f>IF(M487="Win",IF(F487="Bet",(I487-1)*K487,K487),IF(M487="Loss",IF(F487="Bet",-K487,-(I487-1)*K487),IF(M487="Void",0,"")))</f>
        <v/>
      </c>
      <c r="O487" s="24">
        <f>IF(OR(M487="Win",M487="Loss"),IF(F487="Bet",K487,(I487-1)*K487),"")</f>
        <v/>
      </c>
    </row>
    <row r="488">
      <c r="A488" s="37" t="n">
        <v>46289</v>
      </c>
      <c r="B488" s="38" t="inlineStr">
        <is>
          <t>Hawkesbury</t>
        </is>
      </c>
      <c r="C488" s="15" t="n">
        <v>5</v>
      </c>
      <c r="D488" s="15" t="n">
        <v>4</v>
      </c>
      <c r="E488" s="14" t="inlineStr">
        <is>
          <t>Andron</t>
        </is>
      </c>
      <c r="F488" s="43" t="inlineStr">
        <is>
          <t>Lay</t>
        </is>
      </c>
      <c r="G488" s="47" t="inlineStr">
        <is>
          <t>Lay</t>
        </is>
      </c>
      <c r="H488" s="41" t="n">
        <v>7.2</v>
      </c>
      <c r="I488" s="41" t="n">
        <v>4.12</v>
      </c>
      <c r="J488" s="16" t="n">
        <v>-0.0613</v>
      </c>
      <c r="K488" s="42" t="n">
        <v>1</v>
      </c>
      <c r="L488" s="15" t="n">
        <v>1</v>
      </c>
      <c r="M488" s="43" t="inlineStr">
        <is>
          <t>Loss</t>
        </is>
      </c>
      <c r="N488" s="17">
        <f>IF(M488="Win",IF(F488="Bet",(I488-1)*K488,K488),IF(M488="Loss",IF(F488="Bet",-K488,-(I488-1)*K488),IF(M488="Void",0,"")))</f>
        <v/>
      </c>
      <c r="O488" s="18">
        <f>IF(OR(M488="Win",M488="Loss"),IF(F488="Bet",K488,(I488-1)*K488),"")</f>
        <v/>
      </c>
    </row>
    <row r="489">
      <c r="A489" s="44" t="n">
        <v>46289</v>
      </c>
      <c r="B489" s="45" t="inlineStr">
        <is>
          <t>Warwick</t>
        </is>
      </c>
      <c r="C489" s="21" t="n">
        <v>7</v>
      </c>
      <c r="D489" s="21" t="n">
        <v>3</v>
      </c>
      <c r="E489" s="20" t="inlineStr">
        <is>
          <t>Odin's Mount</t>
        </is>
      </c>
      <c r="F489" s="46" t="inlineStr">
        <is>
          <t>Lay</t>
        </is>
      </c>
      <c r="G489" s="47" t="inlineStr">
        <is>
          <t>Lay</t>
        </is>
      </c>
      <c r="H489" s="48" t="n">
        <v>6.5</v>
      </c>
      <c r="I489" s="48" t="n">
        <v>3.53</v>
      </c>
      <c r="J489" s="22" t="n">
        <v>-0.0694</v>
      </c>
      <c r="K489" s="49" t="n">
        <v>1</v>
      </c>
      <c r="L489" s="21" t="n">
        <v>1</v>
      </c>
      <c r="M489" s="46" t="inlineStr">
        <is>
          <t>Loss</t>
        </is>
      </c>
      <c r="N489" s="23">
        <f>IF(M489="Win",IF(F489="Bet",(I489-1)*K489,K489),IF(M489="Loss",IF(F489="Bet",-K489,-(I489-1)*K489),IF(M489="Void",0,"")))</f>
        <v/>
      </c>
      <c r="O489" s="24">
        <f>IF(OR(M489="Win",M489="Loss"),IF(F489="Bet",K489,(I489-1)*K489),"")</f>
        <v/>
      </c>
    </row>
    <row r="490">
      <c r="A490" s="37" t="n">
        <v>46289</v>
      </c>
      <c r="B490" s="38" t="inlineStr">
        <is>
          <t>Moe</t>
        </is>
      </c>
      <c r="C490" s="15" t="n">
        <v>7</v>
      </c>
      <c r="D490" s="15" t="n">
        <v>6</v>
      </c>
      <c r="E490" s="14" t="inlineStr">
        <is>
          <t>Ruby Avenue</t>
        </is>
      </c>
      <c r="F490" s="39" t="inlineStr">
        <is>
          <t>Bet</t>
        </is>
      </c>
      <c r="G490" s="40" t="inlineStr">
        <is>
          <t>Bet</t>
        </is>
      </c>
      <c r="H490" s="41" t="n">
        <v>6.9</v>
      </c>
      <c r="I490" s="41" t="n">
        <v>9.5</v>
      </c>
      <c r="J490" s="16" t="n">
        <v>0.0206</v>
      </c>
      <c r="K490" s="42" t="n">
        <v>1</v>
      </c>
      <c r="L490" s="15" t="n">
        <v>5</v>
      </c>
      <c r="M490" s="43" t="inlineStr">
        <is>
          <t>Loss</t>
        </is>
      </c>
      <c r="N490" s="17">
        <f>IF(M490="Win",IF(F490="Bet",(I490-1)*K490,K490),IF(M490="Loss",IF(F490="Bet",-K490,-(I490-1)*K490),IF(M490="Void",0,"")))</f>
        <v/>
      </c>
      <c r="O490" s="18">
        <f>IF(OR(M490="Win",M490="Loss"),IF(F490="Bet",K490,(I490-1)*K490),"")</f>
        <v/>
      </c>
    </row>
    <row r="491">
      <c r="A491" s="44" t="n">
        <v>46289</v>
      </c>
      <c r="B491" s="45" t="inlineStr">
        <is>
          <t>Moe</t>
        </is>
      </c>
      <c r="C491" s="21" t="n">
        <v>8</v>
      </c>
      <c r="D491" s="21" t="n">
        <v>4</v>
      </c>
      <c r="E491" s="20" t="inlineStr">
        <is>
          <t>Ranakye</t>
        </is>
      </c>
      <c r="F491" s="46" t="inlineStr">
        <is>
          <t>Lay</t>
        </is>
      </c>
      <c r="G491" s="47" t="inlineStr">
        <is>
          <t>Lay</t>
        </is>
      </c>
      <c r="H491" s="48" t="n">
        <v>8.699999999999999</v>
      </c>
      <c r="I491" s="48" t="n">
        <v>5.1</v>
      </c>
      <c r="J491" s="22" t="n">
        <v>-0.06370000000000001</v>
      </c>
      <c r="K491" s="49" t="n">
        <v>1</v>
      </c>
      <c r="L491" s="21" t="n">
        <v>7</v>
      </c>
      <c r="M491" s="50" t="inlineStr">
        <is>
          <t>Win</t>
        </is>
      </c>
      <c r="N491" s="23">
        <f>IF(M491="Win",IF(F491="Bet",(I491-1)*K491,K491),IF(M491="Loss",IF(F491="Bet",-K491,-(I491-1)*K491),IF(M491="Void",0,"")))</f>
        <v/>
      </c>
      <c r="O491" s="24">
        <f>IF(OR(M491="Win",M491="Loss"),IF(F491="Bet",K491,(I491-1)*K491),"")</f>
        <v/>
      </c>
    </row>
    <row r="492">
      <c r="A492" s="37" t="n">
        <v>46290</v>
      </c>
      <c r="B492" s="38" t="inlineStr">
        <is>
          <t>Lismore</t>
        </is>
      </c>
      <c r="C492" s="15" t="n">
        <v>4</v>
      </c>
      <c r="D492" s="15" t="n">
        <v>2</v>
      </c>
      <c r="E492" s="14" t="inlineStr">
        <is>
          <t>Jade Trees</t>
        </is>
      </c>
      <c r="F492" s="39" t="inlineStr">
        <is>
          <t>Bet</t>
        </is>
      </c>
      <c r="G492" s="40" t="inlineStr">
        <is>
          <t>Bet</t>
        </is>
      </c>
      <c r="H492" s="41" t="n">
        <v>2.9</v>
      </c>
      <c r="I492" s="41" t="n">
        <v>3.3</v>
      </c>
      <c r="J492" s="16" t="n">
        <v>0.0426</v>
      </c>
      <c r="K492" s="42" t="n">
        <v>1</v>
      </c>
      <c r="L492" s="15" t="n">
        <v>6</v>
      </c>
      <c r="M492" s="43" t="inlineStr">
        <is>
          <t>Loss</t>
        </is>
      </c>
      <c r="N492" s="17">
        <f>IF(M492="Win",IF(F492="Bet",(I492-1)*K492,K492),IF(M492="Loss",IF(F492="Bet",-K492,-(I492-1)*K492),IF(M492="Void",0,"")))</f>
        <v/>
      </c>
      <c r="O492" s="18">
        <f>IF(OR(M492="Win",M492="Loss"),IF(F492="Bet",K492,(I492-1)*K492),"")</f>
        <v/>
      </c>
    </row>
    <row r="493">
      <c r="A493" s="44" t="n">
        <v>46290</v>
      </c>
      <c r="B493" s="45" t="inlineStr">
        <is>
          <t>Lismore</t>
        </is>
      </c>
      <c r="C493" s="21" t="n">
        <v>6</v>
      </c>
      <c r="D493" s="21" t="n">
        <v>5</v>
      </c>
      <c r="E493" s="20" t="inlineStr">
        <is>
          <t>Profiteur's Fil</t>
        </is>
      </c>
      <c r="F493" s="46" t="inlineStr">
        <is>
          <t>Lay</t>
        </is>
      </c>
      <c r="G493" s="47" t="inlineStr">
        <is>
          <t>Lay</t>
        </is>
      </c>
      <c r="H493" s="48" t="n">
        <v>2.7</v>
      </c>
      <c r="I493" s="48" t="n">
        <v>1.41</v>
      </c>
      <c r="J493" s="22" t="n">
        <v>-0.0653</v>
      </c>
      <c r="K493" s="49" t="n">
        <v>1</v>
      </c>
      <c r="L493" s="21" t="n">
        <v>2</v>
      </c>
      <c r="M493" s="50" t="inlineStr">
        <is>
          <t>Win</t>
        </is>
      </c>
      <c r="N493" s="23">
        <f>IF(M493="Win",IF(F493="Bet",(I493-1)*K493,K493),IF(M493="Loss",IF(F493="Bet",-K493,-(I493-1)*K493),IF(M493="Void",0,"")))</f>
        <v/>
      </c>
      <c r="O493" s="24">
        <f>IF(OR(M493="Win",M493="Loss"),IF(F493="Bet",K493,(I493-1)*K493),"")</f>
        <v/>
      </c>
    </row>
    <row r="494">
      <c r="A494" s="37" t="n">
        <v>46290</v>
      </c>
      <c r="B494" s="38" t="inlineStr">
        <is>
          <t>Lismore</t>
        </is>
      </c>
      <c r="C494" s="15" t="n">
        <v>3</v>
      </c>
      <c r="D494" s="15" t="n">
        <v>2</v>
      </c>
      <c r="E494" s="14" t="inlineStr">
        <is>
          <t>Spicy Wings</t>
        </is>
      </c>
      <c r="F494" s="43" t="inlineStr">
        <is>
          <t>Lay</t>
        </is>
      </c>
      <c r="G494" s="47" t="inlineStr">
        <is>
          <t>Lay</t>
        </is>
      </c>
      <c r="H494" s="41" t="n">
        <v>5.9</v>
      </c>
      <c r="I494" s="41" t="n">
        <v>4.3</v>
      </c>
      <c r="J494" s="16" t="n">
        <v>-0.0636</v>
      </c>
      <c r="K494" s="42" t="n">
        <v>1</v>
      </c>
      <c r="L494" s="15" t="n">
        <v>6</v>
      </c>
      <c r="M494" s="51" t="inlineStr">
        <is>
          <t>Win</t>
        </is>
      </c>
      <c r="N494" s="17">
        <f>IF(M494="Win",IF(F494="Bet",(I494-1)*K494,K494),IF(M494="Loss",IF(F494="Bet",-K494,-(I494-1)*K494),IF(M494="Void",0,"")))</f>
        <v/>
      </c>
      <c r="O494" s="18">
        <f>IF(OR(M494="Win",M494="Loss"),IF(F494="Bet",K494,(I494-1)*K494),"")</f>
        <v/>
      </c>
    </row>
    <row r="495">
      <c r="A495" s="44" t="n">
        <v>46290</v>
      </c>
      <c r="B495" s="45" t="inlineStr">
        <is>
          <t>Scone</t>
        </is>
      </c>
      <c r="C495" s="21" t="n">
        <v>3</v>
      </c>
      <c r="D495" s="21" t="n">
        <v>4</v>
      </c>
      <c r="E495" s="20" t="inlineStr">
        <is>
          <t>Think Back</t>
        </is>
      </c>
      <c r="F495" s="52" t="inlineStr">
        <is>
          <t>Bet</t>
        </is>
      </c>
      <c r="G495" s="40" t="inlineStr">
        <is>
          <t>Bet</t>
        </is>
      </c>
      <c r="H495" s="48" t="n">
        <v>2.35</v>
      </c>
      <c r="I495" s="48" t="n">
        <v>2.6</v>
      </c>
      <c r="J495" s="22" t="n">
        <v>0.037</v>
      </c>
      <c r="K495" s="49" t="n">
        <v>1</v>
      </c>
      <c r="L495" s="21" t="n">
        <v>3</v>
      </c>
      <c r="M495" s="46" t="inlineStr">
        <is>
          <t>Loss</t>
        </is>
      </c>
      <c r="N495" s="23">
        <f>IF(M495="Win",IF(F495="Bet",(I495-1)*K495,K495),IF(M495="Loss",IF(F495="Bet",-K495,-(I495-1)*K495),IF(M495="Void",0,"")))</f>
        <v/>
      </c>
      <c r="O495" s="24">
        <f>IF(OR(M495="Win",M495="Loss"),IF(F495="Bet",K495,(I495-1)*K495),"")</f>
        <v/>
      </c>
    </row>
    <row r="496">
      <c r="A496" s="37" t="n">
        <v>46290</v>
      </c>
      <c r="B496" s="38" t="inlineStr">
        <is>
          <t>Cranbourne</t>
        </is>
      </c>
      <c r="C496" s="15" t="n">
        <v>4</v>
      </c>
      <c r="D496" s="15" t="n">
        <v>1</v>
      </c>
      <c r="E496" s="14" t="inlineStr">
        <is>
          <t>Ocean Bay</t>
        </is>
      </c>
      <c r="F496" s="39" t="inlineStr">
        <is>
          <t>Bet</t>
        </is>
      </c>
      <c r="G496" s="53" t="inlineStr">
        <is>
          <t>Prime</t>
        </is>
      </c>
      <c r="H496" s="41" t="n">
        <v>2.75</v>
      </c>
      <c r="I496" s="41" t="n">
        <v>3.35</v>
      </c>
      <c r="J496" s="16" t="n">
        <v>0.0397</v>
      </c>
      <c r="K496" s="42" t="n">
        <v>1</v>
      </c>
      <c r="L496" s="15" t="n">
        <v>2</v>
      </c>
      <c r="M496" s="43" t="inlineStr">
        <is>
          <t>Loss</t>
        </is>
      </c>
      <c r="N496" s="17">
        <f>IF(M496="Win",IF(F496="Bet",(I496-1)*K496,K496),IF(M496="Loss",IF(F496="Bet",-K496,-(I496-1)*K496),IF(M496="Void",0,"")))</f>
        <v/>
      </c>
      <c r="O496" s="18">
        <f>IF(OR(M496="Win",M496="Loss"),IF(F496="Bet",K496,(I496-1)*K496),"")</f>
        <v/>
      </c>
    </row>
    <row r="497">
      <c r="A497" s="44" t="n">
        <v>46290</v>
      </c>
      <c r="B497" s="45" t="inlineStr">
        <is>
          <t>Cranbourne</t>
        </is>
      </c>
      <c r="C497" s="21" t="n">
        <v>1</v>
      </c>
      <c r="D497" s="21" t="n">
        <v>5</v>
      </c>
      <c r="E497" s="20" t="inlineStr">
        <is>
          <t>Over The Bridge</t>
        </is>
      </c>
      <c r="F497" s="52" t="inlineStr">
        <is>
          <t>Bet</t>
        </is>
      </c>
      <c r="G497" s="40" t="inlineStr">
        <is>
          <t>Bet</t>
        </is>
      </c>
      <c r="H497" s="48" t="n">
        <v>1.75</v>
      </c>
      <c r="I497" s="48" t="n">
        <v>1.9</v>
      </c>
      <c r="J497" s="22" t="n">
        <v>0.0514</v>
      </c>
      <c r="K497" s="49" t="n">
        <v>1</v>
      </c>
      <c r="L497" s="21" t="n"/>
      <c r="M497" s="55" t="inlineStr">
        <is>
          <t>Void</t>
        </is>
      </c>
      <c r="N497" s="23">
        <f>IF(M497="Win",IF(F497="Bet",(I497-1)*K497,K497),IF(M497="Loss",IF(F497="Bet",-K497,-(I497-1)*K497),IF(M497="Void",0,"")))</f>
        <v/>
      </c>
      <c r="O497" s="24">
        <f>IF(OR(M497="Win",M497="Loss"),IF(F497="Bet",K497,(I497-1)*K497),"")</f>
        <v/>
      </c>
    </row>
    <row r="498">
      <c r="A498" s="37" t="n">
        <v>46290</v>
      </c>
      <c r="B498" s="38" t="inlineStr">
        <is>
          <t>Darwin</t>
        </is>
      </c>
      <c r="C498" s="15" t="n">
        <v>4</v>
      </c>
      <c r="D498" s="15" t="n">
        <v>3</v>
      </c>
      <c r="E498" s="14" t="inlineStr">
        <is>
          <t>Bruno Bruno</t>
        </is>
      </c>
      <c r="F498" s="39" t="inlineStr">
        <is>
          <t>Bet</t>
        </is>
      </c>
      <c r="G498" s="53" t="inlineStr">
        <is>
          <t>Prime</t>
        </is>
      </c>
      <c r="H498" s="41" t="n">
        <v>3.1</v>
      </c>
      <c r="I498" s="41" t="n">
        <v>4.2</v>
      </c>
      <c r="J498" s="16" t="n">
        <v>0.0575</v>
      </c>
      <c r="K498" s="42" t="n">
        <v>1</v>
      </c>
      <c r="L498" s="15" t="n">
        <v>2</v>
      </c>
      <c r="M498" s="43" t="inlineStr">
        <is>
          <t>Loss</t>
        </is>
      </c>
      <c r="N498" s="17">
        <f>IF(M498="Win",IF(F498="Bet",(I498-1)*K498,K498),IF(M498="Loss",IF(F498="Bet",-K498,-(I498-1)*K498),IF(M498="Void",0,"")))</f>
        <v/>
      </c>
      <c r="O498" s="18">
        <f>IF(OR(M498="Win",M498="Loss"),IF(F498="Bet",K498,(I498-1)*K498),"")</f>
        <v/>
      </c>
    </row>
    <row r="499">
      <c r="A499" s="44" t="n">
        <v>46290</v>
      </c>
      <c r="B499" s="45" t="inlineStr">
        <is>
          <t>Launceston</t>
        </is>
      </c>
      <c r="C499" s="21" t="n">
        <v>1</v>
      </c>
      <c r="D499" s="21" t="n">
        <v>2</v>
      </c>
      <c r="E499" s="20" t="inlineStr">
        <is>
          <t>Wolf Junior</t>
        </is>
      </c>
      <c r="F499" s="46" t="inlineStr">
        <is>
          <t>Lay</t>
        </is>
      </c>
      <c r="G499" s="47" t="inlineStr">
        <is>
          <t>Lay</t>
        </is>
      </c>
      <c r="H499" s="48" t="n">
        <v>3</v>
      </c>
      <c r="I499" s="48" t="n">
        <v>2.04</v>
      </c>
      <c r="J499" s="22" t="n">
        <v>-0.0867</v>
      </c>
      <c r="K499" s="49" t="n">
        <v>1</v>
      </c>
      <c r="L499" s="21" t="n">
        <v>2</v>
      </c>
      <c r="M499" s="50" t="inlineStr">
        <is>
          <t>Win</t>
        </is>
      </c>
      <c r="N499" s="23">
        <f>IF(M499="Win",IF(F499="Bet",(I499-1)*K499,K499),IF(M499="Loss",IF(F499="Bet",-K499,-(I499-1)*K499),IF(M499="Void",0,"")))</f>
        <v/>
      </c>
      <c r="O499" s="24">
        <f>IF(OR(M499="Win",M499="Loss"),IF(F499="Bet",K499,(I499-1)*K499),"")</f>
        <v/>
      </c>
    </row>
    <row r="500">
      <c r="A500" s="37" t="n">
        <v>46290</v>
      </c>
      <c r="B500" s="38" t="inlineStr">
        <is>
          <t>Launceston</t>
        </is>
      </c>
      <c r="C500" s="15" t="n">
        <v>4</v>
      </c>
      <c r="D500" s="15" t="n">
        <v>3</v>
      </c>
      <c r="E500" s="14" t="inlineStr">
        <is>
          <t>Who's In Dev</t>
        </is>
      </c>
      <c r="F500" s="43" t="inlineStr">
        <is>
          <t>Lay</t>
        </is>
      </c>
      <c r="G500" s="47" t="inlineStr">
        <is>
          <t>Lay</t>
        </is>
      </c>
      <c r="H500" s="41" t="n">
        <v>3.1</v>
      </c>
      <c r="I500" s="41" t="n">
        <v>2.2</v>
      </c>
      <c r="J500" s="16" t="n">
        <v>-0.0761</v>
      </c>
      <c r="K500" s="42" t="n">
        <v>1</v>
      </c>
      <c r="L500" s="15" t="n">
        <v>7</v>
      </c>
      <c r="M500" s="51" t="inlineStr">
        <is>
          <t>Win</t>
        </is>
      </c>
      <c r="N500" s="17">
        <f>IF(M500="Win",IF(F500="Bet",(I500-1)*K500,K500),IF(M500="Loss",IF(F500="Bet",-K500,-(I500-1)*K500),IF(M500="Void",0,"")))</f>
        <v/>
      </c>
      <c r="O500" s="18">
        <f>IF(OR(M500="Win",M500="Loss"),IF(F500="Bet",K500,(I500-1)*K500),"")</f>
        <v/>
      </c>
    </row>
    <row r="501">
      <c r="A501" s="44" t="n">
        <v>46290</v>
      </c>
      <c r="B501" s="45" t="inlineStr">
        <is>
          <t>Darwin</t>
        </is>
      </c>
      <c r="C501" s="21" t="n">
        <v>5</v>
      </c>
      <c r="D501" s="21" t="n">
        <v>1</v>
      </c>
      <c r="E501" s="20" t="inlineStr">
        <is>
          <t>I'm A Dreamer</t>
        </is>
      </c>
      <c r="F501" s="52" t="inlineStr">
        <is>
          <t>Bet</t>
        </is>
      </c>
      <c r="G501" s="40" t="inlineStr">
        <is>
          <t>Bet</t>
        </is>
      </c>
      <c r="H501" s="48" t="n">
        <v>6.8</v>
      </c>
      <c r="I501" s="48" t="n">
        <v>12</v>
      </c>
      <c r="J501" s="22" t="n">
        <v>0.0226</v>
      </c>
      <c r="K501" s="49" t="n">
        <v>1</v>
      </c>
      <c r="L501" s="21" t="n">
        <v>6</v>
      </c>
      <c r="M501" s="46" t="inlineStr">
        <is>
          <t>Loss</t>
        </is>
      </c>
      <c r="N501" s="23">
        <f>IF(M501="Win",IF(F501="Bet",(I501-1)*K501,K501),IF(M501="Loss",IF(F501="Bet",-K501,-(I501-1)*K501),IF(M501="Void",0,"")))</f>
        <v/>
      </c>
      <c r="O501" s="24">
        <f>IF(OR(M501="Win",M501="Loss"),IF(F501="Bet",K501,(I501-1)*K501),"")</f>
        <v/>
      </c>
    </row>
    <row r="502">
      <c r="A502" s="37" t="n">
        <v>46290</v>
      </c>
      <c r="B502" s="38" t="inlineStr">
        <is>
          <t>Launceston</t>
        </is>
      </c>
      <c r="C502" s="15" t="n">
        <v>5</v>
      </c>
      <c r="D502" s="15" t="n">
        <v>7</v>
      </c>
      <c r="E502" s="14" t="inlineStr">
        <is>
          <t>Outsidethesquare</t>
        </is>
      </c>
      <c r="F502" s="43" t="inlineStr">
        <is>
          <t>Lay</t>
        </is>
      </c>
      <c r="G502" s="47" t="inlineStr">
        <is>
          <t>Lay</t>
        </is>
      </c>
      <c r="H502" s="41" t="n">
        <v>4.3</v>
      </c>
      <c r="I502" s="41" t="n">
        <v>2.9</v>
      </c>
      <c r="J502" s="16" t="n">
        <v>-0.0617</v>
      </c>
      <c r="K502" s="42" t="n">
        <v>1</v>
      </c>
      <c r="L502" s="15" t="n">
        <v>3</v>
      </c>
      <c r="M502" s="51" t="inlineStr">
        <is>
          <t>Win</t>
        </is>
      </c>
      <c r="N502" s="17">
        <f>IF(M502="Win",IF(F502="Bet",(I502-1)*K502,K502),IF(M502="Loss",IF(F502="Bet",-K502,-(I502-1)*K502),IF(M502="Void",0,"")))</f>
        <v/>
      </c>
      <c r="O502" s="18">
        <f>IF(OR(M502="Win",M502="Loss"),IF(F502="Bet",K502,(I502-1)*K502),"")</f>
        <v/>
      </c>
    </row>
    <row r="503">
      <c r="A503" s="44" t="n">
        <v>46290</v>
      </c>
      <c r="B503" s="45" t="inlineStr">
        <is>
          <t>Darwin</t>
        </is>
      </c>
      <c r="C503" s="21" t="n">
        <v>4</v>
      </c>
      <c r="D503" s="21" t="n">
        <v>5</v>
      </c>
      <c r="E503" s="20" t="inlineStr">
        <is>
          <t>Littlebourkestreet</t>
        </is>
      </c>
      <c r="F503" s="46" t="inlineStr">
        <is>
          <t>Lay</t>
        </is>
      </c>
      <c r="G503" s="47" t="inlineStr">
        <is>
          <t>Lay</t>
        </is>
      </c>
      <c r="H503" s="48" t="n">
        <v>2.7</v>
      </c>
      <c r="I503" s="48" t="n">
        <v>2.2</v>
      </c>
      <c r="J503" s="22" t="n">
        <v>-0.0767</v>
      </c>
      <c r="K503" s="49" t="n">
        <v>1</v>
      </c>
      <c r="L503" s="21" t="n">
        <v>1</v>
      </c>
      <c r="M503" s="46" t="inlineStr">
        <is>
          <t>Loss</t>
        </is>
      </c>
      <c r="N503" s="23">
        <f>IF(M503="Win",IF(F503="Bet",(I503-1)*K503,K503),IF(M503="Loss",IF(F503="Bet",-K503,-(I503-1)*K503),IF(M503="Void",0,"")))</f>
        <v/>
      </c>
      <c r="O503" s="24">
        <f>IF(OR(M503="Win",M503="Loss"),IF(F503="Bet",K503,(I503-1)*K503),"")</f>
        <v/>
      </c>
    </row>
    <row r="504">
      <c r="A504" s="37" t="n">
        <v>46290</v>
      </c>
      <c r="B504" s="38" t="inlineStr">
        <is>
          <t>Sunshine Coast</t>
        </is>
      </c>
      <c r="C504" s="15" t="n">
        <v>4</v>
      </c>
      <c r="D504" s="15" t="n">
        <v>1</v>
      </c>
      <c r="E504" s="14" t="inlineStr">
        <is>
          <t>Oohlalouvre</t>
        </is>
      </c>
      <c r="F504" s="39" t="inlineStr">
        <is>
          <t>Bet</t>
        </is>
      </c>
      <c r="G504" s="53" t="inlineStr">
        <is>
          <t>Prime</t>
        </is>
      </c>
      <c r="H504" s="41" t="n">
        <v>2.25</v>
      </c>
      <c r="I504" s="41" t="n">
        <v>2.7</v>
      </c>
      <c r="J504" s="16" t="n">
        <v>0.0207</v>
      </c>
      <c r="K504" s="42" t="n">
        <v>1</v>
      </c>
      <c r="L504" s="15" t="n">
        <v>1</v>
      </c>
      <c r="M504" s="51" t="inlineStr">
        <is>
          <t>Win</t>
        </is>
      </c>
      <c r="N504" s="17">
        <f>IF(M504="Win",IF(F504="Bet",(I504-1)*K504,K504),IF(M504="Loss",IF(F504="Bet",-K504,-(I504-1)*K504),IF(M504="Void",0,"")))</f>
        <v/>
      </c>
      <c r="O504" s="18">
        <f>IF(OR(M504="Win",M504="Loss"),IF(F504="Bet",K504,(I504-1)*K504),"")</f>
        <v/>
      </c>
    </row>
    <row r="505">
      <c r="A505" s="44" t="n">
        <v>46290</v>
      </c>
      <c r="B505" s="45" t="inlineStr">
        <is>
          <t>Lismore</t>
        </is>
      </c>
      <c r="C505" s="21" t="n">
        <v>8</v>
      </c>
      <c r="D505" s="21" t="n">
        <v>12</v>
      </c>
      <c r="E505" s="20" t="inlineStr">
        <is>
          <t>Dance Gavin Dance</t>
        </is>
      </c>
      <c r="F505" s="46" t="inlineStr">
        <is>
          <t>Lay</t>
        </is>
      </c>
      <c r="G505" s="47" t="inlineStr">
        <is>
          <t>Lay</t>
        </is>
      </c>
      <c r="H505" s="48" t="n">
        <v>8.1</v>
      </c>
      <c r="I505" s="48" t="n">
        <v>5</v>
      </c>
      <c r="J505" s="22" t="n">
        <v>-0.0764</v>
      </c>
      <c r="K505" s="49" t="n">
        <v>1</v>
      </c>
      <c r="L505" s="21" t="n">
        <v>5</v>
      </c>
      <c r="M505" s="50" t="inlineStr">
        <is>
          <t>Win</t>
        </is>
      </c>
      <c r="N505" s="23">
        <f>IF(M505="Win",IF(F505="Bet",(I505-1)*K505,K505),IF(M505="Loss",IF(F505="Bet",-K505,-(I505-1)*K505),IF(M505="Void",0,"")))</f>
        <v/>
      </c>
      <c r="O505" s="24">
        <f>IF(OR(M505="Win",M505="Loss"),IF(F505="Bet",K505,(I505-1)*K505),"")</f>
        <v/>
      </c>
    </row>
    <row r="506">
      <c r="A506" s="37" t="n">
        <v>46290</v>
      </c>
      <c r="B506" s="38" t="inlineStr">
        <is>
          <t>Cranbourne</t>
        </is>
      </c>
      <c r="C506" s="15" t="n">
        <v>2</v>
      </c>
      <c r="D506" s="15" t="n">
        <v>10</v>
      </c>
      <c r="E506" s="14" t="inlineStr">
        <is>
          <t>Pinazaki</t>
        </is>
      </c>
      <c r="F506" s="43" t="inlineStr">
        <is>
          <t>Lay</t>
        </is>
      </c>
      <c r="G506" s="47" t="inlineStr">
        <is>
          <t>Lay</t>
        </is>
      </c>
      <c r="H506" s="41" t="n">
        <v>7.6</v>
      </c>
      <c r="I506" s="41" t="n">
        <v>3.7</v>
      </c>
      <c r="J506" s="16" t="n">
        <v>-0.06850000000000001</v>
      </c>
      <c r="K506" s="42" t="n">
        <v>1</v>
      </c>
      <c r="L506" s="15" t="n">
        <v>6</v>
      </c>
      <c r="M506" s="51" t="inlineStr">
        <is>
          <t>Win</t>
        </is>
      </c>
      <c r="N506" s="17">
        <f>IF(M506="Win",IF(F506="Bet",(I506-1)*K506,K506),IF(M506="Loss",IF(F506="Bet",-K506,-(I506-1)*K506),IF(M506="Void",0,"")))</f>
        <v/>
      </c>
      <c r="O506" s="18">
        <f>IF(OR(M506="Win",M506="Loss"),IF(F506="Bet",K506,(I506-1)*K506),"")</f>
        <v/>
      </c>
    </row>
    <row r="507">
      <c r="A507" s="44" t="n">
        <v>46290</v>
      </c>
      <c r="B507" s="45" t="inlineStr">
        <is>
          <t>Lismore</t>
        </is>
      </c>
      <c r="C507" s="21" t="n">
        <v>7</v>
      </c>
      <c r="D507" s="21" t="n">
        <v>3</v>
      </c>
      <c r="E507" s="20" t="inlineStr">
        <is>
          <t>Mickey's Medal</t>
        </is>
      </c>
      <c r="F507" s="46" t="inlineStr">
        <is>
          <t>Lay</t>
        </is>
      </c>
      <c r="G507" s="47" t="inlineStr">
        <is>
          <t>Lay</t>
        </is>
      </c>
      <c r="H507" s="48" t="n">
        <v>6.6</v>
      </c>
      <c r="I507" s="48" t="n">
        <v>4.7</v>
      </c>
      <c r="J507" s="22" t="n">
        <v>-0.0614</v>
      </c>
      <c r="K507" s="49" t="n">
        <v>1</v>
      </c>
      <c r="L507" s="21" t="n">
        <v>10</v>
      </c>
      <c r="M507" s="50" t="inlineStr">
        <is>
          <t>Win</t>
        </is>
      </c>
      <c r="N507" s="23">
        <f>IF(M507="Win",IF(F507="Bet",(I507-1)*K507,K507),IF(M507="Loss",IF(F507="Bet",-K507,-(I507-1)*K507),IF(M507="Void",0,"")))</f>
        <v/>
      </c>
      <c r="O507" s="24">
        <f>IF(OR(M507="Win",M507="Loss"),IF(F507="Bet",K507,(I507-1)*K507),"")</f>
        <v/>
      </c>
    </row>
    <row r="508">
      <c r="A508" s="37" t="n">
        <v>46290</v>
      </c>
      <c r="B508" s="38" t="inlineStr">
        <is>
          <t>Scone</t>
        </is>
      </c>
      <c r="C508" s="15" t="n">
        <v>1</v>
      </c>
      <c r="D508" s="15" t="n">
        <v>8</v>
      </c>
      <c r="E508" s="14" t="inlineStr">
        <is>
          <t>Spice Trail</t>
        </is>
      </c>
      <c r="F508" s="43" t="inlineStr">
        <is>
          <t>Lay</t>
        </is>
      </c>
      <c r="G508" s="47" t="inlineStr">
        <is>
          <t>Lay</t>
        </is>
      </c>
      <c r="H508" s="41" t="n">
        <v>4.8</v>
      </c>
      <c r="I508" s="41" t="n">
        <v>3.5</v>
      </c>
      <c r="J508" s="16" t="n">
        <v>-0.07770000000000001</v>
      </c>
      <c r="K508" s="42" t="n">
        <v>1</v>
      </c>
      <c r="L508" s="15" t="n">
        <v>7</v>
      </c>
      <c r="M508" s="51" t="inlineStr">
        <is>
          <t>Win</t>
        </is>
      </c>
      <c r="N508" s="17">
        <f>IF(M508="Win",IF(F508="Bet",(I508-1)*K508,K508),IF(M508="Loss",IF(F508="Bet",-K508,-(I508-1)*K508),IF(M508="Void",0,"")))</f>
        <v/>
      </c>
      <c r="O508" s="18">
        <f>IF(OR(M508="Win",M508="Loss"),IF(F508="Bet",K508,(I508-1)*K508),"")</f>
        <v/>
      </c>
    </row>
    <row r="509">
      <c r="A509" s="44" t="n">
        <v>46290</v>
      </c>
      <c r="B509" s="45" t="inlineStr">
        <is>
          <t>Darwin</t>
        </is>
      </c>
      <c r="C509" s="21" t="n">
        <v>6</v>
      </c>
      <c r="D509" s="21" t="n">
        <v>4</v>
      </c>
      <c r="E509" s="20" t="inlineStr">
        <is>
          <t>Awash</t>
        </is>
      </c>
      <c r="F509" s="52" t="inlineStr">
        <is>
          <t>Bet</t>
        </is>
      </c>
      <c r="G509" s="40" t="inlineStr">
        <is>
          <t>Bet</t>
        </is>
      </c>
      <c r="H509" s="48" t="n">
        <v>5</v>
      </c>
      <c r="I509" s="48" t="n">
        <v>6.5</v>
      </c>
      <c r="J509" s="22" t="n">
        <v>0.02</v>
      </c>
      <c r="K509" s="49" t="n">
        <v>1</v>
      </c>
      <c r="L509" s="21" t="n">
        <v>5</v>
      </c>
      <c r="M509" s="46" t="inlineStr">
        <is>
          <t>Loss</t>
        </is>
      </c>
      <c r="N509" s="23">
        <f>IF(M509="Win",IF(F509="Bet",(I509-1)*K509,K509),IF(M509="Loss",IF(F509="Bet",-K509,-(I509-1)*K509),IF(M509="Void",0,"")))</f>
        <v/>
      </c>
      <c r="O509" s="24">
        <f>IF(OR(M509="Win",M509="Loss"),IF(F509="Bet",K509,(I509-1)*K509),"")</f>
        <v/>
      </c>
    </row>
    <row r="510">
      <c r="A510" s="37" t="n">
        <v>46290</v>
      </c>
      <c r="B510" s="38" t="inlineStr">
        <is>
          <t>Launceston</t>
        </is>
      </c>
      <c r="C510" s="15" t="n">
        <v>8</v>
      </c>
      <c r="D510" s="15" t="n">
        <v>1</v>
      </c>
      <c r="E510" s="14" t="inlineStr">
        <is>
          <t>Ozonica</t>
        </is>
      </c>
      <c r="F510" s="39" t="inlineStr">
        <is>
          <t>Bet</t>
        </is>
      </c>
      <c r="G510" s="53" t="inlineStr">
        <is>
          <t>Prime</t>
        </is>
      </c>
      <c r="H510" s="41" t="n">
        <v>2.45</v>
      </c>
      <c r="I510" s="41" t="n">
        <v>3.76</v>
      </c>
      <c r="J510" s="16" t="n">
        <v>0.0206</v>
      </c>
      <c r="K510" s="42" t="n">
        <v>1</v>
      </c>
      <c r="L510" s="15" t="n">
        <v>2</v>
      </c>
      <c r="M510" s="43" t="inlineStr">
        <is>
          <t>Loss</t>
        </is>
      </c>
      <c r="N510" s="17">
        <f>IF(M510="Win",IF(F510="Bet",(I510-1)*K510,K510),IF(M510="Loss",IF(F510="Bet",-K510,-(I510-1)*K510),IF(M510="Void",0,"")))</f>
        <v/>
      </c>
      <c r="O510" s="18">
        <f>IF(OR(M510="Win",M510="Loss"),IF(F510="Bet",K510,(I510-1)*K510),"")</f>
        <v/>
      </c>
    </row>
    <row r="511">
      <c r="A511" s="44" t="n">
        <v>46290</v>
      </c>
      <c r="B511" s="45" t="inlineStr">
        <is>
          <t>Sunshine Coast</t>
        </is>
      </c>
      <c r="C511" s="21" t="n">
        <v>3</v>
      </c>
      <c r="D511" s="21" t="n">
        <v>6</v>
      </c>
      <c r="E511" s="20" t="inlineStr">
        <is>
          <t>Mishani Crown</t>
        </is>
      </c>
      <c r="F511" s="52" t="inlineStr">
        <is>
          <t>Bet</t>
        </is>
      </c>
      <c r="G511" s="53" t="inlineStr">
        <is>
          <t>Prime</t>
        </is>
      </c>
      <c r="H511" s="48" t="n">
        <v>2.35</v>
      </c>
      <c r="I511" s="48" t="n">
        <v>3</v>
      </c>
      <c r="J511" s="22" t="n">
        <v>0.0573</v>
      </c>
      <c r="K511" s="49" t="n">
        <v>1</v>
      </c>
      <c r="L511" s="21" t="n">
        <v>1</v>
      </c>
      <c r="M511" s="50" t="inlineStr">
        <is>
          <t>Win</t>
        </is>
      </c>
      <c r="N511" s="23">
        <f>IF(M511="Win",IF(F511="Bet",(I511-1)*K511,K511),IF(M511="Loss",IF(F511="Bet",-K511,-(I511-1)*K511),IF(M511="Void",0,"")))</f>
        <v/>
      </c>
      <c r="O511" s="24">
        <f>IF(OR(M511="Win",M511="Loss"),IF(F511="Bet",K511,(I511-1)*K511),"")</f>
        <v/>
      </c>
    </row>
    <row r="512">
      <c r="A512" s="37" t="n">
        <v>46290</v>
      </c>
      <c r="B512" s="38" t="inlineStr">
        <is>
          <t>Sunshine Coast</t>
        </is>
      </c>
      <c r="C512" s="15" t="n">
        <v>5</v>
      </c>
      <c r="D512" s="15" t="n">
        <v>9</v>
      </c>
      <c r="E512" s="14" t="inlineStr">
        <is>
          <t>Divine Justice</t>
        </is>
      </c>
      <c r="F512" s="43" t="inlineStr">
        <is>
          <t>Lay</t>
        </is>
      </c>
      <c r="G512" s="47" t="inlineStr">
        <is>
          <t>Lay</t>
        </is>
      </c>
      <c r="H512" s="41" t="n">
        <v>4.3</v>
      </c>
      <c r="I512" s="41" t="n">
        <v>3.1</v>
      </c>
      <c r="J512" s="16" t="n">
        <v>-0.0664</v>
      </c>
      <c r="K512" s="42" t="n">
        <v>1</v>
      </c>
      <c r="L512" s="15" t="n">
        <v>1</v>
      </c>
      <c r="M512" s="43" t="inlineStr">
        <is>
          <t>Loss</t>
        </is>
      </c>
      <c r="N512" s="17">
        <f>IF(M512="Win",IF(F512="Bet",(I512-1)*K512,K512),IF(M512="Loss",IF(F512="Bet",-K512,-(I512-1)*K512),IF(M512="Void",0,"")))</f>
        <v/>
      </c>
      <c r="O512" s="18">
        <f>IF(OR(M512="Win",M512="Loss"),IF(F512="Bet",K512,(I512-1)*K512),"")</f>
        <v/>
      </c>
    </row>
    <row r="513">
      <c r="A513" s="44" t="n">
        <v>46290</v>
      </c>
      <c r="B513" s="45" t="inlineStr">
        <is>
          <t>Cranbourne</t>
        </is>
      </c>
      <c r="C513" s="21" t="n">
        <v>8</v>
      </c>
      <c r="D513" s="21" t="n">
        <v>3</v>
      </c>
      <c r="E513" s="20" t="inlineStr">
        <is>
          <t>Gold Chariot</t>
        </is>
      </c>
      <c r="F513" s="46" t="inlineStr">
        <is>
          <t>Lay</t>
        </is>
      </c>
      <c r="G513" s="47" t="inlineStr">
        <is>
          <t>Lay</t>
        </is>
      </c>
      <c r="H513" s="48" t="n">
        <v>2.45</v>
      </c>
      <c r="I513" s="48" t="n">
        <v>1.69</v>
      </c>
      <c r="J513" s="22" t="n">
        <v>-0.09710000000000001</v>
      </c>
      <c r="K513" s="49" t="n">
        <v>1</v>
      </c>
      <c r="L513" s="21" t="n">
        <v>7</v>
      </c>
      <c r="M513" s="50" t="inlineStr">
        <is>
          <t>Win</t>
        </is>
      </c>
      <c r="N513" s="23">
        <f>IF(M513="Win",IF(F513="Bet",(I513-1)*K513,K513),IF(M513="Loss",IF(F513="Bet",-K513,-(I513-1)*K513),IF(M513="Void",0,"")))</f>
        <v/>
      </c>
      <c r="O513" s="24">
        <f>IF(OR(M513="Win",M513="Loss"),IF(F513="Bet",K513,(I513-1)*K513),"")</f>
        <v/>
      </c>
    </row>
    <row r="514">
      <c r="A514" s="37" t="n">
        <v>46290</v>
      </c>
      <c r="B514" s="38" t="inlineStr">
        <is>
          <t>Cranbourne</t>
        </is>
      </c>
      <c r="C514" s="15" t="n">
        <v>7</v>
      </c>
      <c r="D514" s="15" t="n">
        <v>12</v>
      </c>
      <c r="E514" s="14" t="inlineStr">
        <is>
          <t>Dirty Look</t>
        </is>
      </c>
      <c r="F514" s="43" t="inlineStr">
        <is>
          <t>Lay</t>
        </is>
      </c>
      <c r="G514" s="47" t="inlineStr">
        <is>
          <t>Lay</t>
        </is>
      </c>
      <c r="H514" s="41" t="n">
        <v>2.3</v>
      </c>
      <c r="I514" s="41" t="n">
        <v>1.74</v>
      </c>
      <c r="J514" s="16" t="n">
        <v>-0.1323</v>
      </c>
      <c r="K514" s="42" t="n">
        <v>1</v>
      </c>
      <c r="L514" s="15" t="n">
        <v>1</v>
      </c>
      <c r="M514" s="43" t="inlineStr">
        <is>
          <t>Loss</t>
        </is>
      </c>
      <c r="N514" s="17">
        <f>IF(M514="Win",IF(F514="Bet",(I514-1)*K514,K514),IF(M514="Loss",IF(F514="Bet",-K514,-(I514-1)*K514),IF(M514="Void",0,"")))</f>
        <v/>
      </c>
      <c r="O514" s="18">
        <f>IF(OR(M514="Win",M514="Loss"),IF(F514="Bet",K514,(I514-1)*K514),"")</f>
        <v/>
      </c>
    </row>
    <row r="515">
      <c r="A515" s="44" t="n">
        <v>46290</v>
      </c>
      <c r="B515" s="45" t="inlineStr">
        <is>
          <t>Scone</t>
        </is>
      </c>
      <c r="C515" s="21" t="n">
        <v>3</v>
      </c>
      <c r="D515" s="21" t="n">
        <v>1</v>
      </c>
      <c r="E515" s="20" t="inlineStr">
        <is>
          <t>Magic Merlin</t>
        </is>
      </c>
      <c r="F515" s="46" t="inlineStr">
        <is>
          <t>Lay</t>
        </is>
      </c>
      <c r="G515" s="47" t="inlineStr">
        <is>
          <t>Lay</t>
        </is>
      </c>
      <c r="H515" s="48" t="n">
        <v>3.8</v>
      </c>
      <c r="I515" s="48" t="n">
        <v>2.8</v>
      </c>
      <c r="J515" s="22" t="n">
        <v>-0.08599999999999999</v>
      </c>
      <c r="K515" s="49" t="n">
        <v>1</v>
      </c>
      <c r="L515" s="21" t="n">
        <v>1</v>
      </c>
      <c r="M515" s="46" t="inlineStr">
        <is>
          <t>Loss</t>
        </is>
      </c>
      <c r="N515" s="23">
        <f>IF(M515="Win",IF(F515="Bet",(I515-1)*K515,K515),IF(M515="Loss",IF(F515="Bet",-K515,-(I515-1)*K515),IF(M515="Void",0,"")))</f>
        <v/>
      </c>
      <c r="O515" s="24">
        <f>IF(OR(M515="Win",M515="Loss"),IF(F515="Bet",K515,(I515-1)*K515),"")</f>
        <v/>
      </c>
    </row>
    <row r="516">
      <c r="A516" s="37" t="n">
        <v>46290</v>
      </c>
      <c r="B516" s="38" t="inlineStr">
        <is>
          <t>Lismore</t>
        </is>
      </c>
      <c r="C516" s="15" t="n">
        <v>1</v>
      </c>
      <c r="D516" s="15" t="n">
        <v>6</v>
      </c>
      <c r="E516" s="14" t="inlineStr">
        <is>
          <t>So Sain</t>
        </is>
      </c>
      <c r="F516" s="39" t="inlineStr">
        <is>
          <t>Bet</t>
        </is>
      </c>
      <c r="G516" s="40" t="inlineStr">
        <is>
          <t>Bet</t>
        </is>
      </c>
      <c r="H516" s="41" t="n">
        <v>4.8</v>
      </c>
      <c r="I516" s="41" t="n">
        <v>6</v>
      </c>
      <c r="J516" s="16" t="n">
        <v>0.0264</v>
      </c>
      <c r="K516" s="42" t="n">
        <v>1</v>
      </c>
      <c r="L516" s="15" t="n">
        <v>5</v>
      </c>
      <c r="M516" s="43" t="inlineStr">
        <is>
          <t>Loss</t>
        </is>
      </c>
      <c r="N516" s="17">
        <f>IF(M516="Win",IF(F516="Bet",(I516-1)*K516,K516),IF(M516="Loss",IF(F516="Bet",-K516,-(I516-1)*K516),IF(M516="Void",0,"")))</f>
        <v/>
      </c>
      <c r="O516" s="18">
        <f>IF(OR(M516="Win",M516="Loss"),IF(F516="Bet",K516,(I516-1)*K516),"")</f>
        <v/>
      </c>
    </row>
    <row r="517">
      <c r="A517" s="44" t="n">
        <v>46290</v>
      </c>
      <c r="B517" s="45" t="inlineStr">
        <is>
          <t>Coleraine</t>
        </is>
      </c>
      <c r="C517" s="21" t="n">
        <v>7</v>
      </c>
      <c r="D517" s="21" t="n">
        <v>2</v>
      </c>
      <c r="E517" s="20" t="inlineStr">
        <is>
          <t>Miracle Spin</t>
        </is>
      </c>
      <c r="F517" s="52" t="inlineStr">
        <is>
          <t>Bet</t>
        </is>
      </c>
      <c r="G517" s="40" t="inlineStr">
        <is>
          <t>Bet</t>
        </is>
      </c>
      <c r="H517" s="48" t="n">
        <v>4.7</v>
      </c>
      <c r="I517" s="48" t="n">
        <v>5.75</v>
      </c>
      <c r="J517" s="22" t="n">
        <v>0.0224</v>
      </c>
      <c r="K517" s="49" t="n">
        <v>1</v>
      </c>
      <c r="L517" s="21" t="n">
        <v>7</v>
      </c>
      <c r="M517" s="46" t="inlineStr">
        <is>
          <t>Loss</t>
        </is>
      </c>
      <c r="N517" s="23">
        <f>IF(M517="Win",IF(F517="Bet",(I517-1)*K517,K517),IF(M517="Loss",IF(F517="Bet",-K517,-(I517-1)*K517),IF(M517="Void",0,"")))</f>
        <v/>
      </c>
      <c r="O517" s="24">
        <f>IF(OR(M517="Win",M517="Loss"),IF(F517="Bet",K517,(I517-1)*K517),"")</f>
        <v/>
      </c>
    </row>
    <row r="518">
      <c r="A518" s="37" t="n">
        <v>46290</v>
      </c>
      <c r="B518" s="38" t="inlineStr">
        <is>
          <t>Ewan</t>
        </is>
      </c>
      <c r="C518" s="15" t="n">
        <v>3</v>
      </c>
      <c r="D518" s="15" t="n">
        <v>1</v>
      </c>
      <c r="E518" s="14" t="inlineStr">
        <is>
          <t>Yes Dream</t>
        </is>
      </c>
      <c r="F518" s="39" t="inlineStr">
        <is>
          <t>Bet</t>
        </is>
      </c>
      <c r="G518" s="40" t="inlineStr">
        <is>
          <t>Bet</t>
        </is>
      </c>
      <c r="H518" s="41" t="n">
        <v>6</v>
      </c>
      <c r="I518" s="41" t="n">
        <v>8</v>
      </c>
      <c r="J518" s="16" t="n">
        <v>0.0225</v>
      </c>
      <c r="K518" s="42" t="n">
        <v>1</v>
      </c>
      <c r="L518" s="15" t="n">
        <v>1</v>
      </c>
      <c r="M518" s="51" t="inlineStr">
        <is>
          <t>Win</t>
        </is>
      </c>
      <c r="N518" s="17">
        <f>IF(M518="Win",IF(F518="Bet",(I518-1)*K518,K518),IF(M518="Loss",IF(F518="Bet",-K518,-(I518-1)*K518),IF(M518="Void",0,"")))</f>
        <v/>
      </c>
      <c r="O518" s="18">
        <f>IF(OR(M518="Win",M518="Loss"),IF(F518="Bet",K518,(I518-1)*K518),"")</f>
        <v/>
      </c>
    </row>
    <row r="519">
      <c r="A519" s="44" t="n">
        <v>46290</v>
      </c>
      <c r="B519" s="45" t="inlineStr">
        <is>
          <t>Sunshine Coast</t>
        </is>
      </c>
      <c r="C519" s="21" t="n">
        <v>1</v>
      </c>
      <c r="D519" s="21" t="n">
        <v>12</v>
      </c>
      <c r="E519" s="20" t="inlineStr">
        <is>
          <t>Sheza Boom</t>
        </is>
      </c>
      <c r="F519" s="46" t="inlineStr">
        <is>
          <t>Lay</t>
        </is>
      </c>
      <c r="G519" s="47" t="inlineStr">
        <is>
          <t>Lay</t>
        </is>
      </c>
      <c r="H519" s="48" t="n">
        <v>4.3</v>
      </c>
      <c r="I519" s="48" t="n">
        <v>2.87</v>
      </c>
      <c r="J519" s="22" t="n">
        <v>-0.09959999999999999</v>
      </c>
      <c r="K519" s="49" t="n">
        <v>1</v>
      </c>
      <c r="L519" s="21" t="n">
        <v>3</v>
      </c>
      <c r="M519" s="50" t="inlineStr">
        <is>
          <t>Win</t>
        </is>
      </c>
      <c r="N519" s="23">
        <f>IF(M519="Win",IF(F519="Bet",(I519-1)*K519,K519),IF(M519="Loss",IF(F519="Bet",-K519,-(I519-1)*K519),IF(M519="Void",0,"")))</f>
        <v/>
      </c>
      <c r="O519" s="24">
        <f>IF(OR(M519="Win",M519="Loss"),IF(F519="Bet",K519,(I519-1)*K519),"")</f>
        <v/>
      </c>
    </row>
    <row r="520">
      <c r="A520" s="37" t="n">
        <v>46290</v>
      </c>
      <c r="B520" s="38" t="inlineStr">
        <is>
          <t>Launceston</t>
        </is>
      </c>
      <c r="C520" s="15" t="n">
        <v>3</v>
      </c>
      <c r="D520" s="15" t="n">
        <v>8</v>
      </c>
      <c r="E520" s="14" t="inlineStr">
        <is>
          <t>Symphony Queen</t>
        </is>
      </c>
      <c r="F520" s="43" t="inlineStr">
        <is>
          <t>Lay</t>
        </is>
      </c>
      <c r="G520" s="47" t="inlineStr">
        <is>
          <t>Lay</t>
        </is>
      </c>
      <c r="H520" s="41" t="n">
        <v>3.7</v>
      </c>
      <c r="I520" s="41" t="n">
        <v>2.94</v>
      </c>
      <c r="J520" s="16" t="n">
        <v>-0.07049999999999999</v>
      </c>
      <c r="K520" s="42" t="n">
        <v>1</v>
      </c>
      <c r="L520" s="15" t="n">
        <v>6</v>
      </c>
      <c r="M520" s="51" t="inlineStr">
        <is>
          <t>Win</t>
        </is>
      </c>
      <c r="N520" s="17">
        <f>IF(M520="Win",IF(F520="Bet",(I520-1)*K520,K520),IF(M520="Loss",IF(F520="Bet",-K520,-(I520-1)*K520),IF(M520="Void",0,"")))</f>
        <v/>
      </c>
      <c r="O520" s="18">
        <f>IF(OR(M520="Win",M520="Loss"),IF(F520="Bet",K520,(I520-1)*K520),"")</f>
        <v/>
      </c>
    </row>
    <row r="521">
      <c r="A521" s="44" t="n">
        <v>46290</v>
      </c>
      <c r="B521" s="45" t="inlineStr">
        <is>
          <t>Cranbourne</t>
        </is>
      </c>
      <c r="C521" s="21" t="n">
        <v>3</v>
      </c>
      <c r="D521" s="21" t="n">
        <v>9</v>
      </c>
      <c r="E521" s="20" t="inlineStr">
        <is>
          <t>Shooting Brake</t>
        </is>
      </c>
      <c r="F521" s="52" t="inlineStr">
        <is>
          <t>Bet</t>
        </is>
      </c>
      <c r="G521" s="40" t="inlineStr">
        <is>
          <t>Bet</t>
        </is>
      </c>
      <c r="H521" s="48" t="n">
        <v>3</v>
      </c>
      <c r="I521" s="48" t="n">
        <v>4.4</v>
      </c>
      <c r="J521" s="22" t="n">
        <v>0.0255</v>
      </c>
      <c r="K521" s="49" t="n">
        <v>1</v>
      </c>
      <c r="L521" s="21" t="n">
        <v>4</v>
      </c>
      <c r="M521" s="46" t="inlineStr">
        <is>
          <t>Loss</t>
        </is>
      </c>
      <c r="N521" s="23">
        <f>IF(M521="Win",IF(F521="Bet",(I521-1)*K521,K521),IF(M521="Loss",IF(F521="Bet",-K521,-(I521-1)*K521),IF(M521="Void",0,"")))</f>
        <v/>
      </c>
      <c r="O521" s="24">
        <f>IF(OR(M521="Win",M521="Loss"),IF(F521="Bet",K521,(I521-1)*K521),"")</f>
        <v/>
      </c>
    </row>
    <row r="522">
      <c r="A522" s="37" t="n">
        <v>46290</v>
      </c>
      <c r="B522" s="38" t="inlineStr">
        <is>
          <t>Ewan</t>
        </is>
      </c>
      <c r="C522" s="15" t="n">
        <v>4</v>
      </c>
      <c r="D522" s="15" t="n">
        <v>4</v>
      </c>
      <c r="E522" s="14" t="inlineStr">
        <is>
          <t>Rock The Sunrise</t>
        </is>
      </c>
      <c r="F522" s="43" t="inlineStr">
        <is>
          <t>Lay</t>
        </is>
      </c>
      <c r="G522" s="47" t="inlineStr">
        <is>
          <t>Lay</t>
        </is>
      </c>
      <c r="H522" s="41" t="n">
        <v>3.3</v>
      </c>
      <c r="I522" s="41" t="n">
        <v>2.7</v>
      </c>
      <c r="J522" s="16" t="n">
        <v>-0.0672</v>
      </c>
      <c r="K522" s="42" t="n">
        <v>1</v>
      </c>
      <c r="L522" s="15" t="n">
        <v>1</v>
      </c>
      <c r="M522" s="43" t="inlineStr">
        <is>
          <t>Loss</t>
        </is>
      </c>
      <c r="N522" s="17">
        <f>IF(M522="Win",IF(F522="Bet",(I522-1)*K522,K522),IF(M522="Loss",IF(F522="Bet",-K522,-(I522-1)*K522),IF(M522="Void",0,"")))</f>
        <v/>
      </c>
      <c r="O522" s="18">
        <f>IF(OR(M522="Win",M522="Loss"),IF(F522="Bet",K522,(I522-1)*K522),"")</f>
        <v/>
      </c>
    </row>
    <row r="523">
      <c r="A523" s="44" t="n">
        <v>46290</v>
      </c>
      <c r="B523" s="45" t="inlineStr">
        <is>
          <t>Lismore</t>
        </is>
      </c>
      <c r="C523" s="21" t="n">
        <v>1</v>
      </c>
      <c r="D523" s="21" t="n">
        <v>2</v>
      </c>
      <c r="E523" s="20" t="inlineStr">
        <is>
          <t>Sarmat</t>
        </is>
      </c>
      <c r="F523" s="46" t="inlineStr">
        <is>
          <t>Lay</t>
        </is>
      </c>
      <c r="G523" s="47" t="inlineStr">
        <is>
          <t>Lay</t>
        </is>
      </c>
      <c r="H523" s="48" t="n">
        <v>2.65</v>
      </c>
      <c r="I523" s="48" t="n">
        <v>2.06</v>
      </c>
      <c r="J523" s="22" t="n">
        <v>-0.06569999999999999</v>
      </c>
      <c r="K523" s="49" t="n">
        <v>1</v>
      </c>
      <c r="L523" s="21" t="n">
        <v>4</v>
      </c>
      <c r="M523" s="50" t="inlineStr">
        <is>
          <t>Win</t>
        </is>
      </c>
      <c r="N523" s="23">
        <f>IF(M523="Win",IF(F523="Bet",(I523-1)*K523,K523),IF(M523="Loss",IF(F523="Bet",-K523,-(I523-1)*K523),IF(M523="Void",0,"")))</f>
        <v/>
      </c>
      <c r="O523" s="24">
        <f>IF(OR(M523="Win",M523="Loss"),IF(F523="Bet",K523,(I523-1)*K523),"")</f>
        <v/>
      </c>
    </row>
    <row r="524">
      <c r="A524" s="37" t="n">
        <v>46290</v>
      </c>
      <c r="B524" s="38" t="inlineStr">
        <is>
          <t>Coleraine</t>
        </is>
      </c>
      <c r="C524" s="15" t="n">
        <v>1</v>
      </c>
      <c r="D524" s="15" t="n">
        <v>4</v>
      </c>
      <c r="E524" s="14" t="inlineStr">
        <is>
          <t>Millsy's Award</t>
        </is>
      </c>
      <c r="F524" s="43" t="inlineStr">
        <is>
          <t>Lay</t>
        </is>
      </c>
      <c r="G524" s="47" t="inlineStr">
        <is>
          <t>Lay</t>
        </is>
      </c>
      <c r="H524" s="41" t="n">
        <v>9.199999999999999</v>
      </c>
      <c r="I524" s="41" t="n">
        <v>5.09</v>
      </c>
      <c r="J524" s="16" t="n">
        <v>-0.0699</v>
      </c>
      <c r="K524" s="42" t="n">
        <v>1</v>
      </c>
      <c r="L524" s="15" t="n">
        <v>3</v>
      </c>
      <c r="M524" s="51" t="inlineStr">
        <is>
          <t>Win</t>
        </is>
      </c>
      <c r="N524" s="17">
        <f>IF(M524="Win",IF(F524="Bet",(I524-1)*K524,K524),IF(M524="Loss",IF(F524="Bet",-K524,-(I524-1)*K524),IF(M524="Void",0,"")))</f>
        <v/>
      </c>
      <c r="O524" s="18">
        <f>IF(OR(M524="Win",M524="Loss"),IF(F524="Bet",K524,(I524-1)*K524),"")</f>
        <v/>
      </c>
    </row>
    <row r="525">
      <c r="A525" s="44" t="n">
        <v>46290</v>
      </c>
      <c r="B525" s="45" t="inlineStr">
        <is>
          <t>Coleraine</t>
        </is>
      </c>
      <c r="C525" s="21" t="n">
        <v>1</v>
      </c>
      <c r="D525" s="21" t="n">
        <v>5</v>
      </c>
      <c r="E525" s="20" t="inlineStr">
        <is>
          <t>Mister Solly</t>
        </is>
      </c>
      <c r="F525" s="52" t="inlineStr">
        <is>
          <t>Bet</t>
        </is>
      </c>
      <c r="G525" s="40" t="inlineStr">
        <is>
          <t>Bet</t>
        </is>
      </c>
      <c r="H525" s="48" t="n">
        <v>6.4</v>
      </c>
      <c r="I525" s="48" t="n">
        <v>8</v>
      </c>
      <c r="J525" s="22" t="n">
        <v>0.0222</v>
      </c>
      <c r="K525" s="49" t="n">
        <v>1</v>
      </c>
      <c r="L525" s="21" t="n">
        <v>8</v>
      </c>
      <c r="M525" s="46" t="inlineStr">
        <is>
          <t>Loss</t>
        </is>
      </c>
      <c r="N525" s="23">
        <f>IF(M525="Win",IF(F525="Bet",(I525-1)*K525,K525),IF(M525="Loss",IF(F525="Bet",-K525,-(I525-1)*K525),IF(M525="Void",0,"")))</f>
        <v/>
      </c>
      <c r="O525" s="24">
        <f>IF(OR(M525="Win",M525="Loss"),IF(F525="Bet",K525,(I525-1)*K525),"")</f>
        <v/>
      </c>
    </row>
    <row r="526">
      <c r="A526" s="37" t="n">
        <v>46290</v>
      </c>
      <c r="B526" s="38" t="inlineStr">
        <is>
          <t>Ewan</t>
        </is>
      </c>
      <c r="C526" s="15" t="n">
        <v>1</v>
      </c>
      <c r="D526" s="15" t="n">
        <v>8</v>
      </c>
      <c r="E526" s="14" t="inlineStr">
        <is>
          <t>Stylish Rosie</t>
        </is>
      </c>
      <c r="F526" s="43" t="inlineStr">
        <is>
          <t>Lay</t>
        </is>
      </c>
      <c r="G526" s="47" t="inlineStr">
        <is>
          <t>Lay</t>
        </is>
      </c>
      <c r="H526" s="41" t="n">
        <v>5.4</v>
      </c>
      <c r="I526" s="41" t="n">
        <v>3.85</v>
      </c>
      <c r="J526" s="16" t="n">
        <v>-0.0677</v>
      </c>
      <c r="K526" s="42" t="n">
        <v>1</v>
      </c>
      <c r="L526" s="15" t="n">
        <v>1</v>
      </c>
      <c r="M526" s="43" t="inlineStr">
        <is>
          <t>Loss</t>
        </is>
      </c>
      <c r="N526" s="17">
        <f>IF(M526="Win",IF(F526="Bet",(I526-1)*K526,K526),IF(M526="Loss",IF(F526="Bet",-K526,-(I526-1)*K526),IF(M526="Void",0,"")))</f>
        <v/>
      </c>
      <c r="O526" s="18">
        <f>IF(OR(M526="Win",M526="Loss"),IF(F526="Bet",K526,(I526-1)*K526),"")</f>
        <v/>
      </c>
    </row>
    <row r="527">
      <c r="A527" s="44" t="n">
        <v>46290</v>
      </c>
      <c r="B527" s="45" t="inlineStr">
        <is>
          <t>Ewan</t>
        </is>
      </c>
      <c r="C527" s="21" t="n">
        <v>2</v>
      </c>
      <c r="D527" s="21" t="n">
        <v>9</v>
      </c>
      <c r="E527" s="20" t="inlineStr">
        <is>
          <t>Willingale</t>
        </is>
      </c>
      <c r="F527" s="46" t="inlineStr">
        <is>
          <t>Lay</t>
        </is>
      </c>
      <c r="G527" s="47" t="inlineStr">
        <is>
          <t>Lay</t>
        </is>
      </c>
      <c r="H527" s="48" t="n">
        <v>5.3</v>
      </c>
      <c r="I527" s="48" t="n">
        <v>4</v>
      </c>
      <c r="J527" s="22" t="n">
        <v>-0.0604</v>
      </c>
      <c r="K527" s="49" t="n">
        <v>1</v>
      </c>
      <c r="L527" s="21" t="n">
        <v>1</v>
      </c>
      <c r="M527" s="46" t="inlineStr">
        <is>
          <t>Loss</t>
        </is>
      </c>
      <c r="N527" s="23">
        <f>IF(M527="Win",IF(F527="Bet",(I527-1)*K527,K527),IF(M527="Loss",IF(F527="Bet",-K527,-(I527-1)*K527),IF(M527="Void",0,"")))</f>
        <v/>
      </c>
      <c r="O527" s="24">
        <f>IF(OR(M527="Win",M527="Loss"),IF(F527="Bet",K527,(I527-1)*K527),"")</f>
        <v/>
      </c>
    </row>
    <row r="528">
      <c r="A528" s="37" t="n">
        <v>46290</v>
      </c>
      <c r="B528" s="38" t="inlineStr">
        <is>
          <t>Coleraine</t>
        </is>
      </c>
      <c r="C528" s="15" t="n">
        <v>2</v>
      </c>
      <c r="D528" s="15" t="n">
        <v>8</v>
      </c>
      <c r="E528" s="14" t="inlineStr">
        <is>
          <t>Gasoline Rainbow</t>
        </is>
      </c>
      <c r="F528" s="43" t="inlineStr">
        <is>
          <t>Lay</t>
        </is>
      </c>
      <c r="G528" s="47" t="inlineStr">
        <is>
          <t>Lay</t>
        </is>
      </c>
      <c r="H528" s="41" t="n">
        <v>4</v>
      </c>
      <c r="I528" s="41" t="n">
        <v>2.84</v>
      </c>
      <c r="J528" s="16" t="n">
        <v>-0.073</v>
      </c>
      <c r="K528" s="42" t="n">
        <v>1</v>
      </c>
      <c r="L528" s="15" t="n">
        <v>5</v>
      </c>
      <c r="M528" s="51" t="inlineStr">
        <is>
          <t>Win</t>
        </is>
      </c>
      <c r="N528" s="17">
        <f>IF(M528="Win",IF(F528="Bet",(I528-1)*K528,K528),IF(M528="Loss",IF(F528="Bet",-K528,-(I528-1)*K528),IF(M528="Void",0,"")))</f>
        <v/>
      </c>
      <c r="O528" s="18">
        <f>IF(OR(M528="Win",M528="Loss"),IF(F528="Bet",K528,(I528-1)*K528),"")</f>
        <v/>
      </c>
    </row>
    <row r="529">
      <c r="A529" s="44" t="n">
        <v>46290</v>
      </c>
      <c r="B529" s="45" t="inlineStr">
        <is>
          <t>Lismore</t>
        </is>
      </c>
      <c r="C529" s="21" t="n">
        <v>3</v>
      </c>
      <c r="D529" s="21" t="n">
        <v>1</v>
      </c>
      <c r="E529" s="20" t="inlineStr">
        <is>
          <t>Barello</t>
        </is>
      </c>
      <c r="F529" s="52" t="inlineStr">
        <is>
          <t>Bet</t>
        </is>
      </c>
      <c r="G529" s="40" t="inlineStr">
        <is>
          <t>Bet</t>
        </is>
      </c>
      <c r="H529" s="48" t="n">
        <v>5.6</v>
      </c>
      <c r="I529" s="48" t="n">
        <v>6.5</v>
      </c>
      <c r="J529" s="22" t="n">
        <v>0.0248</v>
      </c>
      <c r="K529" s="49" t="n">
        <v>1</v>
      </c>
      <c r="L529" s="21" t="n">
        <v>5</v>
      </c>
      <c r="M529" s="46" t="inlineStr">
        <is>
          <t>Loss</t>
        </is>
      </c>
      <c r="N529" s="23">
        <f>IF(M529="Win",IF(F529="Bet",(I529-1)*K529,K529),IF(M529="Loss",IF(F529="Bet",-K529,-(I529-1)*K529),IF(M529="Void",0,"")))</f>
        <v/>
      </c>
      <c r="O529" s="24">
        <f>IF(OR(M529="Win",M529="Loss"),IF(F529="Bet",K529,(I529-1)*K529),"")</f>
        <v/>
      </c>
    </row>
    <row r="530">
      <c r="A530" s="37" t="n">
        <v>46290</v>
      </c>
      <c r="B530" s="38" t="inlineStr">
        <is>
          <t>Ewan</t>
        </is>
      </c>
      <c r="C530" s="15" t="n">
        <v>2</v>
      </c>
      <c r="D530" s="15" t="n">
        <v>6</v>
      </c>
      <c r="E530" s="14" t="inlineStr">
        <is>
          <t>Tarong</t>
        </is>
      </c>
      <c r="F530" s="39" t="inlineStr">
        <is>
          <t>Bet</t>
        </is>
      </c>
      <c r="G530" s="40" t="inlineStr">
        <is>
          <t>Bet</t>
        </is>
      </c>
      <c r="H530" s="41" t="n">
        <v>7.1</v>
      </c>
      <c r="I530" s="41" t="n">
        <v>8.5</v>
      </c>
      <c r="J530" s="16" t="n">
        <v>0.0232</v>
      </c>
      <c r="K530" s="42" t="n">
        <v>1</v>
      </c>
      <c r="L530" s="15" t="n">
        <v>5</v>
      </c>
      <c r="M530" s="43" t="inlineStr">
        <is>
          <t>Loss</t>
        </is>
      </c>
      <c r="N530" s="17">
        <f>IF(M530="Win",IF(F530="Bet",(I530-1)*K530,K530),IF(M530="Loss",IF(F530="Bet",-K530,-(I530-1)*K530),IF(M530="Void",0,"")))</f>
        <v/>
      </c>
      <c r="O530" s="18">
        <f>IF(OR(M530="Win",M530="Loss"),IF(F530="Bet",K530,(I530-1)*K530),"")</f>
        <v/>
      </c>
    </row>
    <row r="531">
      <c r="A531" s="44" t="n">
        <v>46290</v>
      </c>
      <c r="B531" s="45" t="inlineStr">
        <is>
          <t>Lismore</t>
        </is>
      </c>
      <c r="C531" s="21" t="n">
        <v>4</v>
      </c>
      <c r="D531" s="21" t="n">
        <v>4</v>
      </c>
      <c r="E531" s="20" t="inlineStr">
        <is>
          <t>Transgress</t>
        </is>
      </c>
      <c r="F531" s="46" t="inlineStr">
        <is>
          <t>Lay</t>
        </is>
      </c>
      <c r="G531" s="47" t="inlineStr">
        <is>
          <t>Lay</t>
        </is>
      </c>
      <c r="H531" s="48" t="n">
        <v>5</v>
      </c>
      <c r="I531" s="48" t="n">
        <v>3.15</v>
      </c>
      <c r="J531" s="22" t="n">
        <v>-0.0649</v>
      </c>
      <c r="K531" s="49" t="n">
        <v>1</v>
      </c>
      <c r="L531" s="21" t="n">
        <v>5</v>
      </c>
      <c r="M531" s="50" t="inlineStr">
        <is>
          <t>Win</t>
        </is>
      </c>
      <c r="N531" s="23">
        <f>IF(M531="Win",IF(F531="Bet",(I531-1)*K531,K531),IF(M531="Loss",IF(F531="Bet",-K531,-(I531-1)*K531),IF(M531="Void",0,"")))</f>
        <v/>
      </c>
      <c r="O531" s="24">
        <f>IF(OR(M531="Win",M531="Loss"),IF(F531="Bet",K531,(I531-1)*K531),"")</f>
        <v/>
      </c>
    </row>
    <row r="532">
      <c r="A532" s="37" t="n">
        <v>46290</v>
      </c>
      <c r="B532" s="38" t="inlineStr">
        <is>
          <t>Launceston</t>
        </is>
      </c>
      <c r="C532" s="15" t="n">
        <v>8</v>
      </c>
      <c r="D532" s="15" t="n">
        <v>2</v>
      </c>
      <c r="E532" s="14" t="inlineStr">
        <is>
          <t>Benefitsofmine</t>
        </is>
      </c>
      <c r="F532" s="43" t="inlineStr">
        <is>
          <t>Lay</t>
        </is>
      </c>
      <c r="G532" s="47" t="inlineStr">
        <is>
          <t>Lay</t>
        </is>
      </c>
      <c r="H532" s="41" t="n">
        <v>6.5</v>
      </c>
      <c r="I532" s="41" t="n">
        <v>3.75</v>
      </c>
      <c r="J532" s="16" t="n">
        <v>-0.0732</v>
      </c>
      <c r="K532" s="42" t="n">
        <v>1</v>
      </c>
      <c r="L532" s="15" t="n">
        <v>3</v>
      </c>
      <c r="M532" s="51" t="inlineStr">
        <is>
          <t>Win</t>
        </is>
      </c>
      <c r="N532" s="17">
        <f>IF(M532="Win",IF(F532="Bet",(I532-1)*K532,K532),IF(M532="Loss",IF(F532="Bet",-K532,-(I532-1)*K532),IF(M532="Void",0,"")))</f>
        <v/>
      </c>
      <c r="O532" s="18">
        <f>IF(OR(M532="Win",M532="Loss"),IF(F532="Bet",K532,(I532-1)*K532),"")</f>
        <v/>
      </c>
    </row>
    <row r="533">
      <c r="A533" s="44" t="n">
        <v>46290</v>
      </c>
      <c r="B533" s="45" t="inlineStr">
        <is>
          <t>Darwin</t>
        </is>
      </c>
      <c r="C533" s="21" t="n">
        <v>1</v>
      </c>
      <c r="D533" s="21" t="n">
        <v>3</v>
      </c>
      <c r="E533" s="20" t="inlineStr">
        <is>
          <t>Perfect Link</t>
        </is>
      </c>
      <c r="F533" s="46" t="inlineStr">
        <is>
          <t>Lay</t>
        </is>
      </c>
      <c r="G533" s="47" t="inlineStr">
        <is>
          <t>Lay</t>
        </is>
      </c>
      <c r="H533" s="48" t="n">
        <v>3.1</v>
      </c>
      <c r="I533" s="48" t="n">
        <v>2.56</v>
      </c>
      <c r="J533" s="22" t="n">
        <v>-0.0639</v>
      </c>
      <c r="K533" s="49" t="n">
        <v>1</v>
      </c>
      <c r="L533" s="21" t="n">
        <v>5</v>
      </c>
      <c r="M533" s="50" t="inlineStr">
        <is>
          <t>Win</t>
        </is>
      </c>
      <c r="N533" s="23">
        <f>IF(M533="Win",IF(F533="Bet",(I533-1)*K533,K533),IF(M533="Loss",IF(F533="Bet",-K533,-(I533-1)*K533),IF(M533="Void",0,"")))</f>
        <v/>
      </c>
      <c r="O533" s="24">
        <f>IF(OR(M533="Win",M533="Loss"),IF(F533="Bet",K533,(I533-1)*K533),"")</f>
        <v/>
      </c>
    </row>
    <row r="534">
      <c r="A534" s="37" t="n">
        <v>46290</v>
      </c>
      <c r="B534" s="38" t="inlineStr">
        <is>
          <t>Coleraine</t>
        </is>
      </c>
      <c r="C534" s="15" t="n">
        <v>4</v>
      </c>
      <c r="D534" s="15" t="n">
        <v>4</v>
      </c>
      <c r="E534" s="14" t="inlineStr">
        <is>
          <t>Flying Straz</t>
        </is>
      </c>
      <c r="F534" s="43" t="inlineStr">
        <is>
          <t>Lay</t>
        </is>
      </c>
      <c r="G534" s="47" t="inlineStr">
        <is>
          <t>Lay</t>
        </is>
      </c>
      <c r="H534" s="41" t="n">
        <v>5</v>
      </c>
      <c r="I534" s="41" t="n">
        <v>3.85</v>
      </c>
      <c r="J534" s="16" t="n">
        <v>-0.0614</v>
      </c>
      <c r="K534" s="42" t="n">
        <v>1</v>
      </c>
      <c r="L534" s="15" t="n">
        <v>1</v>
      </c>
      <c r="M534" s="43" t="inlineStr">
        <is>
          <t>Loss</t>
        </is>
      </c>
      <c r="N534" s="17">
        <f>IF(M534="Win",IF(F534="Bet",(I534-1)*K534,K534),IF(M534="Loss",IF(F534="Bet",-K534,-(I534-1)*K534),IF(M534="Void",0,"")))</f>
        <v/>
      </c>
      <c r="O534" s="18">
        <f>IF(OR(M534="Win",M534="Loss"),IF(F534="Bet",K534,(I534-1)*K534),"")</f>
        <v/>
      </c>
    </row>
    <row r="535">
      <c r="A535" s="44" t="n">
        <v>46290</v>
      </c>
      <c r="B535" s="45" t="inlineStr">
        <is>
          <t>Scone</t>
        </is>
      </c>
      <c r="C535" s="21" t="n">
        <v>5</v>
      </c>
      <c r="D535" s="21" t="n">
        <v>5</v>
      </c>
      <c r="E535" s="20" t="inlineStr">
        <is>
          <t>Shuda Known</t>
        </is>
      </c>
      <c r="F535" s="46" t="inlineStr">
        <is>
          <t>Lay</t>
        </is>
      </c>
      <c r="G535" s="47" t="inlineStr">
        <is>
          <t>Lay</t>
        </is>
      </c>
      <c r="H535" s="48" t="n">
        <v>3.3</v>
      </c>
      <c r="I535" s="48" t="n">
        <v>2.3</v>
      </c>
      <c r="J535" s="22" t="n">
        <v>-0.068</v>
      </c>
      <c r="K535" s="49" t="n">
        <v>1</v>
      </c>
      <c r="L535" s="21" t="n">
        <v>1</v>
      </c>
      <c r="M535" s="46" t="inlineStr">
        <is>
          <t>Loss</t>
        </is>
      </c>
      <c r="N535" s="23">
        <f>IF(M535="Win",IF(F535="Bet",(I535-1)*K535,K535),IF(M535="Loss",IF(F535="Bet",-K535,-(I535-1)*K535),IF(M535="Void",0,"")))</f>
        <v/>
      </c>
      <c r="O535" s="24">
        <f>IF(OR(M535="Win",M535="Loss"),IF(F535="Bet",K535,(I535-1)*K535),"")</f>
        <v/>
      </c>
    </row>
    <row r="536">
      <c r="A536" s="37" t="n">
        <v>46290</v>
      </c>
      <c r="B536" s="38" t="inlineStr">
        <is>
          <t>Coleraine</t>
        </is>
      </c>
      <c r="C536" s="15" t="n">
        <v>5</v>
      </c>
      <c r="D536" s="15" t="n">
        <v>7</v>
      </c>
      <c r="E536" s="14" t="inlineStr">
        <is>
          <t>Digari</t>
        </is>
      </c>
      <c r="F536" s="43" t="inlineStr">
        <is>
          <t>Lay</t>
        </is>
      </c>
      <c r="G536" s="47" t="inlineStr">
        <is>
          <t>Lay</t>
        </is>
      </c>
      <c r="H536" s="41" t="n">
        <v>6.3</v>
      </c>
      <c r="I536" s="41" t="n">
        <v>4.4</v>
      </c>
      <c r="J536" s="16" t="n">
        <v>-0.0678</v>
      </c>
      <c r="K536" s="42" t="n">
        <v>1</v>
      </c>
      <c r="L536" s="15" t="n">
        <v>5</v>
      </c>
      <c r="M536" s="51" t="inlineStr">
        <is>
          <t>Win</t>
        </is>
      </c>
      <c r="N536" s="17">
        <f>IF(M536="Win",IF(F536="Bet",(I536-1)*K536,K536),IF(M536="Loss",IF(F536="Bet",-K536,-(I536-1)*K536),IF(M536="Void",0,"")))</f>
        <v/>
      </c>
      <c r="O536" s="18">
        <f>IF(OR(M536="Win",M536="Loss"),IF(F536="Bet",K536,(I536-1)*K536),"")</f>
        <v/>
      </c>
    </row>
    <row r="537">
      <c r="A537" s="44" t="n">
        <v>46290</v>
      </c>
      <c r="B537" s="45" t="inlineStr">
        <is>
          <t>Ewan</t>
        </is>
      </c>
      <c r="C537" s="21" t="n">
        <v>5</v>
      </c>
      <c r="D537" s="21" t="n">
        <v>5</v>
      </c>
      <c r="E537" s="20" t="inlineStr">
        <is>
          <t>Mayor Of Kingston</t>
        </is>
      </c>
      <c r="F537" s="46" t="inlineStr">
        <is>
          <t>Lay</t>
        </is>
      </c>
      <c r="G537" s="47" t="inlineStr">
        <is>
          <t>Lay</t>
        </is>
      </c>
      <c r="H537" s="48" t="n">
        <v>5.5</v>
      </c>
      <c r="I537" s="48" t="n">
        <v>3.52</v>
      </c>
      <c r="J537" s="22" t="n">
        <v>-0.0697</v>
      </c>
      <c r="K537" s="49" t="n">
        <v>1</v>
      </c>
      <c r="L537" s="21" t="n">
        <v>3</v>
      </c>
      <c r="M537" s="50" t="inlineStr">
        <is>
          <t>Win</t>
        </is>
      </c>
      <c r="N537" s="23">
        <f>IF(M537="Win",IF(F537="Bet",(I537-1)*K537,K537),IF(M537="Loss",IF(F537="Bet",-K537,-(I537-1)*K537),IF(M537="Void",0,"")))</f>
        <v/>
      </c>
      <c r="O537" s="24">
        <f>IF(OR(M537="Win",M537="Loss"),IF(F537="Bet",K537,(I537-1)*K537),"")</f>
        <v/>
      </c>
    </row>
    <row r="538">
      <c r="A538" s="37" t="n">
        <v>46290</v>
      </c>
      <c r="B538" s="38" t="inlineStr">
        <is>
          <t>Ewan</t>
        </is>
      </c>
      <c r="C538" s="15" t="n">
        <v>5</v>
      </c>
      <c r="D538" s="15" t="n">
        <v>1</v>
      </c>
      <c r="E538" s="14" t="inlineStr">
        <is>
          <t>Airwaves</t>
        </is>
      </c>
      <c r="F538" s="39" t="inlineStr">
        <is>
          <t>Bet</t>
        </is>
      </c>
      <c r="G538" s="40" t="inlineStr">
        <is>
          <t>Bet</t>
        </is>
      </c>
      <c r="H538" s="41" t="n">
        <v>5.4</v>
      </c>
      <c r="I538" s="41" t="n">
        <v>6.51</v>
      </c>
      <c r="J538" s="16" t="n">
        <v>0.0202</v>
      </c>
      <c r="K538" s="42" t="n">
        <v>1</v>
      </c>
      <c r="L538" s="15" t="n">
        <v>1</v>
      </c>
      <c r="M538" s="51" t="inlineStr">
        <is>
          <t>Win</t>
        </is>
      </c>
      <c r="N538" s="17">
        <f>IF(M538="Win",IF(F538="Bet",(I538-1)*K538,K538),IF(M538="Loss",IF(F538="Bet",-K538,-(I538-1)*K538),IF(M538="Void",0,"")))</f>
        <v/>
      </c>
      <c r="O538" s="18">
        <f>IF(OR(M538="Win",M538="Loss"),IF(F538="Bet",K538,(I538-1)*K538),"")</f>
        <v/>
      </c>
    </row>
    <row r="539">
      <c r="A539" s="44" t="n">
        <v>46290</v>
      </c>
      <c r="B539" s="45" t="inlineStr">
        <is>
          <t>Coleraine</t>
        </is>
      </c>
      <c r="C539" s="21" t="n">
        <v>6</v>
      </c>
      <c r="D539" s="21" t="n">
        <v>6</v>
      </c>
      <c r="E539" s="20" t="inlineStr">
        <is>
          <t>Cool Star</t>
        </is>
      </c>
      <c r="F539" s="52" t="inlineStr">
        <is>
          <t>Bet</t>
        </is>
      </c>
      <c r="G539" s="40" t="inlineStr">
        <is>
          <t>Bet</t>
        </is>
      </c>
      <c r="H539" s="48" t="n">
        <v>5.7</v>
      </c>
      <c r="I539" s="48" t="n">
        <v>7.8</v>
      </c>
      <c r="J539" s="22" t="n">
        <v>0.0208</v>
      </c>
      <c r="K539" s="49" t="n">
        <v>1</v>
      </c>
      <c r="L539" s="21" t="n">
        <v>2</v>
      </c>
      <c r="M539" s="46" t="inlineStr">
        <is>
          <t>Loss</t>
        </is>
      </c>
      <c r="N539" s="23">
        <f>IF(M539="Win",IF(F539="Bet",(I539-1)*K539,K539),IF(M539="Loss",IF(F539="Bet",-K539,-(I539-1)*K539),IF(M539="Void",0,"")))</f>
        <v/>
      </c>
      <c r="O539" s="24">
        <f>IF(OR(M539="Win",M539="Loss"),IF(F539="Bet",K539,(I539-1)*K539),"")</f>
        <v/>
      </c>
    </row>
    <row r="540">
      <c r="A540" s="37" t="n">
        <v>46290</v>
      </c>
      <c r="B540" s="38" t="inlineStr">
        <is>
          <t>Darwin</t>
        </is>
      </c>
      <c r="C540" s="15" t="n">
        <v>5</v>
      </c>
      <c r="D540" s="15" t="n">
        <v>3</v>
      </c>
      <c r="E540" s="14" t="inlineStr">
        <is>
          <t>Debating</t>
        </is>
      </c>
      <c r="F540" s="43" t="inlineStr">
        <is>
          <t>Lay</t>
        </is>
      </c>
      <c r="G540" s="47" t="inlineStr">
        <is>
          <t>Lay</t>
        </is>
      </c>
      <c r="H540" s="41" t="n">
        <v>3.9</v>
      </c>
      <c r="I540" s="41" t="n">
        <v>2.98</v>
      </c>
      <c r="J540" s="16" t="n">
        <v>-0.0772</v>
      </c>
      <c r="K540" s="42" t="n">
        <v>1</v>
      </c>
      <c r="L540" s="15" t="n">
        <v>1</v>
      </c>
      <c r="M540" s="43" t="inlineStr">
        <is>
          <t>Loss</t>
        </is>
      </c>
      <c r="N540" s="17">
        <f>IF(M540="Win",IF(F540="Bet",(I540-1)*K540,K540),IF(M540="Loss",IF(F540="Bet",-K540,-(I540-1)*K540),IF(M540="Void",0,"")))</f>
        <v/>
      </c>
      <c r="O540" s="18">
        <f>IF(OR(M540="Win",M540="Loss"),IF(F540="Bet",K540,(I540-1)*K540),"")</f>
        <v/>
      </c>
    </row>
    <row r="541">
      <c r="A541" s="44" t="n">
        <v>46290</v>
      </c>
      <c r="B541" s="45" t="inlineStr">
        <is>
          <t>Scone</t>
        </is>
      </c>
      <c r="C541" s="21" t="n">
        <v>7</v>
      </c>
      <c r="D541" s="21" t="n">
        <v>10</v>
      </c>
      <c r="E541" s="20" t="inlineStr">
        <is>
          <t>Nova Centauri</t>
        </is>
      </c>
      <c r="F541" s="46" t="inlineStr">
        <is>
          <t>Lay</t>
        </is>
      </c>
      <c r="G541" s="47" t="inlineStr">
        <is>
          <t>Lay</t>
        </is>
      </c>
      <c r="H541" s="48" t="n">
        <v>4.9</v>
      </c>
      <c r="I541" s="48" t="n">
        <v>3.55</v>
      </c>
      <c r="J541" s="22" t="n">
        <v>-0.06</v>
      </c>
      <c r="K541" s="49" t="n">
        <v>1</v>
      </c>
      <c r="L541" s="21" t="n">
        <v>1</v>
      </c>
      <c r="M541" s="46" t="inlineStr">
        <is>
          <t>Loss</t>
        </is>
      </c>
      <c r="N541" s="23">
        <f>IF(M541="Win",IF(F541="Bet",(I541-1)*K541,K541),IF(M541="Loss",IF(F541="Bet",-K541,-(I541-1)*K541),IF(M541="Void",0,"")))</f>
        <v/>
      </c>
      <c r="O541" s="24">
        <f>IF(OR(M541="Win",M541="Loss"),IF(F541="Bet",K541,(I541-1)*K541),"")</f>
        <v/>
      </c>
    </row>
    <row r="542">
      <c r="A542" s="37" t="n">
        <v>46290</v>
      </c>
      <c r="B542" s="38" t="inlineStr">
        <is>
          <t>Ewan</t>
        </is>
      </c>
      <c r="C542" s="15" t="n">
        <v>7</v>
      </c>
      <c r="D542" s="15" t="n">
        <v>2</v>
      </c>
      <c r="E542" s="14" t="inlineStr">
        <is>
          <t>Verbalize</t>
        </is>
      </c>
      <c r="F542" s="43" t="inlineStr">
        <is>
          <t>Lay</t>
        </is>
      </c>
      <c r="G542" s="47" t="inlineStr">
        <is>
          <t>Lay</t>
        </is>
      </c>
      <c r="H542" s="41" t="n">
        <v>6</v>
      </c>
      <c r="I542" s="41" t="n">
        <v>4.3</v>
      </c>
      <c r="J542" s="16" t="n">
        <v>-0.06</v>
      </c>
      <c r="K542" s="42" t="n">
        <v>1</v>
      </c>
      <c r="L542" s="15" t="n">
        <v>6</v>
      </c>
      <c r="M542" s="51" t="inlineStr">
        <is>
          <t>Win</t>
        </is>
      </c>
      <c r="N542" s="17">
        <f>IF(M542="Win",IF(F542="Bet",(I542-1)*K542,K542),IF(M542="Loss",IF(F542="Bet",-K542,-(I542-1)*K542),IF(M542="Void",0,"")))</f>
        <v/>
      </c>
      <c r="O542" s="18">
        <f>IF(OR(M542="Win",M542="Loss"),IF(F542="Bet",K542,(I542-1)*K542),"")</f>
        <v/>
      </c>
    </row>
    <row r="543">
      <c r="A543" s="44" t="n">
        <v>46290</v>
      </c>
      <c r="B543" s="45" t="inlineStr">
        <is>
          <t>Sunshine Coast</t>
        </is>
      </c>
      <c r="C543" s="21" t="n">
        <v>1</v>
      </c>
      <c r="D543" s="21" t="n">
        <v>3</v>
      </c>
      <c r="E543" s="20" t="inlineStr">
        <is>
          <t>Seaticflash</t>
        </is>
      </c>
      <c r="F543" s="52" t="inlineStr">
        <is>
          <t>Bet</t>
        </is>
      </c>
      <c r="G543" s="40" t="inlineStr">
        <is>
          <t>Bet</t>
        </is>
      </c>
      <c r="H543" s="48" t="n">
        <v>4.3</v>
      </c>
      <c r="I543" s="48" t="n">
        <v>7.54</v>
      </c>
      <c r="J543" s="22" t="n">
        <v>0.0236</v>
      </c>
      <c r="K543" s="49" t="n">
        <v>1</v>
      </c>
      <c r="L543" s="21" t="n">
        <v>2</v>
      </c>
      <c r="M543" s="46" t="inlineStr">
        <is>
          <t>Loss</t>
        </is>
      </c>
      <c r="N543" s="23">
        <f>IF(M543="Win",IF(F543="Bet",(I543-1)*K543,K543),IF(M543="Loss",IF(F543="Bet",-K543,-(I543-1)*K543),IF(M543="Void",0,"")))</f>
        <v/>
      </c>
      <c r="O543" s="24">
        <f>IF(OR(M543="Win",M543="Loss"),IF(F543="Bet",K543,(I543-1)*K543),"")</f>
        <v/>
      </c>
    </row>
    <row r="544">
      <c r="A544" s="37" t="n">
        <v>46290</v>
      </c>
      <c r="B544" s="38" t="inlineStr">
        <is>
          <t>Coleraine</t>
        </is>
      </c>
      <c r="C544" s="15" t="n">
        <v>8</v>
      </c>
      <c r="D544" s="15" t="n">
        <v>7</v>
      </c>
      <c r="E544" s="14" t="inlineStr">
        <is>
          <t>Thinking Sensation</t>
        </is>
      </c>
      <c r="F544" s="43" t="inlineStr">
        <is>
          <t>Lay</t>
        </is>
      </c>
      <c r="G544" s="47" t="inlineStr">
        <is>
          <t>Lay</t>
        </is>
      </c>
      <c r="H544" s="41" t="n">
        <v>7.6</v>
      </c>
      <c r="I544" s="41" t="n">
        <v>4.9</v>
      </c>
      <c r="J544" s="16" t="n">
        <v>-0.0728</v>
      </c>
      <c r="K544" s="42" t="n">
        <v>1</v>
      </c>
      <c r="L544" s="15" t="n">
        <v>1</v>
      </c>
      <c r="M544" s="43" t="inlineStr">
        <is>
          <t>Loss</t>
        </is>
      </c>
      <c r="N544" s="17">
        <f>IF(M544="Win",IF(F544="Bet",(I544-1)*K544,K544),IF(M544="Loss",IF(F544="Bet",-K544,-(I544-1)*K544),IF(M544="Void",0,"")))</f>
        <v/>
      </c>
      <c r="O544" s="18">
        <f>IF(OR(M544="Win",M544="Loss"),IF(F544="Bet",K544,(I544-1)*K544),"")</f>
        <v/>
      </c>
    </row>
    <row r="545">
      <c r="A545" s="44" t="n">
        <v>46290</v>
      </c>
      <c r="B545" s="45" t="inlineStr">
        <is>
          <t>Coleraine</t>
        </is>
      </c>
      <c r="C545" s="21" t="n">
        <v>8</v>
      </c>
      <c r="D545" s="21" t="n">
        <v>1</v>
      </c>
      <c r="E545" s="20" t="inlineStr">
        <is>
          <t>Interjection</t>
        </is>
      </c>
      <c r="F545" s="52" t="inlineStr">
        <is>
          <t>Bet</t>
        </is>
      </c>
      <c r="G545" s="40" t="inlineStr">
        <is>
          <t>Bet</t>
        </is>
      </c>
      <c r="H545" s="48" t="n">
        <v>7.9</v>
      </c>
      <c r="I545" s="48" t="n">
        <v>10</v>
      </c>
      <c r="J545" s="22" t="n">
        <v>0.0213</v>
      </c>
      <c r="K545" s="49" t="n">
        <v>1</v>
      </c>
      <c r="L545" s="21" t="n">
        <v>8</v>
      </c>
      <c r="M545" s="46" t="inlineStr">
        <is>
          <t>Loss</t>
        </is>
      </c>
      <c r="N545" s="23">
        <f>IF(M545="Win",IF(F545="Bet",(I545-1)*K545,K545),IF(M545="Loss",IF(F545="Bet",-K545,-(I545-1)*K545),IF(M545="Void",0,"")))</f>
        <v/>
      </c>
      <c r="O545" s="24">
        <f>IF(OR(M545="Win",M545="Loss"),IF(F545="Bet",K545,(I545-1)*K545),"")</f>
        <v/>
      </c>
    </row>
    <row r="546">
      <c r="A546" s="37" t="n">
        <v>46290</v>
      </c>
      <c r="B546" s="38" t="inlineStr">
        <is>
          <t>Sunshine Coast</t>
        </is>
      </c>
      <c r="C546" s="15" t="n">
        <v>2</v>
      </c>
      <c r="D546" s="15" t="n">
        <v>4</v>
      </c>
      <c r="E546" s="14" t="inlineStr">
        <is>
          <t>Monotone</t>
        </is>
      </c>
      <c r="F546" s="43" t="inlineStr">
        <is>
          <t>Lay</t>
        </is>
      </c>
      <c r="G546" s="47" t="inlineStr">
        <is>
          <t>Lay</t>
        </is>
      </c>
      <c r="H546" s="41" t="n">
        <v>2.15</v>
      </c>
      <c r="I546" s="41" t="n">
        <v>1.65</v>
      </c>
      <c r="J546" s="16" t="n">
        <v>-0.062</v>
      </c>
      <c r="K546" s="42" t="n">
        <v>1</v>
      </c>
      <c r="L546" s="15" t="n">
        <v>1</v>
      </c>
      <c r="M546" s="43" t="inlineStr">
        <is>
          <t>Loss</t>
        </is>
      </c>
      <c r="N546" s="17">
        <f>IF(M546="Win",IF(F546="Bet",(I546-1)*K546,K546),IF(M546="Loss",IF(F546="Bet",-K546,-(I546-1)*K546),IF(M546="Void",0,"")))</f>
        <v/>
      </c>
      <c r="O546" s="18">
        <f>IF(OR(M546="Win",M546="Loss"),IF(F546="Bet",K546,(I546-1)*K546),"")</f>
        <v/>
      </c>
    </row>
    <row r="547">
      <c r="A547" s="44" t="n">
        <v>46290</v>
      </c>
      <c r="B547" s="45" t="inlineStr">
        <is>
          <t>Launceston</t>
        </is>
      </c>
      <c r="C547" s="21" t="n">
        <v>4</v>
      </c>
      <c r="D547" s="21" t="n">
        <v>1</v>
      </c>
      <c r="E547" s="20" t="inlineStr">
        <is>
          <t>Kakia</t>
        </is>
      </c>
      <c r="F547" s="52" t="inlineStr">
        <is>
          <t>Bet</t>
        </is>
      </c>
      <c r="G547" s="40" t="inlineStr">
        <is>
          <t>Bet</t>
        </is>
      </c>
      <c r="H547" s="48" t="n">
        <v>6.9</v>
      </c>
      <c r="I547" s="48" t="n">
        <v>9.34</v>
      </c>
      <c r="J547" s="22" t="n">
        <v>0.0202</v>
      </c>
      <c r="K547" s="49" t="n">
        <v>1</v>
      </c>
      <c r="L547" s="21" t="n">
        <v>3</v>
      </c>
      <c r="M547" s="46" t="inlineStr">
        <is>
          <t>Loss</t>
        </is>
      </c>
      <c r="N547" s="23">
        <f>IF(M547="Win",IF(F547="Bet",(I547-1)*K547,K547),IF(M547="Loss",IF(F547="Bet",-K547,-(I547-1)*K547),IF(M547="Void",0,"")))</f>
        <v/>
      </c>
      <c r="O547" s="24">
        <f>IF(OR(M547="Win",M547="Loss"),IF(F547="Bet",K547,(I547-1)*K547),"")</f>
        <v/>
      </c>
    </row>
    <row r="548">
      <c r="A548" s="37" t="n">
        <v>46290</v>
      </c>
      <c r="B548" s="38" t="inlineStr">
        <is>
          <t>Cranbourne</t>
        </is>
      </c>
      <c r="C548" s="15" t="n">
        <v>4</v>
      </c>
      <c r="D548" s="15" t="n">
        <v>3</v>
      </c>
      <c r="E548" s="14" t="inlineStr">
        <is>
          <t>Covert Thinking</t>
        </is>
      </c>
      <c r="F548" s="43" t="inlineStr">
        <is>
          <t>Lay</t>
        </is>
      </c>
      <c r="G548" s="47" t="inlineStr">
        <is>
          <t>Lay</t>
        </is>
      </c>
      <c r="H548" s="41" t="n">
        <v>4.6</v>
      </c>
      <c r="I548" s="41" t="n">
        <v>3.05</v>
      </c>
      <c r="J548" s="16" t="n">
        <v>-0.0767</v>
      </c>
      <c r="K548" s="42" t="n">
        <v>1</v>
      </c>
      <c r="L548" s="15" t="n">
        <v>3</v>
      </c>
      <c r="M548" s="51" t="inlineStr">
        <is>
          <t>Win</t>
        </is>
      </c>
      <c r="N548" s="17">
        <f>IF(M548="Win",IF(F548="Bet",(I548-1)*K548,K548),IF(M548="Loss",IF(F548="Bet",-K548,-(I548-1)*K548),IF(M548="Void",0,"")))</f>
        <v/>
      </c>
      <c r="O548" s="18">
        <f>IF(OR(M548="Win",M548="Loss"),IF(F548="Bet",K548,(I548-1)*K548),"")</f>
        <v/>
      </c>
    </row>
    <row r="549">
      <c r="A549" s="44" t="n">
        <v>46290</v>
      </c>
      <c r="B549" s="45" t="inlineStr">
        <is>
          <t>Cranbourne</t>
        </is>
      </c>
      <c r="C549" s="21" t="n">
        <v>5</v>
      </c>
      <c r="D549" s="21" t="n">
        <v>5</v>
      </c>
      <c r="E549" s="20" t="inlineStr">
        <is>
          <t>Thunderbolt Way</t>
        </is>
      </c>
      <c r="F549" s="46" t="inlineStr">
        <is>
          <t>Lay</t>
        </is>
      </c>
      <c r="G549" s="47" t="inlineStr">
        <is>
          <t>Lay</t>
        </is>
      </c>
      <c r="H549" s="48" t="n">
        <v>4.8</v>
      </c>
      <c r="I549" s="48" t="n">
        <v>3.7</v>
      </c>
      <c r="J549" s="22" t="n">
        <v>-0.0614</v>
      </c>
      <c r="K549" s="49" t="n">
        <v>1</v>
      </c>
      <c r="L549" s="21" t="n">
        <v>7</v>
      </c>
      <c r="M549" s="50" t="inlineStr">
        <is>
          <t>Win</t>
        </is>
      </c>
      <c r="N549" s="23">
        <f>IF(M549="Win",IF(F549="Bet",(I549-1)*K549,K549),IF(M549="Loss",IF(F549="Bet",-K549,-(I549-1)*K549),IF(M549="Void",0,"")))</f>
        <v/>
      </c>
      <c r="O549" s="24">
        <f>IF(OR(M549="Win",M549="Loss"),IF(F549="Bet",K549,(I549-1)*K549),"")</f>
        <v/>
      </c>
    </row>
    <row r="550">
      <c r="A550" s="37" t="n">
        <v>46290</v>
      </c>
      <c r="B550" s="38" t="inlineStr">
        <is>
          <t>Cranbourne</t>
        </is>
      </c>
      <c r="C550" s="15" t="n">
        <v>5</v>
      </c>
      <c r="D550" s="15" t="n">
        <v>1</v>
      </c>
      <c r="E550" s="14" t="inlineStr">
        <is>
          <t>Euphoric</t>
        </is>
      </c>
      <c r="F550" s="39" t="inlineStr">
        <is>
          <t>Bet</t>
        </is>
      </c>
      <c r="G550" s="40" t="inlineStr">
        <is>
          <t>Bet</t>
        </is>
      </c>
      <c r="H550" s="41" t="n">
        <v>6.1</v>
      </c>
      <c r="I550" s="41" t="n">
        <v>7.5</v>
      </c>
      <c r="J550" s="16" t="n">
        <v>0.0216</v>
      </c>
      <c r="K550" s="42" t="n">
        <v>1</v>
      </c>
      <c r="L550" s="15" t="n">
        <v>6</v>
      </c>
      <c r="M550" s="43" t="inlineStr">
        <is>
          <t>Loss</t>
        </is>
      </c>
      <c r="N550" s="17">
        <f>IF(M550="Win",IF(F550="Bet",(I550-1)*K550,K550),IF(M550="Loss",IF(F550="Bet",-K550,-(I550-1)*K550),IF(M550="Void",0,"")))</f>
        <v/>
      </c>
      <c r="O550" s="18">
        <f>IF(OR(M550="Win",M550="Loss"),IF(F550="Bet",K550,(I550-1)*K550),"")</f>
        <v/>
      </c>
    </row>
    <row r="551">
      <c r="A551" s="44" t="n">
        <v>46290</v>
      </c>
      <c r="B551" s="45" t="inlineStr">
        <is>
          <t>Launceston</t>
        </is>
      </c>
      <c r="C551" s="21" t="n">
        <v>6</v>
      </c>
      <c r="D551" s="21" t="n">
        <v>7</v>
      </c>
      <c r="E551" s="20" t="inlineStr">
        <is>
          <t>Miss Lyra</t>
        </is>
      </c>
      <c r="F551" s="46" t="inlineStr">
        <is>
          <t>Lay</t>
        </is>
      </c>
      <c r="G551" s="47" t="inlineStr">
        <is>
          <t>Lay</t>
        </is>
      </c>
      <c r="H551" s="48" t="n">
        <v>5</v>
      </c>
      <c r="I551" s="48" t="n">
        <v>3.8</v>
      </c>
      <c r="J551" s="22" t="n">
        <v>-0.0615</v>
      </c>
      <c r="K551" s="49" t="n">
        <v>1</v>
      </c>
      <c r="L551" s="21" t="n">
        <v>2</v>
      </c>
      <c r="M551" s="50" t="inlineStr">
        <is>
          <t>Win</t>
        </is>
      </c>
      <c r="N551" s="23">
        <f>IF(M551="Win",IF(F551="Bet",(I551-1)*K551,K551),IF(M551="Loss",IF(F551="Bet",-K551,-(I551-1)*K551),IF(M551="Void",0,"")))</f>
        <v/>
      </c>
      <c r="O551" s="24">
        <f>IF(OR(M551="Win",M551="Loss"),IF(F551="Bet",K551,(I551-1)*K551),"")</f>
        <v/>
      </c>
    </row>
    <row r="552">
      <c r="A552" s="37" t="n">
        <v>46290</v>
      </c>
      <c r="B552" s="38" t="inlineStr">
        <is>
          <t>Cranbourne</t>
        </is>
      </c>
      <c r="C552" s="15" t="n">
        <v>6</v>
      </c>
      <c r="D552" s="15" t="n">
        <v>1</v>
      </c>
      <c r="E552" s="14" t="inlineStr">
        <is>
          <t>Farcited</t>
        </is>
      </c>
      <c r="F552" s="39" t="inlineStr">
        <is>
          <t>Bet</t>
        </is>
      </c>
      <c r="G552" s="40" t="inlineStr">
        <is>
          <t>Bet</t>
        </is>
      </c>
      <c r="H552" s="41" t="n">
        <v>7.9</v>
      </c>
      <c r="I552" s="41" t="n">
        <v>10.93</v>
      </c>
      <c r="J552" s="16" t="n">
        <v>0.0214</v>
      </c>
      <c r="K552" s="42" t="n">
        <v>1</v>
      </c>
      <c r="L552" s="15" t="n">
        <v>4</v>
      </c>
      <c r="M552" s="43" t="inlineStr">
        <is>
          <t>Loss</t>
        </is>
      </c>
      <c r="N552" s="17">
        <f>IF(M552="Win",IF(F552="Bet",(I552-1)*K552,K552),IF(M552="Loss",IF(F552="Bet",-K552,-(I552-1)*K552),IF(M552="Void",0,"")))</f>
        <v/>
      </c>
      <c r="O552" s="18">
        <f>IF(OR(M552="Win",M552="Loss"),IF(F552="Bet",K552,(I552-1)*K552),"")</f>
        <v/>
      </c>
    </row>
    <row r="553">
      <c r="A553" s="44" t="n">
        <v>46290</v>
      </c>
      <c r="B553" s="45" t="inlineStr">
        <is>
          <t>Launceston</t>
        </is>
      </c>
      <c r="C553" s="21" t="n">
        <v>7</v>
      </c>
      <c r="D553" s="21" t="n">
        <v>9</v>
      </c>
      <c r="E553" s="20" t="inlineStr">
        <is>
          <t>Glory Mission</t>
        </is>
      </c>
      <c r="F553" s="46" t="inlineStr">
        <is>
          <t>Lay</t>
        </is>
      </c>
      <c r="G553" s="47" t="inlineStr">
        <is>
          <t>Lay</t>
        </is>
      </c>
      <c r="H553" s="48" t="n">
        <v>3.6</v>
      </c>
      <c r="I553" s="48" t="n">
        <v>2.59</v>
      </c>
      <c r="J553" s="22" t="n">
        <v>-0.0683</v>
      </c>
      <c r="K553" s="49" t="n">
        <v>1</v>
      </c>
      <c r="L553" s="21" t="n">
        <v>1</v>
      </c>
      <c r="M553" s="46" t="inlineStr">
        <is>
          <t>Loss</t>
        </is>
      </c>
      <c r="N553" s="23">
        <f>IF(M553="Win",IF(F553="Bet",(I553-1)*K553,K553),IF(M553="Loss",IF(F553="Bet",-K553,-(I553-1)*K553),IF(M553="Void",0,"")))</f>
        <v/>
      </c>
      <c r="O553" s="24">
        <f>IF(OR(M553="Win",M553="Loss"),IF(F553="Bet",K553,(I553-1)*K553),"")</f>
        <v/>
      </c>
    </row>
    <row r="554">
      <c r="A554" s="37" t="n">
        <v>46290</v>
      </c>
      <c r="B554" s="38" t="inlineStr">
        <is>
          <t>Sunshine Coast</t>
        </is>
      </c>
      <c r="C554" s="15" t="n">
        <v>6</v>
      </c>
      <c r="D554" s="15" t="n">
        <v>4</v>
      </c>
      <c r="E554" s="14" t="inlineStr">
        <is>
          <t>Amelioration</t>
        </is>
      </c>
      <c r="F554" s="43" t="inlineStr">
        <is>
          <t>Lay</t>
        </is>
      </c>
      <c r="G554" s="47" t="inlineStr">
        <is>
          <t>Lay</t>
        </is>
      </c>
      <c r="H554" s="41" t="n">
        <v>3.2</v>
      </c>
      <c r="I554" s="41" t="n">
        <v>2.62</v>
      </c>
      <c r="J554" s="16" t="n">
        <v>-0.0718</v>
      </c>
      <c r="K554" s="42" t="n">
        <v>1</v>
      </c>
      <c r="L554" s="15" t="n">
        <v>1</v>
      </c>
      <c r="M554" s="43" t="inlineStr">
        <is>
          <t>Loss</t>
        </is>
      </c>
      <c r="N554" s="17">
        <f>IF(M554="Win",IF(F554="Bet",(I554-1)*K554,K554),IF(M554="Loss",IF(F554="Bet",-K554,-(I554-1)*K554),IF(M554="Void",0,"")))</f>
        <v/>
      </c>
      <c r="O554" s="18">
        <f>IF(OR(M554="Win",M554="Loss"),IF(F554="Bet",K554,(I554-1)*K554),"")</f>
        <v/>
      </c>
    </row>
    <row r="555">
      <c r="A555" s="44" t="n">
        <v>46290</v>
      </c>
      <c r="B555" s="45" t="inlineStr">
        <is>
          <t>Sunshine Coast</t>
        </is>
      </c>
      <c r="C555" s="21" t="n">
        <v>7</v>
      </c>
      <c r="D555" s="21" t="n">
        <v>9</v>
      </c>
      <c r="E555" s="20" t="inlineStr">
        <is>
          <t>Flaressence</t>
        </is>
      </c>
      <c r="F555" s="52" t="inlineStr">
        <is>
          <t>Bet</t>
        </is>
      </c>
      <c r="G555" s="40" t="inlineStr">
        <is>
          <t>Bet</t>
        </is>
      </c>
      <c r="H555" s="48" t="n">
        <v>2</v>
      </c>
      <c r="I555" s="48" t="n">
        <v>2.1</v>
      </c>
      <c r="J555" s="22" t="n">
        <v>0.0203</v>
      </c>
      <c r="K555" s="49" t="n">
        <v>1</v>
      </c>
      <c r="L555" s="21" t="n">
        <v>1</v>
      </c>
      <c r="M555" s="50" t="inlineStr">
        <is>
          <t>Win</t>
        </is>
      </c>
      <c r="N555" s="23">
        <f>IF(M555="Win",IF(F555="Bet",(I555-1)*K555,K555),IF(M555="Loss",IF(F555="Bet",-K555,-(I555-1)*K555),IF(M555="Void",0,"")))</f>
        <v/>
      </c>
      <c r="O555" s="24">
        <f>IF(OR(M555="Win",M555="Loss"),IF(F555="Bet",K555,(I555-1)*K555),"")</f>
        <v/>
      </c>
    </row>
    <row r="556">
      <c r="A556" s="37" t="n">
        <v>46290</v>
      </c>
      <c r="B556" s="38" t="inlineStr">
        <is>
          <t>Launceston</t>
        </is>
      </c>
      <c r="C556" s="15" t="n">
        <v>9</v>
      </c>
      <c r="D556" s="15" t="n">
        <v>3</v>
      </c>
      <c r="E556" s="14" t="inlineStr">
        <is>
          <t>Johnnie Pinch</t>
        </is>
      </c>
      <c r="F556" s="43" t="inlineStr">
        <is>
          <t>Lay</t>
        </is>
      </c>
      <c r="G556" s="47" t="inlineStr">
        <is>
          <t>Lay</t>
        </is>
      </c>
      <c r="H556" s="41" t="n">
        <v>4</v>
      </c>
      <c r="I556" s="41" t="n">
        <v>2.56</v>
      </c>
      <c r="J556" s="16" t="n">
        <v>-0.079</v>
      </c>
      <c r="K556" s="42" t="n">
        <v>1</v>
      </c>
      <c r="L556" s="15" t="n">
        <v>4</v>
      </c>
      <c r="M556" s="51" t="inlineStr">
        <is>
          <t>Win</t>
        </is>
      </c>
      <c r="N556" s="17">
        <f>IF(M556="Win",IF(F556="Bet",(I556-1)*K556,K556),IF(M556="Loss",IF(F556="Bet",-K556,-(I556-1)*K556),IF(M556="Void",0,"")))</f>
        <v/>
      </c>
      <c r="O556" s="18">
        <f>IF(OR(M556="Win",M556="Loss"),IF(F556="Bet",K556,(I556-1)*K556),"")</f>
        <v/>
      </c>
    </row>
    <row r="557">
      <c r="A557" s="44" t="n">
        <v>46291</v>
      </c>
      <c r="B557" s="45" t="inlineStr">
        <is>
          <t>Mornington</t>
        </is>
      </c>
      <c r="C557" s="21" t="n">
        <v>6</v>
      </c>
      <c r="D557" s="21" t="n">
        <v>10</v>
      </c>
      <c r="E557" s="20" t="inlineStr">
        <is>
          <t>Leonchroi</t>
        </is>
      </c>
      <c r="F557" s="46" t="inlineStr">
        <is>
          <t>Lay</t>
        </is>
      </c>
      <c r="G557" s="47" t="inlineStr">
        <is>
          <t>Lay</t>
        </is>
      </c>
      <c r="H557" s="48" t="n">
        <v>3.3</v>
      </c>
      <c r="I557" s="48" t="n">
        <v>2.44</v>
      </c>
      <c r="J557" s="22" t="n">
        <v>-0.0779</v>
      </c>
      <c r="K557" s="49" t="n">
        <v>1</v>
      </c>
      <c r="L557" s="21" t="n">
        <v>4</v>
      </c>
      <c r="M557" s="50" t="inlineStr">
        <is>
          <t>Win</t>
        </is>
      </c>
      <c r="N557" s="23">
        <f>IF(M557="Win",IF(F557="Bet",(I557-1)*K557,K557),IF(M557="Loss",IF(F557="Bet",-K557,-(I557-1)*K557),IF(M557="Void",0,"")))</f>
        <v/>
      </c>
      <c r="O557" s="24">
        <f>IF(OR(M557="Win",M557="Loss"),IF(F557="Bet",K557,(I557-1)*K557),"")</f>
        <v/>
      </c>
    </row>
    <row r="558">
      <c r="A558" s="37" t="n">
        <v>46291</v>
      </c>
      <c r="B558" s="38" t="inlineStr">
        <is>
          <t>Gold Coast</t>
        </is>
      </c>
      <c r="C558" s="15" t="n">
        <v>6</v>
      </c>
      <c r="D558" s="15" t="n">
        <v>3</v>
      </c>
      <c r="E558" s="14" t="inlineStr">
        <is>
          <t>Champagne Lane</t>
        </is>
      </c>
      <c r="F558" s="39" t="inlineStr">
        <is>
          <t>Bet</t>
        </is>
      </c>
      <c r="G558" s="40" t="inlineStr">
        <is>
          <t>Bet</t>
        </is>
      </c>
      <c r="H558" s="41" t="n">
        <v>2.6</v>
      </c>
      <c r="I558" s="41" t="n">
        <v>3</v>
      </c>
      <c r="J558" s="16" t="n">
        <v>0.0409</v>
      </c>
      <c r="K558" s="42" t="n">
        <v>1</v>
      </c>
      <c r="L558" s="15" t="n">
        <v>1</v>
      </c>
      <c r="M558" s="51" t="inlineStr">
        <is>
          <t>Win</t>
        </is>
      </c>
      <c r="N558" s="17">
        <f>IF(M558="Win",IF(F558="Bet",(I558-1)*K558,K558),IF(M558="Loss",IF(F558="Bet",-K558,-(I558-1)*K558),IF(M558="Void",0,"")))</f>
        <v/>
      </c>
      <c r="O558" s="18">
        <f>IF(OR(M558="Win",M558="Loss"),IF(F558="Bet",K558,(I558-1)*K558),"")</f>
        <v/>
      </c>
    </row>
    <row r="559">
      <c r="A559" s="44" t="n">
        <v>46291</v>
      </c>
      <c r="B559" s="45" t="inlineStr">
        <is>
          <t>Toowoomba</t>
        </is>
      </c>
      <c r="C559" s="21" t="n">
        <v>3</v>
      </c>
      <c r="D559" s="21" t="n">
        <v>16</v>
      </c>
      <c r="E559" s="20" t="inlineStr">
        <is>
          <t>Hello Dolly Diva</t>
        </is>
      </c>
      <c r="F559" s="46" t="inlineStr">
        <is>
          <t>Lay</t>
        </is>
      </c>
      <c r="G559" s="47" t="inlineStr">
        <is>
          <t>Lay</t>
        </is>
      </c>
      <c r="H559" s="48" t="n">
        <v>4.3</v>
      </c>
      <c r="I559" s="48" t="n">
        <v>3</v>
      </c>
      <c r="J559" s="22" t="n">
        <v>-0.0636</v>
      </c>
      <c r="K559" s="49" t="n">
        <v>1</v>
      </c>
      <c r="L559" s="21" t="n">
        <v>5</v>
      </c>
      <c r="M559" s="50" t="inlineStr">
        <is>
          <t>Win</t>
        </is>
      </c>
      <c r="N559" s="23">
        <f>IF(M559="Win",IF(F559="Bet",(I559-1)*K559,K559),IF(M559="Loss",IF(F559="Bet",-K559,-(I559-1)*K559),IF(M559="Void",0,"")))</f>
        <v/>
      </c>
      <c r="O559" s="24">
        <f>IF(OR(M559="Win",M559="Loss"),IF(F559="Bet",K559,(I559-1)*K559),"")</f>
        <v/>
      </c>
    </row>
    <row r="560">
      <c r="A560" s="37" t="n">
        <v>46291</v>
      </c>
      <c r="B560" s="38" t="inlineStr">
        <is>
          <t>Belmont</t>
        </is>
      </c>
      <c r="C560" s="15" t="n">
        <v>3</v>
      </c>
      <c r="D560" s="15" t="n">
        <v>8</v>
      </c>
      <c r="E560" s="14" t="inlineStr">
        <is>
          <t>So Si God</t>
        </is>
      </c>
      <c r="F560" s="43" t="inlineStr">
        <is>
          <t>Lay</t>
        </is>
      </c>
      <c r="G560" s="47" t="inlineStr">
        <is>
          <t>Lay</t>
        </is>
      </c>
      <c r="H560" s="41" t="n">
        <v>4</v>
      </c>
      <c r="I560" s="41" t="n">
        <v>3.1</v>
      </c>
      <c r="J560" s="16" t="n">
        <v>-0.0639</v>
      </c>
      <c r="K560" s="42" t="n">
        <v>1</v>
      </c>
      <c r="L560" s="15" t="n">
        <v>1</v>
      </c>
      <c r="M560" s="43" t="inlineStr">
        <is>
          <t>Loss</t>
        </is>
      </c>
      <c r="N560" s="17">
        <f>IF(M560="Win",IF(F560="Bet",(I560-1)*K560,K560),IF(M560="Loss",IF(F560="Bet",-K560,-(I560-1)*K560),IF(M560="Void",0,"")))</f>
        <v/>
      </c>
      <c r="O560" s="18">
        <f>IF(OR(M560="Win",M560="Loss"),IF(F560="Bet",K560,(I560-1)*K560),"")</f>
        <v/>
      </c>
    </row>
    <row r="561">
      <c r="A561" s="44" t="n">
        <v>46291</v>
      </c>
      <c r="B561" s="45" t="inlineStr">
        <is>
          <t>Belmont</t>
        </is>
      </c>
      <c r="C561" s="21" t="n">
        <v>1</v>
      </c>
      <c r="D561" s="21" t="n">
        <v>4</v>
      </c>
      <c r="E561" s="20" t="inlineStr">
        <is>
          <t>Anaballistic</t>
        </is>
      </c>
      <c r="F561" s="52" t="inlineStr">
        <is>
          <t>Bet</t>
        </is>
      </c>
      <c r="G561" s="53" t="inlineStr">
        <is>
          <t>Prime</t>
        </is>
      </c>
      <c r="H561" s="48" t="n">
        <v>2.75</v>
      </c>
      <c r="I561" s="48" t="n">
        <v>4.3</v>
      </c>
      <c r="J561" s="22" t="n">
        <v>0.0682</v>
      </c>
      <c r="K561" s="49" t="n">
        <v>1</v>
      </c>
      <c r="L561" s="21" t="n">
        <v>1</v>
      </c>
      <c r="M561" s="50" t="inlineStr">
        <is>
          <t>Win</t>
        </is>
      </c>
      <c r="N561" s="23">
        <f>IF(M561="Win",IF(F561="Bet",(I561-1)*K561,K561),IF(M561="Loss",IF(F561="Bet",-K561,-(I561-1)*K561),IF(M561="Void",0,"")))</f>
        <v/>
      </c>
      <c r="O561" s="24">
        <f>IF(OR(M561="Win",M561="Loss"),IF(F561="Bet",K561,(I561-1)*K561),"")</f>
        <v/>
      </c>
    </row>
    <row r="562">
      <c r="A562" s="37" t="n">
        <v>46291</v>
      </c>
      <c r="B562" s="38" t="inlineStr">
        <is>
          <t>Belmont</t>
        </is>
      </c>
      <c r="C562" s="15" t="n">
        <v>7</v>
      </c>
      <c r="D562" s="15" t="n">
        <v>12</v>
      </c>
      <c r="E562" s="14" t="inlineStr">
        <is>
          <t>Like Clockwork</t>
        </is>
      </c>
      <c r="F562" s="43" t="inlineStr">
        <is>
          <t>Lay</t>
        </is>
      </c>
      <c r="G562" s="47" t="inlineStr">
        <is>
          <t>Lay</t>
        </is>
      </c>
      <c r="H562" s="41" t="n">
        <v>3.1</v>
      </c>
      <c r="I562" s="41" t="n">
        <v>1.73</v>
      </c>
      <c r="J562" s="16" t="n">
        <v>-0.0857</v>
      </c>
      <c r="K562" s="42" t="n">
        <v>1</v>
      </c>
      <c r="L562" s="15" t="n">
        <v>1</v>
      </c>
      <c r="M562" s="43" t="inlineStr">
        <is>
          <t>Loss</t>
        </is>
      </c>
      <c r="N562" s="17">
        <f>IF(M562="Win",IF(F562="Bet",(I562-1)*K562,K562),IF(M562="Loss",IF(F562="Bet",-K562,-(I562-1)*K562),IF(M562="Void",0,"")))</f>
        <v/>
      </c>
      <c r="O562" s="18">
        <f>IF(OR(M562="Win",M562="Loss"),IF(F562="Bet",K562,(I562-1)*K562),"")</f>
        <v/>
      </c>
    </row>
    <row r="563">
      <c r="A563" s="44" t="n">
        <v>46291</v>
      </c>
      <c r="B563" s="45" t="inlineStr">
        <is>
          <t>Belmont</t>
        </is>
      </c>
      <c r="C563" s="21" t="n">
        <v>3</v>
      </c>
      <c r="D563" s="21" t="n">
        <v>1</v>
      </c>
      <c r="E563" s="20" t="inlineStr">
        <is>
          <t>Champagne Crusader</t>
        </is>
      </c>
      <c r="F563" s="52" t="inlineStr">
        <is>
          <t>Bet</t>
        </is>
      </c>
      <c r="G563" s="53" t="inlineStr">
        <is>
          <t>Prime</t>
        </is>
      </c>
      <c r="H563" s="48" t="n">
        <v>2.8</v>
      </c>
      <c r="I563" s="48" t="n">
        <v>3.2</v>
      </c>
      <c r="J563" s="22" t="n">
        <v>0.0436</v>
      </c>
      <c r="K563" s="49" t="n">
        <v>1</v>
      </c>
      <c r="L563" s="21" t="n">
        <v>5</v>
      </c>
      <c r="M563" s="46" t="inlineStr">
        <is>
          <t>Loss</t>
        </is>
      </c>
      <c r="N563" s="23">
        <f>IF(M563="Win",IF(F563="Bet",(I563-1)*K563,K563),IF(M563="Loss",IF(F563="Bet",-K563,-(I563-1)*K563),IF(M563="Void",0,"")))</f>
        <v/>
      </c>
      <c r="O563" s="24">
        <f>IF(OR(M563="Win",M563="Loss"),IF(F563="Bet",K563,(I563-1)*K563),"")</f>
        <v/>
      </c>
    </row>
    <row r="564">
      <c r="A564" s="37" t="n">
        <v>46291</v>
      </c>
      <c r="B564" s="38" t="inlineStr">
        <is>
          <t>Gold Coast</t>
        </is>
      </c>
      <c r="C564" s="15" t="n">
        <v>2</v>
      </c>
      <c r="D564" s="15" t="n">
        <v>3</v>
      </c>
      <c r="E564" s="14" t="inlineStr">
        <is>
          <t>Magic Invader</t>
        </is>
      </c>
      <c r="F564" s="39" t="inlineStr">
        <is>
          <t>Bet</t>
        </is>
      </c>
      <c r="G564" s="53" t="inlineStr">
        <is>
          <t>Prime</t>
        </is>
      </c>
      <c r="H564" s="41" t="n">
        <v>3.1</v>
      </c>
      <c r="I564" s="41" t="n">
        <v>4.6</v>
      </c>
      <c r="J564" s="16" t="n">
        <v>0.0728</v>
      </c>
      <c r="K564" s="42" t="n">
        <v>1</v>
      </c>
      <c r="L564" s="15" t="n">
        <v>3</v>
      </c>
      <c r="M564" s="43" t="inlineStr">
        <is>
          <t>Loss</t>
        </is>
      </c>
      <c r="N564" s="17">
        <f>IF(M564="Win",IF(F564="Bet",(I564-1)*K564,K564),IF(M564="Loss",IF(F564="Bet",-K564,-(I564-1)*K564),IF(M564="Void",0,"")))</f>
        <v/>
      </c>
      <c r="O564" s="18">
        <f>IF(OR(M564="Win",M564="Loss"),IF(F564="Bet",K564,(I564-1)*K564),"")</f>
        <v/>
      </c>
    </row>
    <row r="565">
      <c r="A565" s="44" t="n">
        <v>46291</v>
      </c>
      <c r="B565" s="45" t="inlineStr">
        <is>
          <t>Mornington</t>
        </is>
      </c>
      <c r="C565" s="21" t="n">
        <v>4</v>
      </c>
      <c r="D565" s="21" t="n">
        <v>7</v>
      </c>
      <c r="E565" s="20" t="inlineStr">
        <is>
          <t>Tres Magnifique</t>
        </is>
      </c>
      <c r="F565" s="46" t="inlineStr">
        <is>
          <t>Lay</t>
        </is>
      </c>
      <c r="G565" s="47" t="inlineStr">
        <is>
          <t>Lay</t>
        </is>
      </c>
      <c r="H565" s="48" t="n">
        <v>3.6</v>
      </c>
      <c r="I565" s="48" t="n">
        <v>2.52</v>
      </c>
      <c r="J565" s="22" t="n">
        <v>-0.0735</v>
      </c>
      <c r="K565" s="49" t="n">
        <v>1</v>
      </c>
      <c r="L565" s="21" t="n">
        <v>2</v>
      </c>
      <c r="M565" s="50" t="inlineStr">
        <is>
          <t>Win</t>
        </is>
      </c>
      <c r="N565" s="23">
        <f>IF(M565="Win",IF(F565="Bet",(I565-1)*K565,K565),IF(M565="Loss",IF(F565="Bet",-K565,-(I565-1)*K565),IF(M565="Void",0,"")))</f>
        <v/>
      </c>
      <c r="O565" s="24">
        <f>IF(OR(M565="Win",M565="Loss"),IF(F565="Bet",K565,(I565-1)*K565),"")</f>
        <v/>
      </c>
    </row>
    <row r="566">
      <c r="A566" s="37" t="n">
        <v>46291</v>
      </c>
      <c r="B566" s="38" t="inlineStr">
        <is>
          <t>Rosehill</t>
        </is>
      </c>
      <c r="C566" s="15" t="n">
        <v>5</v>
      </c>
      <c r="D566" s="15" t="n">
        <v>6</v>
      </c>
      <c r="E566" s="14" t="inlineStr">
        <is>
          <t>Decorum</t>
        </is>
      </c>
      <c r="F566" s="43" t="inlineStr">
        <is>
          <t>Lay</t>
        </is>
      </c>
      <c r="G566" s="47" t="inlineStr">
        <is>
          <t>Lay</t>
        </is>
      </c>
      <c r="H566" s="41" t="n">
        <v>2.7</v>
      </c>
      <c r="I566" s="41" t="n">
        <v>1.85</v>
      </c>
      <c r="J566" s="16" t="n">
        <v>-0.0951</v>
      </c>
      <c r="K566" s="42" t="n">
        <v>1</v>
      </c>
      <c r="L566" s="15" t="n">
        <v>1</v>
      </c>
      <c r="M566" s="43" t="inlineStr">
        <is>
          <t>Loss</t>
        </is>
      </c>
      <c r="N566" s="17">
        <f>IF(M566="Win",IF(F566="Bet",(I566-1)*K566,K566),IF(M566="Loss",IF(F566="Bet",-K566,-(I566-1)*K566),IF(M566="Void",0,"")))</f>
        <v/>
      </c>
      <c r="O566" s="18">
        <f>IF(OR(M566="Win",M566="Loss"),IF(F566="Bet",K566,(I566-1)*K566),"")</f>
        <v/>
      </c>
    </row>
    <row r="567">
      <c r="A567" s="44" t="n">
        <v>46291</v>
      </c>
      <c r="B567" s="45" t="inlineStr">
        <is>
          <t>Gold Coast</t>
        </is>
      </c>
      <c r="C567" s="21" t="n">
        <v>3</v>
      </c>
      <c r="D567" s="21" t="n">
        <v>7</v>
      </c>
      <c r="E567" s="20" t="inlineStr">
        <is>
          <t>Brain Wave</t>
        </is>
      </c>
      <c r="F567" s="52" t="inlineStr">
        <is>
          <t>Bet</t>
        </is>
      </c>
      <c r="G567" s="53" t="inlineStr">
        <is>
          <t>Prime</t>
        </is>
      </c>
      <c r="H567" s="48" t="n">
        <v>2.85</v>
      </c>
      <c r="I567" s="48" t="n">
        <v>4.4</v>
      </c>
      <c r="J567" s="22" t="n">
        <v>0.0539</v>
      </c>
      <c r="K567" s="49" t="n">
        <v>1</v>
      </c>
      <c r="L567" s="21" t="n">
        <v>1</v>
      </c>
      <c r="M567" s="50" t="inlineStr">
        <is>
          <t>Win</t>
        </is>
      </c>
      <c r="N567" s="23">
        <f>IF(M567="Win",IF(F567="Bet",(I567-1)*K567,K567),IF(M567="Loss",IF(F567="Bet",-K567,-(I567-1)*K567),IF(M567="Void",0,"")))</f>
        <v/>
      </c>
      <c r="O567" s="24">
        <f>IF(OR(M567="Win",M567="Loss"),IF(F567="Bet",K567,(I567-1)*K567),"")</f>
        <v/>
      </c>
    </row>
    <row r="568">
      <c r="A568" s="37" t="n">
        <v>46291</v>
      </c>
      <c r="B568" s="38" t="inlineStr">
        <is>
          <t>Rosehill</t>
        </is>
      </c>
      <c r="C568" s="15" t="n">
        <v>1</v>
      </c>
      <c r="D568" s="15" t="n">
        <v>7</v>
      </c>
      <c r="E568" s="14" t="inlineStr">
        <is>
          <t>Better Late</t>
        </is>
      </c>
      <c r="F568" s="43" t="inlineStr">
        <is>
          <t>Lay</t>
        </is>
      </c>
      <c r="G568" s="47" t="inlineStr">
        <is>
          <t>Lay</t>
        </is>
      </c>
      <c r="H568" s="41" t="n">
        <v>3.4</v>
      </c>
      <c r="I568" s="41" t="n">
        <v>1.85</v>
      </c>
      <c r="J568" s="16" t="n">
        <v>-0.0876</v>
      </c>
      <c r="K568" s="42" t="n">
        <v>1</v>
      </c>
      <c r="L568" s="15" t="n">
        <v>4</v>
      </c>
      <c r="M568" s="51" t="inlineStr">
        <is>
          <t>Win</t>
        </is>
      </c>
      <c r="N568" s="17">
        <f>IF(M568="Win",IF(F568="Bet",(I568-1)*K568,K568),IF(M568="Loss",IF(F568="Bet",-K568,-(I568-1)*K568),IF(M568="Void",0,"")))</f>
        <v/>
      </c>
      <c r="O568" s="18">
        <f>IF(OR(M568="Win",M568="Loss"),IF(F568="Bet",K568,(I568-1)*K568),"")</f>
        <v/>
      </c>
    </row>
    <row r="569">
      <c r="A569" s="44" t="n">
        <v>46291</v>
      </c>
      <c r="B569" s="45" t="inlineStr">
        <is>
          <t>Belmont</t>
        </is>
      </c>
      <c r="C569" s="21" t="n">
        <v>5</v>
      </c>
      <c r="D569" s="21" t="n">
        <v>7</v>
      </c>
      <c r="E569" s="20" t="inlineStr">
        <is>
          <t>Silent Diva</t>
        </is>
      </c>
      <c r="F569" s="46" t="inlineStr">
        <is>
          <t>Lay</t>
        </is>
      </c>
      <c r="G569" s="47" t="inlineStr">
        <is>
          <t>Lay</t>
        </is>
      </c>
      <c r="H569" s="48" t="n">
        <v>2.9</v>
      </c>
      <c r="I569" s="48" t="n">
        <v>1.92</v>
      </c>
      <c r="J569" s="22" t="n">
        <v>-0.0781</v>
      </c>
      <c r="K569" s="49" t="n">
        <v>1</v>
      </c>
      <c r="L569" s="21" t="n">
        <v>1</v>
      </c>
      <c r="M569" s="46" t="inlineStr">
        <is>
          <t>Loss</t>
        </is>
      </c>
      <c r="N569" s="23">
        <f>IF(M569="Win",IF(F569="Bet",(I569-1)*K569,K569),IF(M569="Loss",IF(F569="Bet",-K569,-(I569-1)*K569),IF(M569="Void",0,"")))</f>
        <v/>
      </c>
      <c r="O569" s="24">
        <f>IF(OR(M569="Win",M569="Loss"),IF(F569="Bet",K569,(I569-1)*K569),"")</f>
        <v/>
      </c>
    </row>
    <row r="570">
      <c r="A570" s="37" t="n">
        <v>46291</v>
      </c>
      <c r="B570" s="38" t="inlineStr">
        <is>
          <t>Canberra</t>
        </is>
      </c>
      <c r="C570" s="15" t="n">
        <v>2</v>
      </c>
      <c r="D570" s="15" t="n">
        <v>6</v>
      </c>
      <c r="E570" s="14" t="inlineStr">
        <is>
          <t>Rose Aye</t>
        </is>
      </c>
      <c r="F570" s="43" t="inlineStr">
        <is>
          <t>Lay</t>
        </is>
      </c>
      <c r="G570" s="47" t="inlineStr">
        <is>
          <t>Lay</t>
        </is>
      </c>
      <c r="H570" s="41" t="n">
        <v>2.5</v>
      </c>
      <c r="I570" s="41" t="n">
        <v>1.9</v>
      </c>
      <c r="J570" s="16" t="n">
        <v>-0.0876</v>
      </c>
      <c r="K570" s="42" t="n">
        <v>1</v>
      </c>
      <c r="L570" s="15" t="n">
        <v>1</v>
      </c>
      <c r="M570" s="43" t="inlineStr">
        <is>
          <t>Loss</t>
        </is>
      </c>
      <c r="N570" s="17">
        <f>IF(M570="Win",IF(F570="Bet",(I570-1)*K570,K570),IF(M570="Loss",IF(F570="Bet",-K570,-(I570-1)*K570),IF(M570="Void",0,"")))</f>
        <v/>
      </c>
      <c r="O570" s="18">
        <f>IF(OR(M570="Win",M570="Loss"),IF(F570="Bet",K570,(I570-1)*K570),"")</f>
        <v/>
      </c>
    </row>
    <row r="571">
      <c r="A571" s="44" t="n">
        <v>46291</v>
      </c>
      <c r="B571" s="45" t="inlineStr">
        <is>
          <t>Gold Coast</t>
        </is>
      </c>
      <c r="C571" s="21" t="n">
        <v>5</v>
      </c>
      <c r="D571" s="21" t="n">
        <v>5</v>
      </c>
      <c r="E571" s="20" t="inlineStr">
        <is>
          <t>Propaganda</t>
        </is>
      </c>
      <c r="F571" s="46" t="inlineStr">
        <is>
          <t>Lay</t>
        </is>
      </c>
      <c r="G571" s="47" t="inlineStr">
        <is>
          <t>Lay</t>
        </is>
      </c>
      <c r="H571" s="48" t="n">
        <v>2.15</v>
      </c>
      <c r="I571" s="48" t="n">
        <v>1.75</v>
      </c>
      <c r="J571" s="22" t="n">
        <v>-0.0751</v>
      </c>
      <c r="K571" s="49" t="n">
        <v>1</v>
      </c>
      <c r="L571" s="21" t="n">
        <v>1</v>
      </c>
      <c r="M571" s="46" t="inlineStr">
        <is>
          <t>Loss</t>
        </is>
      </c>
      <c r="N571" s="23">
        <f>IF(M571="Win",IF(F571="Bet",(I571-1)*K571,K571),IF(M571="Loss",IF(F571="Bet",-K571,-(I571-1)*K571),IF(M571="Void",0,"")))</f>
        <v/>
      </c>
      <c r="O571" s="24">
        <f>IF(OR(M571="Win",M571="Loss"),IF(F571="Bet",K571,(I571-1)*K571),"")</f>
        <v/>
      </c>
    </row>
    <row r="572">
      <c r="A572" s="37" t="n">
        <v>46291</v>
      </c>
      <c r="B572" s="38" t="inlineStr">
        <is>
          <t>Murray Bridge GH</t>
        </is>
      </c>
      <c r="C572" s="15" t="n">
        <v>5</v>
      </c>
      <c r="D572" s="15" t="n">
        <v>6</v>
      </c>
      <c r="E572" s="14" t="inlineStr">
        <is>
          <t>Nottolook</t>
        </is>
      </c>
      <c r="F572" s="43" t="inlineStr">
        <is>
          <t>Lay</t>
        </is>
      </c>
      <c r="G572" s="47" t="inlineStr">
        <is>
          <t>Lay</t>
        </is>
      </c>
      <c r="H572" s="41" t="n">
        <v>3.1</v>
      </c>
      <c r="I572" s="41" t="n">
        <v>1.99</v>
      </c>
      <c r="J572" s="16" t="n">
        <v>-0.1011</v>
      </c>
      <c r="K572" s="42" t="n">
        <v>1</v>
      </c>
      <c r="L572" s="15" t="n">
        <v>1</v>
      </c>
      <c r="M572" s="43" t="inlineStr">
        <is>
          <t>Loss</t>
        </is>
      </c>
      <c r="N572" s="17">
        <f>IF(M572="Win",IF(F572="Bet",(I572-1)*K572,K572),IF(M572="Loss",IF(F572="Bet",-K572,-(I572-1)*K572),IF(M572="Void",0,"")))</f>
        <v/>
      </c>
      <c r="O572" s="18">
        <f>IF(OR(M572="Win",M572="Loss"),IF(F572="Bet",K572,(I572-1)*K572),"")</f>
        <v/>
      </c>
    </row>
    <row r="573">
      <c r="A573" s="44" t="n">
        <v>46291</v>
      </c>
      <c r="B573" s="45" t="inlineStr">
        <is>
          <t>Mornington</t>
        </is>
      </c>
      <c r="C573" s="21" t="n">
        <v>8</v>
      </c>
      <c r="D573" s="21" t="n">
        <v>15</v>
      </c>
      <c r="E573" s="20" t="inlineStr">
        <is>
          <t>Veyepee</t>
        </is>
      </c>
      <c r="F573" s="46" t="inlineStr">
        <is>
          <t>Lay</t>
        </is>
      </c>
      <c r="G573" s="47" t="inlineStr">
        <is>
          <t>Lay</t>
        </is>
      </c>
      <c r="H573" s="48" t="n">
        <v>4.5</v>
      </c>
      <c r="I573" s="48" t="n">
        <v>1.97</v>
      </c>
      <c r="J573" s="22" t="n">
        <v>-0.0726</v>
      </c>
      <c r="K573" s="49" t="n">
        <v>1</v>
      </c>
      <c r="L573" s="21" t="n">
        <v>1</v>
      </c>
      <c r="M573" s="46" t="inlineStr">
        <is>
          <t>Loss</t>
        </is>
      </c>
      <c r="N573" s="23">
        <f>IF(M573="Win",IF(F573="Bet",(I573-1)*K573,K573),IF(M573="Loss",IF(F573="Bet",-K573,-(I573-1)*K573),IF(M573="Void",0,"")))</f>
        <v/>
      </c>
      <c r="O573" s="24">
        <f>IF(OR(M573="Win",M573="Loss"),IF(F573="Bet",K573,(I573-1)*K573),"")</f>
        <v/>
      </c>
    </row>
    <row r="574">
      <c r="A574" s="37" t="n">
        <v>46291</v>
      </c>
      <c r="B574" s="38" t="inlineStr">
        <is>
          <t>Toowoomba</t>
        </is>
      </c>
      <c r="C574" s="15" t="n">
        <v>10</v>
      </c>
      <c r="D574" s="15" t="n">
        <v>8</v>
      </c>
      <c r="E574" s="14" t="inlineStr">
        <is>
          <t>Off The Press</t>
        </is>
      </c>
      <c r="F574" s="43" t="inlineStr">
        <is>
          <t>Lay</t>
        </is>
      </c>
      <c r="G574" s="47" t="inlineStr">
        <is>
          <t>Lay</t>
        </is>
      </c>
      <c r="H574" s="41" t="n">
        <v>3</v>
      </c>
      <c r="I574" s="41" t="n">
        <v>2.16</v>
      </c>
      <c r="J574" s="16" t="n">
        <v>-0.0643</v>
      </c>
      <c r="K574" s="42" t="n">
        <v>1</v>
      </c>
      <c r="L574" s="15" t="n">
        <v>3</v>
      </c>
      <c r="M574" s="51" t="inlineStr">
        <is>
          <t>Win</t>
        </is>
      </c>
      <c r="N574" s="17">
        <f>IF(M574="Win",IF(F574="Bet",(I574-1)*K574,K574),IF(M574="Loss",IF(F574="Bet",-K574,-(I574-1)*K574),IF(M574="Void",0,"")))</f>
        <v/>
      </c>
      <c r="O574" s="18">
        <f>IF(OR(M574="Win",M574="Loss"),IF(F574="Bet",K574,(I574-1)*K574),"")</f>
        <v/>
      </c>
    </row>
    <row r="575">
      <c r="A575" s="44" t="n">
        <v>46291</v>
      </c>
      <c r="B575" s="45" t="inlineStr">
        <is>
          <t>Belmont</t>
        </is>
      </c>
      <c r="C575" s="21" t="n">
        <v>8</v>
      </c>
      <c r="D575" s="21" t="n">
        <v>9</v>
      </c>
      <c r="E575" s="20" t="inlineStr">
        <is>
          <t>Streamlined</t>
        </is>
      </c>
      <c r="F575" s="46" t="inlineStr">
        <is>
          <t>Lay</t>
        </is>
      </c>
      <c r="G575" s="47" t="inlineStr">
        <is>
          <t>Lay</t>
        </is>
      </c>
      <c r="H575" s="48" t="n">
        <v>5.8</v>
      </c>
      <c r="I575" s="48" t="n">
        <v>3.25</v>
      </c>
      <c r="J575" s="22" t="n">
        <v>-0.0769</v>
      </c>
      <c r="K575" s="49" t="n">
        <v>1</v>
      </c>
      <c r="L575" s="21" t="n">
        <v>3</v>
      </c>
      <c r="M575" s="50" t="inlineStr">
        <is>
          <t>Win</t>
        </is>
      </c>
      <c r="N575" s="23">
        <f>IF(M575="Win",IF(F575="Bet",(I575-1)*K575,K575),IF(M575="Loss",IF(F575="Bet",-K575,-(I575-1)*K575),IF(M575="Void",0,"")))</f>
        <v/>
      </c>
      <c r="O575" s="24">
        <f>IF(OR(M575="Win",M575="Loss"),IF(F575="Bet",K575,(I575-1)*K575),"")</f>
        <v/>
      </c>
    </row>
    <row r="576">
      <c r="A576" s="37" t="n">
        <v>46291</v>
      </c>
      <c r="B576" s="38" t="inlineStr">
        <is>
          <t>Rosehill</t>
        </is>
      </c>
      <c r="C576" s="15" t="n">
        <v>4</v>
      </c>
      <c r="D576" s="15" t="n">
        <v>3</v>
      </c>
      <c r="E576" s="14" t="inlineStr">
        <is>
          <t>Starzintheireyes</t>
        </is>
      </c>
      <c r="F576" s="43" t="inlineStr">
        <is>
          <t>Lay</t>
        </is>
      </c>
      <c r="G576" s="47" t="inlineStr">
        <is>
          <t>Lay</t>
        </is>
      </c>
      <c r="H576" s="41" t="n">
        <v>2.65</v>
      </c>
      <c r="I576" s="41" t="n">
        <v>1.92</v>
      </c>
      <c r="J576" s="16" t="n">
        <v>-0.0697</v>
      </c>
      <c r="K576" s="42" t="n">
        <v>1</v>
      </c>
      <c r="L576" s="15" t="n">
        <v>2</v>
      </c>
      <c r="M576" s="51" t="inlineStr">
        <is>
          <t>Win</t>
        </is>
      </c>
      <c r="N576" s="17">
        <f>IF(M576="Win",IF(F576="Bet",(I576-1)*K576,K576),IF(M576="Loss",IF(F576="Bet",-K576,-(I576-1)*K576),IF(M576="Void",0,"")))</f>
        <v/>
      </c>
      <c r="O576" s="18">
        <f>IF(OR(M576="Win",M576="Loss"),IF(F576="Bet",K576,(I576-1)*K576),"")</f>
        <v/>
      </c>
    </row>
    <row r="577">
      <c r="A577" s="44" t="n">
        <v>46291</v>
      </c>
      <c r="B577" s="45" t="inlineStr">
        <is>
          <t>Murray Bridge GH</t>
        </is>
      </c>
      <c r="C577" s="21" t="n">
        <v>1</v>
      </c>
      <c r="D577" s="21" t="n">
        <v>7</v>
      </c>
      <c r="E577" s="20" t="inlineStr">
        <is>
          <t>Our Brave Boy</t>
        </is>
      </c>
      <c r="F577" s="46" t="inlineStr">
        <is>
          <t>Lay</t>
        </is>
      </c>
      <c r="G577" s="47" t="inlineStr">
        <is>
          <t>Lay</t>
        </is>
      </c>
      <c r="H577" s="48" t="n">
        <v>2.65</v>
      </c>
      <c r="I577" s="48" t="n">
        <v>1.71</v>
      </c>
      <c r="J577" s="22" t="n">
        <v>-0.06370000000000001</v>
      </c>
      <c r="K577" s="49" t="n">
        <v>1</v>
      </c>
      <c r="L577" s="21" t="n">
        <v>3</v>
      </c>
      <c r="M577" s="50" t="inlineStr">
        <is>
          <t>Win</t>
        </is>
      </c>
      <c r="N577" s="23">
        <f>IF(M577="Win",IF(F577="Bet",(I577-1)*K577,K577),IF(M577="Loss",IF(F577="Bet",-K577,-(I577-1)*K577),IF(M577="Void",0,"")))</f>
        <v/>
      </c>
      <c r="O577" s="24">
        <f>IF(OR(M577="Win",M577="Loss"),IF(F577="Bet",K577,(I577-1)*K577),"")</f>
        <v/>
      </c>
    </row>
    <row r="578">
      <c r="A578" s="37" t="n">
        <v>46291</v>
      </c>
      <c r="B578" s="38" t="inlineStr">
        <is>
          <t>Rosehill</t>
        </is>
      </c>
      <c r="C578" s="15" t="n">
        <v>7</v>
      </c>
      <c r="D578" s="15" t="n">
        <v>1</v>
      </c>
      <c r="E578" s="14" t="inlineStr">
        <is>
          <t>Lazzura</t>
        </is>
      </c>
      <c r="F578" s="43" t="inlineStr">
        <is>
          <t>Lay</t>
        </is>
      </c>
      <c r="G578" s="47" t="inlineStr">
        <is>
          <t>Lay</t>
        </is>
      </c>
      <c r="H578" s="41" t="n">
        <v>2.5</v>
      </c>
      <c r="I578" s="41" t="n">
        <v>1.83</v>
      </c>
      <c r="J578" s="16" t="n">
        <v>-0.0655</v>
      </c>
      <c r="K578" s="42" t="n">
        <v>1</v>
      </c>
      <c r="L578" s="15" t="n">
        <v>1</v>
      </c>
      <c r="M578" s="43" t="inlineStr">
        <is>
          <t>Loss</t>
        </is>
      </c>
      <c r="N578" s="17">
        <f>IF(M578="Win",IF(F578="Bet",(I578-1)*K578,K578),IF(M578="Loss",IF(F578="Bet",-K578,-(I578-1)*K578),IF(M578="Void",0,"")))</f>
        <v/>
      </c>
      <c r="O578" s="18">
        <f>IF(OR(M578="Win",M578="Loss"),IF(F578="Bet",K578,(I578-1)*K578),"")</f>
        <v/>
      </c>
    </row>
    <row r="579">
      <c r="A579" s="44" t="n">
        <v>46291</v>
      </c>
      <c r="B579" s="45" t="inlineStr">
        <is>
          <t>Gunnedah</t>
        </is>
      </c>
      <c r="C579" s="21" t="n">
        <v>1</v>
      </c>
      <c r="D579" s="21" t="n">
        <v>8</v>
      </c>
      <c r="E579" s="20" t="inlineStr">
        <is>
          <t>Share Our Secret</t>
        </is>
      </c>
      <c r="F579" s="46" t="inlineStr">
        <is>
          <t>Lay</t>
        </is>
      </c>
      <c r="G579" s="47" t="inlineStr">
        <is>
          <t>Lay</t>
        </is>
      </c>
      <c r="H579" s="48" t="n">
        <v>3.4</v>
      </c>
      <c r="I579" s="48" t="n">
        <v>2.8</v>
      </c>
      <c r="J579" s="22" t="n">
        <v>-0.1179</v>
      </c>
      <c r="K579" s="49" t="n">
        <v>1</v>
      </c>
      <c r="L579" s="21" t="n"/>
      <c r="M579" s="55" t="inlineStr">
        <is>
          <t>Void</t>
        </is>
      </c>
      <c r="N579" s="23">
        <f>IF(M579="Win",IF(F579="Bet",(I579-1)*K579,K579),IF(M579="Loss",IF(F579="Bet",-K579,-(I579-1)*K579),IF(M579="Void",0,"")))</f>
        <v/>
      </c>
      <c r="O579" s="24">
        <f>IF(OR(M579="Win",M579="Loss"),IF(F579="Bet",K579,(I579-1)*K579),"")</f>
        <v/>
      </c>
    </row>
    <row r="580">
      <c r="A580" s="37" t="n">
        <v>46291</v>
      </c>
      <c r="B580" s="38" t="inlineStr">
        <is>
          <t>Gunnedah</t>
        </is>
      </c>
      <c r="C580" s="15" t="n">
        <v>2</v>
      </c>
      <c r="D580" s="15" t="n">
        <v>7</v>
      </c>
      <c r="E580" s="14" t="inlineStr">
        <is>
          <t>Gay Tarantella</t>
        </is>
      </c>
      <c r="F580" s="43" t="inlineStr">
        <is>
          <t>Lay</t>
        </is>
      </c>
      <c r="G580" s="47" t="inlineStr">
        <is>
          <t>Lay</t>
        </is>
      </c>
      <c r="H580" s="41" t="n">
        <v>7.3</v>
      </c>
      <c r="I580" s="41" t="n">
        <v>4.4</v>
      </c>
      <c r="J580" s="16" t="n">
        <v>-0.09039999999999999</v>
      </c>
      <c r="K580" s="42" t="n">
        <v>1</v>
      </c>
      <c r="L580" s="15" t="n"/>
      <c r="M580" s="54" t="inlineStr">
        <is>
          <t>Void</t>
        </is>
      </c>
      <c r="N580" s="17">
        <f>IF(M580="Win",IF(F580="Bet",(I580-1)*K580,K580),IF(M580="Loss",IF(F580="Bet",-K580,-(I580-1)*K580),IF(M580="Void",0,"")))</f>
        <v/>
      </c>
      <c r="O580" s="18">
        <f>IF(OR(M580="Win",M580="Loss"),IF(F580="Bet",K580,(I580-1)*K580),"")</f>
        <v/>
      </c>
    </row>
    <row r="581">
      <c r="A581" s="44" t="n">
        <v>46291</v>
      </c>
      <c r="B581" s="45" t="inlineStr">
        <is>
          <t>Gunnedah</t>
        </is>
      </c>
      <c r="C581" s="21" t="n">
        <v>6</v>
      </c>
      <c r="D581" s="21" t="n">
        <v>2</v>
      </c>
      <c r="E581" s="20" t="inlineStr">
        <is>
          <t>Maxandus</t>
        </is>
      </c>
      <c r="F581" s="46" t="inlineStr">
        <is>
          <t>Lay</t>
        </is>
      </c>
      <c r="G581" s="47" t="inlineStr">
        <is>
          <t>Lay</t>
        </is>
      </c>
      <c r="H581" s="48" t="n">
        <v>5.5</v>
      </c>
      <c r="I581" s="48" t="n">
        <v>4.4</v>
      </c>
      <c r="J581" s="22" t="n">
        <v>-0.0961</v>
      </c>
      <c r="K581" s="49" t="n">
        <v>1</v>
      </c>
      <c r="L581" s="21" t="n"/>
      <c r="M581" s="55" t="inlineStr">
        <is>
          <t>Void</t>
        </is>
      </c>
      <c r="N581" s="23">
        <f>IF(M581="Win",IF(F581="Bet",(I581-1)*K581,K581),IF(M581="Loss",IF(F581="Bet",-K581,-(I581-1)*K581),IF(M581="Void",0,"")))</f>
        <v/>
      </c>
      <c r="O581" s="24">
        <f>IF(OR(M581="Win",M581="Loss"),IF(F581="Bet",K581,(I581-1)*K581),"")</f>
        <v/>
      </c>
    </row>
    <row r="582">
      <c r="A582" s="37" t="n">
        <v>46291</v>
      </c>
      <c r="B582" s="38" t="inlineStr">
        <is>
          <t>Rosehill</t>
        </is>
      </c>
      <c r="C582" s="15" t="n">
        <v>3</v>
      </c>
      <c r="D582" s="15" t="n">
        <v>1</v>
      </c>
      <c r="E582" s="14" t="inlineStr">
        <is>
          <t>So You Are</t>
        </is>
      </c>
      <c r="F582" s="43" t="inlineStr">
        <is>
          <t>Lay</t>
        </is>
      </c>
      <c r="G582" s="47" t="inlineStr">
        <is>
          <t>Lay</t>
        </is>
      </c>
      <c r="H582" s="41" t="n">
        <v>4.1</v>
      </c>
      <c r="I582" s="41" t="n">
        <v>2.36</v>
      </c>
      <c r="J582" s="16" t="n">
        <v>-0.0896</v>
      </c>
      <c r="K582" s="42" t="n">
        <v>1</v>
      </c>
      <c r="L582" s="15" t="n">
        <v>1</v>
      </c>
      <c r="M582" s="43" t="inlineStr">
        <is>
          <t>Loss</t>
        </is>
      </c>
      <c r="N582" s="17">
        <f>IF(M582="Win",IF(F582="Bet",(I582-1)*K582,K582),IF(M582="Loss",IF(F582="Bet",-K582,-(I582-1)*K582),IF(M582="Void",0,"")))</f>
        <v/>
      </c>
      <c r="O582" s="18">
        <f>IF(OR(M582="Win",M582="Loss"),IF(F582="Bet",K582,(I582-1)*K582),"")</f>
        <v/>
      </c>
    </row>
    <row r="583">
      <c r="A583" s="44" t="n">
        <v>46291</v>
      </c>
      <c r="B583" s="45" t="inlineStr">
        <is>
          <t>Kembla Grange</t>
        </is>
      </c>
      <c r="C583" s="21" t="n">
        <v>1</v>
      </c>
      <c r="D583" s="21" t="n">
        <v>4</v>
      </c>
      <c r="E583" s="20" t="inlineStr">
        <is>
          <t>Lafite</t>
        </is>
      </c>
      <c r="F583" s="46" t="inlineStr">
        <is>
          <t>Lay</t>
        </is>
      </c>
      <c r="G583" s="47" t="inlineStr">
        <is>
          <t>Lay</t>
        </is>
      </c>
      <c r="H583" s="48" t="n">
        <v>3.8</v>
      </c>
      <c r="I583" s="48" t="n">
        <v>1.93</v>
      </c>
      <c r="J583" s="22" t="n">
        <v>-0.08740000000000001</v>
      </c>
      <c r="K583" s="49" t="n">
        <v>1</v>
      </c>
      <c r="L583" s="21" t="n">
        <v>1</v>
      </c>
      <c r="M583" s="46" t="inlineStr">
        <is>
          <t>Loss</t>
        </is>
      </c>
      <c r="N583" s="23">
        <f>IF(M583="Win",IF(F583="Bet",(I583-1)*K583,K583),IF(M583="Loss",IF(F583="Bet",-K583,-(I583-1)*K583),IF(M583="Void",0,"")))</f>
        <v/>
      </c>
      <c r="O583" s="24">
        <f>IF(OR(M583="Win",M583="Loss"),IF(F583="Bet",K583,(I583-1)*K583),"")</f>
        <v/>
      </c>
    </row>
    <row r="584">
      <c r="A584" s="37" t="n">
        <v>46291</v>
      </c>
      <c r="B584" s="38" t="inlineStr">
        <is>
          <t>Gold Coast</t>
        </is>
      </c>
      <c r="C584" s="15" t="n">
        <v>2</v>
      </c>
      <c r="D584" s="15" t="n">
        <v>6</v>
      </c>
      <c r="E584" s="14" t="inlineStr">
        <is>
          <t>Captain Blood</t>
        </is>
      </c>
      <c r="F584" s="43" t="inlineStr">
        <is>
          <t>Lay</t>
        </is>
      </c>
      <c r="G584" s="47" t="inlineStr">
        <is>
          <t>Lay</t>
        </is>
      </c>
      <c r="H584" s="41" t="n">
        <v>10.7</v>
      </c>
      <c r="I584" s="41" t="n">
        <v>5.4</v>
      </c>
      <c r="J584" s="16" t="n">
        <v>-0.0759</v>
      </c>
      <c r="K584" s="42" t="n">
        <v>1</v>
      </c>
      <c r="L584" s="15" t="n">
        <v>5</v>
      </c>
      <c r="M584" s="51" t="inlineStr">
        <is>
          <t>Win</t>
        </is>
      </c>
      <c r="N584" s="17">
        <f>IF(M584="Win",IF(F584="Bet",(I584-1)*K584,K584),IF(M584="Loss",IF(F584="Bet",-K584,-(I584-1)*K584),IF(M584="Void",0,"")))</f>
        <v/>
      </c>
      <c r="O584" s="18">
        <f>IF(OR(M584="Win",M584="Loss"),IF(F584="Bet",K584,(I584-1)*K584),"")</f>
        <v/>
      </c>
    </row>
    <row r="585">
      <c r="A585" s="44" t="n">
        <v>46291</v>
      </c>
      <c r="B585" s="45" t="inlineStr">
        <is>
          <t>Gold Coast</t>
        </is>
      </c>
      <c r="C585" s="21" t="n">
        <v>7</v>
      </c>
      <c r="D585" s="21" t="n">
        <v>9</v>
      </c>
      <c r="E585" s="20" t="inlineStr">
        <is>
          <t>Till Dusk</t>
        </is>
      </c>
      <c r="F585" s="46" t="inlineStr">
        <is>
          <t>Lay</t>
        </is>
      </c>
      <c r="G585" s="47" t="inlineStr">
        <is>
          <t>Lay</t>
        </is>
      </c>
      <c r="H585" s="48" t="n">
        <v>4</v>
      </c>
      <c r="I585" s="48" t="n">
        <v>2.42</v>
      </c>
      <c r="J585" s="22" t="n">
        <v>-0.0927</v>
      </c>
      <c r="K585" s="49" t="n">
        <v>1</v>
      </c>
      <c r="L585" s="21" t="n">
        <v>1</v>
      </c>
      <c r="M585" s="46" t="inlineStr">
        <is>
          <t>Loss</t>
        </is>
      </c>
      <c r="N585" s="23">
        <f>IF(M585="Win",IF(F585="Bet",(I585-1)*K585,K585),IF(M585="Loss",IF(F585="Bet",-K585,-(I585-1)*K585),IF(M585="Void",0,"")))</f>
        <v/>
      </c>
      <c r="O585" s="24">
        <f>IF(OR(M585="Win",M585="Loss"),IF(F585="Bet",K585,(I585-1)*K585),"")</f>
        <v/>
      </c>
    </row>
    <row r="586">
      <c r="A586" s="37" t="n">
        <v>46291</v>
      </c>
      <c r="B586" s="38" t="inlineStr">
        <is>
          <t>Murray Bridge GH</t>
        </is>
      </c>
      <c r="C586" s="15" t="n">
        <v>4</v>
      </c>
      <c r="D586" s="15" t="n">
        <v>11</v>
      </c>
      <c r="E586" s="14" t="inlineStr">
        <is>
          <t>Uptown Monk</t>
        </is>
      </c>
      <c r="F586" s="43" t="inlineStr">
        <is>
          <t>Lay</t>
        </is>
      </c>
      <c r="G586" s="47" t="inlineStr">
        <is>
          <t>Lay</t>
        </is>
      </c>
      <c r="H586" s="41" t="n">
        <v>5.6</v>
      </c>
      <c r="I586" s="41" t="n">
        <v>3.45</v>
      </c>
      <c r="J586" s="16" t="n">
        <v>-0.0732</v>
      </c>
      <c r="K586" s="42" t="n">
        <v>1</v>
      </c>
      <c r="L586" s="15" t="n">
        <v>2</v>
      </c>
      <c r="M586" s="51" t="inlineStr">
        <is>
          <t>Win</t>
        </is>
      </c>
      <c r="N586" s="17">
        <f>IF(M586="Win",IF(F586="Bet",(I586-1)*K586,K586),IF(M586="Loss",IF(F586="Bet",-K586,-(I586-1)*K586),IF(M586="Void",0,"")))</f>
        <v/>
      </c>
      <c r="O586" s="18">
        <f>IF(OR(M586="Win",M586="Loss"),IF(F586="Bet",K586,(I586-1)*K586),"")</f>
        <v/>
      </c>
    </row>
    <row r="587">
      <c r="A587" s="44" t="n">
        <v>46291</v>
      </c>
      <c r="B587" s="45" t="inlineStr">
        <is>
          <t>Rosehill</t>
        </is>
      </c>
      <c r="C587" s="21" t="n">
        <v>4</v>
      </c>
      <c r="D587" s="21" t="n">
        <v>6</v>
      </c>
      <c r="E587" s="20" t="inlineStr">
        <is>
          <t>Pinhole</t>
        </is>
      </c>
      <c r="F587" s="52" t="inlineStr">
        <is>
          <t>Bet</t>
        </is>
      </c>
      <c r="G587" s="40" t="inlineStr">
        <is>
          <t>Bet</t>
        </is>
      </c>
      <c r="H587" s="48" t="n">
        <v>7.4</v>
      </c>
      <c r="I587" s="48" t="n">
        <v>16.5</v>
      </c>
      <c r="J587" s="22" t="n">
        <v>0.0237</v>
      </c>
      <c r="K587" s="49" t="n">
        <v>1</v>
      </c>
      <c r="L587" s="21" t="n">
        <v>1</v>
      </c>
      <c r="M587" s="50" t="inlineStr">
        <is>
          <t>Win</t>
        </is>
      </c>
      <c r="N587" s="23">
        <f>IF(M587="Win",IF(F587="Bet",(I587-1)*K587,K587),IF(M587="Loss",IF(F587="Bet",-K587,-(I587-1)*K587),IF(M587="Void",0,"")))</f>
        <v/>
      </c>
      <c r="O587" s="24">
        <f>IF(OR(M587="Win",M587="Loss"),IF(F587="Bet",K587,(I587-1)*K587),"")</f>
        <v/>
      </c>
    </row>
    <row r="588">
      <c r="A588" s="37" t="n">
        <v>46291</v>
      </c>
      <c r="B588" s="38" t="inlineStr">
        <is>
          <t>Toowoomba</t>
        </is>
      </c>
      <c r="C588" s="15" t="n">
        <v>6</v>
      </c>
      <c r="D588" s="15" t="n">
        <v>10</v>
      </c>
      <c r="E588" s="14" t="inlineStr">
        <is>
          <t>Amuseantes</t>
        </is>
      </c>
      <c r="F588" s="43" t="inlineStr">
        <is>
          <t>Lay</t>
        </is>
      </c>
      <c r="G588" s="47" t="inlineStr">
        <is>
          <t>Lay</t>
        </is>
      </c>
      <c r="H588" s="41" t="n">
        <v>4.6</v>
      </c>
      <c r="I588" s="41" t="n">
        <v>3.45</v>
      </c>
      <c r="J588" s="16" t="n">
        <v>-0.0635</v>
      </c>
      <c r="K588" s="42" t="n">
        <v>1</v>
      </c>
      <c r="L588" s="15" t="n">
        <v>4</v>
      </c>
      <c r="M588" s="51" t="inlineStr">
        <is>
          <t>Win</t>
        </is>
      </c>
      <c r="N588" s="17">
        <f>IF(M588="Win",IF(F588="Bet",(I588-1)*K588,K588),IF(M588="Loss",IF(F588="Bet",-K588,-(I588-1)*K588),IF(M588="Void",0,"")))</f>
        <v/>
      </c>
      <c r="O588" s="18">
        <f>IF(OR(M588="Win",M588="Loss"),IF(F588="Bet",K588,(I588-1)*K588),"")</f>
        <v/>
      </c>
    </row>
    <row r="589">
      <c r="A589" s="44" t="n">
        <v>46291</v>
      </c>
      <c r="B589" s="45" t="inlineStr">
        <is>
          <t>Mornington</t>
        </is>
      </c>
      <c r="C589" s="21" t="n">
        <v>1</v>
      </c>
      <c r="D589" s="21" t="n">
        <v>2</v>
      </c>
      <c r="E589" s="20" t="inlineStr">
        <is>
          <t>Savitri</t>
        </is>
      </c>
      <c r="F589" s="52" t="inlineStr">
        <is>
          <t>Bet</t>
        </is>
      </c>
      <c r="G589" s="40" t="inlineStr">
        <is>
          <t>Bet</t>
        </is>
      </c>
      <c r="H589" s="48" t="n">
        <v>3.7</v>
      </c>
      <c r="I589" s="48" t="n">
        <v>4.2</v>
      </c>
      <c r="J589" s="22" t="n">
        <v>0.0346</v>
      </c>
      <c r="K589" s="49" t="n">
        <v>1</v>
      </c>
      <c r="L589" s="21" t="n">
        <v>1</v>
      </c>
      <c r="M589" s="50" t="inlineStr">
        <is>
          <t>Win</t>
        </is>
      </c>
      <c r="N589" s="23">
        <f>IF(M589="Win",IF(F589="Bet",(I589-1)*K589,K589),IF(M589="Loss",IF(F589="Bet",-K589,-(I589-1)*K589),IF(M589="Void",0,"")))</f>
        <v/>
      </c>
      <c r="O589" s="24">
        <f>IF(OR(M589="Win",M589="Loss"),IF(F589="Bet",K589,(I589-1)*K589),"")</f>
        <v/>
      </c>
    </row>
    <row r="590">
      <c r="A590" s="37" t="n">
        <v>46291</v>
      </c>
      <c r="B590" s="38" t="inlineStr">
        <is>
          <t>Toowoomba</t>
        </is>
      </c>
      <c r="C590" s="15" t="n">
        <v>4</v>
      </c>
      <c r="D590" s="15" t="n">
        <v>15</v>
      </c>
      <c r="E590" s="14" t="inlineStr">
        <is>
          <t>Propaganda</t>
        </is>
      </c>
      <c r="F590" s="43" t="inlineStr">
        <is>
          <t>Lay</t>
        </is>
      </c>
      <c r="G590" s="47" t="inlineStr">
        <is>
          <t>Lay</t>
        </is>
      </c>
      <c r="H590" s="41" t="n">
        <v>4.4</v>
      </c>
      <c r="I590" s="41" t="n">
        <v>3.45</v>
      </c>
      <c r="J590" s="16" t="n">
        <v>-0.0605</v>
      </c>
      <c r="K590" s="42" t="n">
        <v>1</v>
      </c>
      <c r="L590" s="15" t="n"/>
      <c r="M590" s="54" t="inlineStr">
        <is>
          <t>Void</t>
        </is>
      </c>
      <c r="N590" s="17">
        <f>IF(M590="Win",IF(F590="Bet",(I590-1)*K590,K590),IF(M590="Loss",IF(F590="Bet",-K590,-(I590-1)*K590),IF(M590="Void",0,"")))</f>
        <v/>
      </c>
      <c r="O590" s="18">
        <f>IF(OR(M590="Win",M590="Loss"),IF(F590="Bet",K590,(I590-1)*K590),"")</f>
        <v/>
      </c>
    </row>
    <row r="591">
      <c r="A591" s="44" t="n">
        <v>46291</v>
      </c>
      <c r="B591" s="45" t="inlineStr">
        <is>
          <t>Rosehill</t>
        </is>
      </c>
      <c r="C591" s="21" t="n">
        <v>8</v>
      </c>
      <c r="D591" s="21" t="n">
        <v>5</v>
      </c>
      <c r="E591" s="20" t="inlineStr">
        <is>
          <t>St Gotthard</t>
        </is>
      </c>
      <c r="F591" s="46" t="inlineStr">
        <is>
          <t>Lay</t>
        </is>
      </c>
      <c r="G591" s="47" t="inlineStr">
        <is>
          <t>Lay</t>
        </is>
      </c>
      <c r="H591" s="48" t="n">
        <v>6.6</v>
      </c>
      <c r="I591" s="48" t="n">
        <v>3.95</v>
      </c>
      <c r="J591" s="22" t="n">
        <v>-0.0667</v>
      </c>
      <c r="K591" s="49" t="n">
        <v>1</v>
      </c>
      <c r="L591" s="21" t="n">
        <v>2</v>
      </c>
      <c r="M591" s="50" t="inlineStr">
        <is>
          <t>Win</t>
        </is>
      </c>
      <c r="N591" s="23">
        <f>IF(M591="Win",IF(F591="Bet",(I591-1)*K591,K591),IF(M591="Loss",IF(F591="Bet",-K591,-(I591-1)*K591),IF(M591="Void",0,"")))</f>
        <v/>
      </c>
      <c r="O591" s="24">
        <f>IF(OR(M591="Win",M591="Loss"),IF(F591="Bet",K591,(I591-1)*K591),"")</f>
        <v/>
      </c>
    </row>
    <row r="592">
      <c r="A592" s="37" t="n">
        <v>46291</v>
      </c>
      <c r="B592" s="38" t="inlineStr">
        <is>
          <t>Rosehill</t>
        </is>
      </c>
      <c r="C592" s="15" t="n">
        <v>1</v>
      </c>
      <c r="D592" s="15" t="n">
        <v>2</v>
      </c>
      <c r="E592" s="14" t="inlineStr">
        <is>
          <t>Miss Spacegirl</t>
        </is>
      </c>
      <c r="F592" s="39" t="inlineStr">
        <is>
          <t>Bet</t>
        </is>
      </c>
      <c r="G592" s="40" t="inlineStr">
        <is>
          <t>Bet</t>
        </is>
      </c>
      <c r="H592" s="41" t="n">
        <v>6.8</v>
      </c>
      <c r="I592" s="41" t="n">
        <v>9.800000000000001</v>
      </c>
      <c r="J592" s="16" t="n">
        <v>0.023</v>
      </c>
      <c r="K592" s="42" t="n">
        <v>1</v>
      </c>
      <c r="L592" s="15" t="n">
        <v>2</v>
      </c>
      <c r="M592" s="43" t="inlineStr">
        <is>
          <t>Loss</t>
        </is>
      </c>
      <c r="N592" s="17">
        <f>IF(M592="Win",IF(F592="Bet",(I592-1)*K592,K592),IF(M592="Loss",IF(F592="Bet",-K592,-(I592-1)*K592),IF(M592="Void",0,"")))</f>
        <v/>
      </c>
      <c r="O592" s="18">
        <f>IF(OR(M592="Win",M592="Loss"),IF(F592="Bet",K592,(I592-1)*K592),"")</f>
        <v/>
      </c>
    </row>
    <row r="593">
      <c r="A593" s="44" t="n">
        <v>46291</v>
      </c>
      <c r="B593" s="45" t="inlineStr">
        <is>
          <t>Toowoomba</t>
        </is>
      </c>
      <c r="C593" s="21" t="n">
        <v>5</v>
      </c>
      <c r="D593" s="21" t="n">
        <v>16</v>
      </c>
      <c r="E593" s="20" t="inlineStr">
        <is>
          <t>Superalloy</t>
        </is>
      </c>
      <c r="F593" s="52" t="inlineStr">
        <is>
          <t>Bet</t>
        </is>
      </c>
      <c r="G593" s="40" t="inlineStr">
        <is>
          <t>Bet</t>
        </is>
      </c>
      <c r="H593" s="48" t="n">
        <v>6.5</v>
      </c>
      <c r="I593" s="48" t="n">
        <v>7.5</v>
      </c>
      <c r="J593" s="22" t="n">
        <v>0.02</v>
      </c>
      <c r="K593" s="49" t="n">
        <v>1</v>
      </c>
      <c r="L593" s="21" t="n">
        <v>1</v>
      </c>
      <c r="M593" s="50" t="inlineStr">
        <is>
          <t>Win</t>
        </is>
      </c>
      <c r="N593" s="23">
        <f>IF(M593="Win",IF(F593="Bet",(I593-1)*K593,K593),IF(M593="Loss",IF(F593="Bet",-K593,-(I593-1)*K593),IF(M593="Void",0,"")))</f>
        <v/>
      </c>
      <c r="O593" s="24">
        <f>IF(OR(M593="Win",M593="Loss"),IF(F593="Bet",K593,(I593-1)*K593),"")</f>
        <v/>
      </c>
    </row>
    <row r="594">
      <c r="A594" s="37" t="n">
        <v>46291</v>
      </c>
      <c r="B594" s="38" t="inlineStr">
        <is>
          <t>Kembla Grange</t>
        </is>
      </c>
      <c r="C594" s="15" t="n">
        <v>8</v>
      </c>
      <c r="D594" s="15" t="n">
        <v>5</v>
      </c>
      <c r="E594" s="14" t="inlineStr">
        <is>
          <t>Be Quiet</t>
        </is>
      </c>
      <c r="F594" s="39" t="inlineStr">
        <is>
          <t>Bet</t>
        </is>
      </c>
      <c r="G594" s="40" t="inlineStr">
        <is>
          <t>Bet</t>
        </is>
      </c>
      <c r="H594" s="41" t="n">
        <v>3.8</v>
      </c>
      <c r="I594" s="41" t="n">
        <v>4.2</v>
      </c>
      <c r="J594" s="16" t="n">
        <v>0.0261</v>
      </c>
      <c r="K594" s="42" t="n">
        <v>1</v>
      </c>
      <c r="L594" s="15" t="n">
        <v>5</v>
      </c>
      <c r="M594" s="43" t="inlineStr">
        <is>
          <t>Loss</t>
        </is>
      </c>
      <c r="N594" s="17">
        <f>IF(M594="Win",IF(F594="Bet",(I594-1)*K594,K594),IF(M594="Loss",IF(F594="Bet",-K594,-(I594-1)*K594),IF(M594="Void",0,"")))</f>
        <v/>
      </c>
      <c r="O594" s="18">
        <f>IF(OR(M594="Win",M594="Loss"),IF(F594="Bet",K594,(I594-1)*K594),"")</f>
        <v/>
      </c>
    </row>
    <row r="595">
      <c r="A595" s="44" t="n">
        <v>46291</v>
      </c>
      <c r="B595" s="45" t="inlineStr">
        <is>
          <t>Kembla Grange</t>
        </is>
      </c>
      <c r="C595" s="21" t="n">
        <v>4</v>
      </c>
      <c r="D595" s="21" t="n">
        <v>5</v>
      </c>
      <c r="E595" s="20" t="inlineStr">
        <is>
          <t>Mayleigh</t>
        </is>
      </c>
      <c r="F595" s="46" t="inlineStr">
        <is>
          <t>Lay</t>
        </is>
      </c>
      <c r="G595" s="47" t="inlineStr">
        <is>
          <t>Lay</t>
        </is>
      </c>
      <c r="H595" s="48" t="n">
        <v>5.3</v>
      </c>
      <c r="I595" s="48" t="n">
        <v>4</v>
      </c>
      <c r="J595" s="22" t="n">
        <v>-0.0608</v>
      </c>
      <c r="K595" s="49" t="n">
        <v>1</v>
      </c>
      <c r="L595" s="21" t="n">
        <v>1</v>
      </c>
      <c r="M595" s="46" t="inlineStr">
        <is>
          <t>Loss</t>
        </is>
      </c>
      <c r="N595" s="23">
        <f>IF(M595="Win",IF(F595="Bet",(I595-1)*K595,K595),IF(M595="Loss",IF(F595="Bet",-K595,-(I595-1)*K595),IF(M595="Void",0,"")))</f>
        <v/>
      </c>
      <c r="O595" s="24">
        <f>IF(OR(M595="Win",M595="Loss"),IF(F595="Bet",K595,(I595-1)*K595),"")</f>
        <v/>
      </c>
    </row>
    <row r="596">
      <c r="A596" s="37" t="n">
        <v>46291</v>
      </c>
      <c r="B596" s="38" t="inlineStr">
        <is>
          <t>Kembla Grange</t>
        </is>
      </c>
      <c r="C596" s="15" t="n">
        <v>7</v>
      </c>
      <c r="D596" s="15" t="n">
        <v>13</v>
      </c>
      <c r="E596" s="14" t="inlineStr">
        <is>
          <t>Stitzer</t>
        </is>
      </c>
      <c r="F596" s="43" t="inlineStr">
        <is>
          <t>Lay</t>
        </is>
      </c>
      <c r="G596" s="47" t="inlineStr">
        <is>
          <t>Lay</t>
        </is>
      </c>
      <c r="H596" s="41" t="n">
        <v>6.6</v>
      </c>
      <c r="I596" s="41" t="n">
        <v>4.3</v>
      </c>
      <c r="J596" s="16" t="n">
        <v>-0.06610000000000001</v>
      </c>
      <c r="K596" s="42" t="n">
        <v>1</v>
      </c>
      <c r="L596" s="15" t="n">
        <v>12</v>
      </c>
      <c r="M596" s="51" t="inlineStr">
        <is>
          <t>Win</t>
        </is>
      </c>
      <c r="N596" s="17">
        <f>IF(M596="Win",IF(F596="Bet",(I596-1)*K596,K596),IF(M596="Loss",IF(F596="Bet",-K596,-(I596-1)*K596),IF(M596="Void",0,"")))</f>
        <v/>
      </c>
      <c r="O596" s="18">
        <f>IF(OR(M596="Win",M596="Loss"),IF(F596="Bet",K596,(I596-1)*K596),"")</f>
        <v/>
      </c>
    </row>
    <row r="597">
      <c r="A597" s="44" t="n">
        <v>46291</v>
      </c>
      <c r="B597" s="45" t="inlineStr">
        <is>
          <t>Murray Bridge GH</t>
        </is>
      </c>
      <c r="C597" s="21" t="n">
        <v>3</v>
      </c>
      <c r="D597" s="21" t="n">
        <v>4</v>
      </c>
      <c r="E597" s="20" t="inlineStr">
        <is>
          <t>From The Block</t>
        </is>
      </c>
      <c r="F597" s="46" t="inlineStr">
        <is>
          <t>Lay</t>
        </is>
      </c>
      <c r="G597" s="47" t="inlineStr">
        <is>
          <t>Lay</t>
        </is>
      </c>
      <c r="H597" s="48" t="n">
        <v>6.2</v>
      </c>
      <c r="I597" s="48" t="n">
        <v>3.24</v>
      </c>
      <c r="J597" s="22" t="n">
        <v>-0.0611</v>
      </c>
      <c r="K597" s="49" t="n">
        <v>1</v>
      </c>
      <c r="L597" s="21" t="n">
        <v>1</v>
      </c>
      <c r="M597" s="46" t="inlineStr">
        <is>
          <t>Loss</t>
        </is>
      </c>
      <c r="N597" s="23">
        <f>IF(M597="Win",IF(F597="Bet",(I597-1)*K597,K597),IF(M597="Loss",IF(F597="Bet",-K597,-(I597-1)*K597),IF(M597="Void",0,"")))</f>
        <v/>
      </c>
      <c r="O597" s="24">
        <f>IF(OR(M597="Win",M597="Loss"),IF(F597="Bet",K597,(I597-1)*K597),"")</f>
        <v/>
      </c>
    </row>
    <row r="598">
      <c r="A598" s="37" t="n">
        <v>46291</v>
      </c>
      <c r="B598" s="38" t="inlineStr">
        <is>
          <t>Murray Bridge GH</t>
        </is>
      </c>
      <c r="C598" s="15" t="n">
        <v>2</v>
      </c>
      <c r="D598" s="15" t="n">
        <v>9</v>
      </c>
      <c r="E598" s="14" t="inlineStr">
        <is>
          <t>Golden Cloud</t>
        </is>
      </c>
      <c r="F598" s="43" t="inlineStr">
        <is>
          <t>Lay</t>
        </is>
      </c>
      <c r="G598" s="47" t="inlineStr">
        <is>
          <t>Lay</t>
        </is>
      </c>
      <c r="H598" s="41" t="n">
        <v>5.8</v>
      </c>
      <c r="I598" s="41" t="n">
        <v>4.2</v>
      </c>
      <c r="J598" s="16" t="n">
        <v>-0.0665</v>
      </c>
      <c r="K598" s="42" t="n">
        <v>1</v>
      </c>
      <c r="L598" s="15" t="n">
        <v>1</v>
      </c>
      <c r="M598" s="43" t="inlineStr">
        <is>
          <t>Loss</t>
        </is>
      </c>
      <c r="N598" s="17">
        <f>IF(M598="Win",IF(F598="Bet",(I598-1)*K598,K598),IF(M598="Loss",IF(F598="Bet",-K598,-(I598-1)*K598),IF(M598="Void",0,"")))</f>
        <v/>
      </c>
      <c r="O598" s="18">
        <f>IF(OR(M598="Win",M598="Loss"),IF(F598="Bet",K598,(I598-1)*K598),"")</f>
        <v/>
      </c>
    </row>
    <row r="599">
      <c r="A599" s="44" t="n">
        <v>46291</v>
      </c>
      <c r="B599" s="45" t="inlineStr">
        <is>
          <t>Toowoomba</t>
        </is>
      </c>
      <c r="C599" s="21" t="n">
        <v>4</v>
      </c>
      <c r="D599" s="21" t="n">
        <v>10</v>
      </c>
      <c r="E599" s="20" t="inlineStr">
        <is>
          <t>Howdoyouzou</t>
        </is>
      </c>
      <c r="F599" s="46" t="inlineStr">
        <is>
          <t>Lay</t>
        </is>
      </c>
      <c r="G599" s="47" t="inlineStr">
        <is>
          <t>Lay</t>
        </is>
      </c>
      <c r="H599" s="48" t="n">
        <v>4.6</v>
      </c>
      <c r="I599" s="48" t="n">
        <v>3</v>
      </c>
      <c r="J599" s="22" t="n">
        <v>-0.07779999999999999</v>
      </c>
      <c r="K599" s="49" t="n">
        <v>1</v>
      </c>
      <c r="L599" s="21" t="n">
        <v>1</v>
      </c>
      <c r="M599" s="46" t="inlineStr">
        <is>
          <t>Loss</t>
        </is>
      </c>
      <c r="N599" s="23">
        <f>IF(M599="Win",IF(F599="Bet",(I599-1)*K599,K599),IF(M599="Loss",IF(F599="Bet",-K599,-(I599-1)*K599),IF(M599="Void",0,"")))</f>
        <v/>
      </c>
      <c r="O599" s="24">
        <f>IF(OR(M599="Win",M599="Loss"),IF(F599="Bet",K599,(I599-1)*K599),"")</f>
        <v/>
      </c>
    </row>
    <row r="600">
      <c r="A600" s="37" t="n">
        <v>46291</v>
      </c>
      <c r="B600" s="38" t="inlineStr">
        <is>
          <t>Gold Coast</t>
        </is>
      </c>
      <c r="C600" s="15" t="n">
        <v>6</v>
      </c>
      <c r="D600" s="15" t="n">
        <v>2</v>
      </c>
      <c r="E600" s="14" t="inlineStr">
        <is>
          <t>Col Burn</t>
        </is>
      </c>
      <c r="F600" s="43" t="inlineStr">
        <is>
          <t>Lay</t>
        </is>
      </c>
      <c r="G600" s="47" t="inlineStr">
        <is>
          <t>Lay</t>
        </is>
      </c>
      <c r="H600" s="41" t="n">
        <v>5.3</v>
      </c>
      <c r="I600" s="41" t="n">
        <v>3.95</v>
      </c>
      <c r="J600" s="16" t="n">
        <v>-0.0649</v>
      </c>
      <c r="K600" s="42" t="n">
        <v>1</v>
      </c>
      <c r="L600" s="15" t="n">
        <v>2</v>
      </c>
      <c r="M600" s="51" t="inlineStr">
        <is>
          <t>Win</t>
        </is>
      </c>
      <c r="N600" s="17">
        <f>IF(M600="Win",IF(F600="Bet",(I600-1)*K600,K600),IF(M600="Loss",IF(F600="Bet",-K600,-(I600-1)*K600),IF(M600="Void",0,"")))</f>
        <v/>
      </c>
      <c r="O600" s="18">
        <f>IF(OR(M600="Win",M600="Loss"),IF(F600="Bet",K600,(I600-1)*K600),"")</f>
        <v/>
      </c>
    </row>
    <row r="601">
      <c r="A601" s="44" t="n">
        <v>46291</v>
      </c>
      <c r="B601" s="45" t="inlineStr">
        <is>
          <t>Toowoomba</t>
        </is>
      </c>
      <c r="C601" s="21" t="n">
        <v>5</v>
      </c>
      <c r="D601" s="21" t="n">
        <v>4</v>
      </c>
      <c r="E601" s="20" t="inlineStr">
        <is>
          <t>Rimbaud</t>
        </is>
      </c>
      <c r="F601" s="46" t="inlineStr">
        <is>
          <t>Lay</t>
        </is>
      </c>
      <c r="G601" s="47" t="inlineStr">
        <is>
          <t>Lay</t>
        </is>
      </c>
      <c r="H601" s="48" t="n">
        <v>5.6</v>
      </c>
      <c r="I601" s="48" t="n">
        <v>4.1</v>
      </c>
      <c r="J601" s="22" t="n">
        <v>-0.0654</v>
      </c>
      <c r="K601" s="49" t="n">
        <v>1</v>
      </c>
      <c r="L601" s="21" t="n">
        <v>6</v>
      </c>
      <c r="M601" s="50" t="inlineStr">
        <is>
          <t>Win</t>
        </is>
      </c>
      <c r="N601" s="23">
        <f>IF(M601="Win",IF(F601="Bet",(I601-1)*K601,K601),IF(M601="Loss",IF(F601="Bet",-K601,-(I601-1)*K601),IF(M601="Void",0,"")))</f>
        <v/>
      </c>
      <c r="O601" s="24">
        <f>IF(OR(M601="Win",M601="Loss"),IF(F601="Bet",K601,(I601-1)*K601),"")</f>
        <v/>
      </c>
    </row>
    <row r="602">
      <c r="A602" s="37" t="n">
        <v>46291</v>
      </c>
      <c r="B602" s="38" t="inlineStr">
        <is>
          <t>Mingenew</t>
        </is>
      </c>
      <c r="C602" s="15" t="n">
        <v>6</v>
      </c>
      <c r="D602" s="15" t="n">
        <v>4</v>
      </c>
      <c r="E602" s="14" t="inlineStr">
        <is>
          <t>Western Impact</t>
        </is>
      </c>
      <c r="F602" s="43" t="inlineStr">
        <is>
          <t>Lay</t>
        </is>
      </c>
      <c r="G602" s="47" t="inlineStr">
        <is>
          <t>Lay</t>
        </is>
      </c>
      <c r="H602" s="41" t="n">
        <v>4.3</v>
      </c>
      <c r="I602" s="41" t="n">
        <v>3.3</v>
      </c>
      <c r="J602" s="16" t="n">
        <v>-0.0678</v>
      </c>
      <c r="K602" s="42" t="n">
        <v>1</v>
      </c>
      <c r="L602" s="15" t="n">
        <v>2</v>
      </c>
      <c r="M602" s="51" t="inlineStr">
        <is>
          <t>Win</t>
        </is>
      </c>
      <c r="N602" s="17">
        <f>IF(M602="Win",IF(F602="Bet",(I602-1)*K602,K602),IF(M602="Loss",IF(F602="Bet",-K602,-(I602-1)*K602),IF(M602="Void",0,"")))</f>
        <v/>
      </c>
      <c r="O602" s="18">
        <f>IF(OR(M602="Win",M602="Loss"),IF(F602="Bet",K602,(I602-1)*K602),"")</f>
        <v/>
      </c>
    </row>
    <row r="603">
      <c r="A603" s="44" t="n">
        <v>46291</v>
      </c>
      <c r="B603" s="45" t="inlineStr">
        <is>
          <t>Gold Coast</t>
        </is>
      </c>
      <c r="C603" s="21" t="n">
        <v>1</v>
      </c>
      <c r="D603" s="21" t="n">
        <v>4</v>
      </c>
      <c r="E603" s="20" t="inlineStr">
        <is>
          <t>Tisani James</t>
        </is>
      </c>
      <c r="F603" s="46" t="inlineStr">
        <is>
          <t>Lay</t>
        </is>
      </c>
      <c r="G603" s="47" t="inlineStr">
        <is>
          <t>Lay</t>
        </is>
      </c>
      <c r="H603" s="48" t="n">
        <v>6.6</v>
      </c>
      <c r="I603" s="48" t="n">
        <v>4.1</v>
      </c>
      <c r="J603" s="22" t="n">
        <v>-0.0914</v>
      </c>
      <c r="K603" s="49" t="n">
        <v>1</v>
      </c>
      <c r="L603" s="21" t="n">
        <v>4</v>
      </c>
      <c r="M603" s="50" t="inlineStr">
        <is>
          <t>Win</t>
        </is>
      </c>
      <c r="N603" s="23">
        <f>IF(M603="Win",IF(F603="Bet",(I603-1)*K603,K603),IF(M603="Loss",IF(F603="Bet",-K603,-(I603-1)*K603),IF(M603="Void",0,"")))</f>
        <v/>
      </c>
      <c r="O603" s="24">
        <f>IF(OR(M603="Win",M603="Loss"),IF(F603="Bet",K603,(I603-1)*K603),"")</f>
        <v/>
      </c>
    </row>
    <row r="604">
      <c r="A604" s="37" t="n">
        <v>46291</v>
      </c>
      <c r="B604" s="38" t="inlineStr">
        <is>
          <t>Mingenew</t>
        </is>
      </c>
      <c r="C604" s="15" t="n">
        <v>3</v>
      </c>
      <c r="D604" s="15" t="n">
        <v>8</v>
      </c>
      <c r="E604" s="14" t="inlineStr">
        <is>
          <t>Hot Puddin</t>
        </is>
      </c>
      <c r="F604" s="43" t="inlineStr">
        <is>
          <t>Lay</t>
        </is>
      </c>
      <c r="G604" s="47" t="inlineStr">
        <is>
          <t>Lay</t>
        </is>
      </c>
      <c r="H604" s="41" t="n">
        <v>36.2</v>
      </c>
      <c r="I604" s="41" t="n">
        <v>10</v>
      </c>
      <c r="J604" s="16" t="n">
        <v>-0.07240000000000001</v>
      </c>
      <c r="K604" s="42" t="n">
        <v>1</v>
      </c>
      <c r="L604" s="15" t="n">
        <v>8</v>
      </c>
      <c r="M604" s="51" t="inlineStr">
        <is>
          <t>Win</t>
        </is>
      </c>
      <c r="N604" s="17">
        <f>IF(M604="Win",IF(F604="Bet",(I604-1)*K604,K604),IF(M604="Loss",IF(F604="Bet",-K604,-(I604-1)*K604),IF(M604="Void",0,"")))</f>
        <v/>
      </c>
      <c r="O604" s="18">
        <f>IF(OR(M604="Win",M604="Loss"),IF(F604="Bet",K604,(I604-1)*K604),"")</f>
        <v/>
      </c>
    </row>
    <row r="605">
      <c r="A605" s="44" t="n">
        <v>46291</v>
      </c>
      <c r="B605" s="45" t="inlineStr">
        <is>
          <t>Longreach</t>
        </is>
      </c>
      <c r="C605" s="21" t="n">
        <v>3</v>
      </c>
      <c r="D605" s="21" t="n">
        <v>3</v>
      </c>
      <c r="E605" s="20" t="inlineStr">
        <is>
          <t>Royalify</t>
        </is>
      </c>
      <c r="F605" s="46" t="inlineStr">
        <is>
          <t>Lay</t>
        </is>
      </c>
      <c r="G605" s="47" t="inlineStr">
        <is>
          <t>Lay</t>
        </is>
      </c>
      <c r="H605" s="48" t="n">
        <v>2.85</v>
      </c>
      <c r="I605" s="48" t="n">
        <v>1.9</v>
      </c>
      <c r="J605" s="22" t="n">
        <v>-0.1038</v>
      </c>
      <c r="K605" s="49" t="n">
        <v>1</v>
      </c>
      <c r="L605" s="21" t="n">
        <v>2</v>
      </c>
      <c r="M605" s="50" t="inlineStr">
        <is>
          <t>Win</t>
        </is>
      </c>
      <c r="N605" s="23">
        <f>IF(M605="Win",IF(F605="Bet",(I605-1)*K605,K605),IF(M605="Loss",IF(F605="Bet",-K605,-(I605-1)*K605),IF(M605="Void",0,"")))</f>
        <v/>
      </c>
      <c r="O605" s="24">
        <f>IF(OR(M605="Win",M605="Loss"),IF(F605="Bet",K605,(I605-1)*K605),"")</f>
        <v/>
      </c>
    </row>
    <row r="606">
      <c r="A606" s="37" t="n">
        <v>46291</v>
      </c>
      <c r="B606" s="38" t="inlineStr">
        <is>
          <t>Mornington</t>
        </is>
      </c>
      <c r="C606" s="15" t="n">
        <v>6</v>
      </c>
      <c r="D606" s="15" t="n">
        <v>4</v>
      </c>
      <c r="E606" s="14" t="inlineStr">
        <is>
          <t>Grand Pierro</t>
        </is>
      </c>
      <c r="F606" s="39" t="inlineStr">
        <is>
          <t>Bet</t>
        </is>
      </c>
      <c r="G606" s="40" t="inlineStr">
        <is>
          <t>Bet</t>
        </is>
      </c>
      <c r="H606" s="41" t="n">
        <v>7.6</v>
      </c>
      <c r="I606" s="41" t="n">
        <v>9.5</v>
      </c>
      <c r="J606" s="16" t="n">
        <v>0.0201</v>
      </c>
      <c r="K606" s="42" t="n">
        <v>1</v>
      </c>
      <c r="L606" s="15" t="n">
        <v>6</v>
      </c>
      <c r="M606" s="43" t="inlineStr">
        <is>
          <t>Loss</t>
        </is>
      </c>
      <c r="N606" s="17">
        <f>IF(M606="Win",IF(F606="Bet",(I606-1)*K606,K606),IF(M606="Loss",IF(F606="Bet",-K606,-(I606-1)*K606),IF(M606="Void",0,"")))</f>
        <v/>
      </c>
      <c r="O606" s="18">
        <f>IF(OR(M606="Win",M606="Loss"),IF(F606="Bet",K606,(I606-1)*K606),"")</f>
        <v/>
      </c>
    </row>
    <row r="607">
      <c r="A607" s="44" t="n">
        <v>46291</v>
      </c>
      <c r="B607" s="45" t="inlineStr">
        <is>
          <t>Longreach</t>
        </is>
      </c>
      <c r="C607" s="21" t="n">
        <v>6</v>
      </c>
      <c r="D607" s="21" t="n">
        <v>5</v>
      </c>
      <c r="E607" s="20" t="inlineStr">
        <is>
          <t>Holy Holy Holy</t>
        </is>
      </c>
      <c r="F607" s="46" t="inlineStr">
        <is>
          <t>Lay</t>
        </is>
      </c>
      <c r="G607" s="47" t="inlineStr">
        <is>
          <t>Lay</t>
        </is>
      </c>
      <c r="H607" s="48" t="n">
        <v>6.8</v>
      </c>
      <c r="I607" s="48" t="n">
        <v>3.61</v>
      </c>
      <c r="J607" s="22" t="n">
        <v>-0.0611</v>
      </c>
      <c r="K607" s="49" t="n">
        <v>1</v>
      </c>
      <c r="L607" s="21" t="n">
        <v>2</v>
      </c>
      <c r="M607" s="50" t="inlineStr">
        <is>
          <t>Win</t>
        </is>
      </c>
      <c r="N607" s="23">
        <f>IF(M607="Win",IF(F607="Bet",(I607-1)*K607,K607),IF(M607="Loss",IF(F607="Bet",-K607,-(I607-1)*K607),IF(M607="Void",0,"")))</f>
        <v/>
      </c>
      <c r="O607" s="24">
        <f>IF(OR(M607="Win",M607="Loss"),IF(F607="Bet",K607,(I607-1)*K607),"")</f>
        <v/>
      </c>
    </row>
    <row r="608">
      <c r="A608" s="37" t="n">
        <v>46291</v>
      </c>
      <c r="B608" s="38" t="inlineStr">
        <is>
          <t>Mornington</t>
        </is>
      </c>
      <c r="C608" s="15" t="n">
        <v>1</v>
      </c>
      <c r="D608" s="15" t="n">
        <v>4</v>
      </c>
      <c r="E608" s="14" t="inlineStr">
        <is>
          <t>Celestial Zara</t>
        </is>
      </c>
      <c r="F608" s="43" t="inlineStr">
        <is>
          <t>Lay</t>
        </is>
      </c>
      <c r="G608" s="47" t="inlineStr">
        <is>
          <t>Lay</t>
        </is>
      </c>
      <c r="H608" s="41" t="n">
        <v>4.7</v>
      </c>
      <c r="I608" s="41" t="n">
        <v>3.55</v>
      </c>
      <c r="J608" s="16" t="n">
        <v>-0.064</v>
      </c>
      <c r="K608" s="42" t="n">
        <v>1</v>
      </c>
      <c r="L608" s="15" t="n">
        <v>4</v>
      </c>
      <c r="M608" s="51" t="inlineStr">
        <is>
          <t>Win</t>
        </is>
      </c>
      <c r="N608" s="17">
        <f>IF(M608="Win",IF(F608="Bet",(I608-1)*K608,K608),IF(M608="Loss",IF(F608="Bet",-K608,-(I608-1)*K608),IF(M608="Void",0,"")))</f>
        <v/>
      </c>
      <c r="O608" s="18">
        <f>IF(OR(M608="Win",M608="Loss"),IF(F608="Bet",K608,(I608-1)*K608),"")</f>
        <v/>
      </c>
    </row>
    <row r="609">
      <c r="A609" s="44" t="n">
        <v>46291</v>
      </c>
      <c r="B609" s="45" t="inlineStr">
        <is>
          <t>Canberra</t>
        </is>
      </c>
      <c r="C609" s="21" t="n">
        <v>2</v>
      </c>
      <c r="D609" s="21" t="n">
        <v>3</v>
      </c>
      <c r="E609" s="20" t="inlineStr">
        <is>
          <t>Graceful Ellen</t>
        </is>
      </c>
      <c r="F609" s="52" t="inlineStr">
        <is>
          <t>Bet</t>
        </is>
      </c>
      <c r="G609" s="40" t="inlineStr">
        <is>
          <t>Bet</t>
        </is>
      </c>
      <c r="H609" s="48" t="n">
        <v>5.2</v>
      </c>
      <c r="I609" s="48" t="n">
        <v>6.8</v>
      </c>
      <c r="J609" s="22" t="n">
        <v>0.025</v>
      </c>
      <c r="K609" s="49" t="n">
        <v>1</v>
      </c>
      <c r="L609" s="21" t="n">
        <v>3</v>
      </c>
      <c r="M609" s="46" t="inlineStr">
        <is>
          <t>Loss</t>
        </is>
      </c>
      <c r="N609" s="23">
        <f>IF(M609="Win",IF(F609="Bet",(I609-1)*K609,K609),IF(M609="Loss",IF(F609="Bet",-K609,-(I609-1)*K609),IF(M609="Void",0,"")))</f>
        <v/>
      </c>
      <c r="O609" s="24">
        <f>IF(OR(M609="Win",M609="Loss"),IF(F609="Bet",K609,(I609-1)*K609),"")</f>
        <v/>
      </c>
    </row>
    <row r="610">
      <c r="A610" s="37" t="n">
        <v>46291</v>
      </c>
      <c r="B610" s="38" t="inlineStr">
        <is>
          <t>Toowoomba</t>
        </is>
      </c>
      <c r="C610" s="15" t="n">
        <v>1</v>
      </c>
      <c r="D610" s="15" t="n">
        <v>6</v>
      </c>
      <c r="E610" s="14" t="inlineStr">
        <is>
          <t>Thats Archies Girl</t>
        </is>
      </c>
      <c r="F610" s="43" t="inlineStr">
        <is>
          <t>Lay</t>
        </is>
      </c>
      <c r="G610" s="47" t="inlineStr">
        <is>
          <t>Lay</t>
        </is>
      </c>
      <c r="H610" s="41" t="n">
        <v>5.2</v>
      </c>
      <c r="I610" s="41" t="n">
        <v>3.9</v>
      </c>
      <c r="J610" s="16" t="n">
        <v>-0.0641</v>
      </c>
      <c r="K610" s="42" t="n">
        <v>1</v>
      </c>
      <c r="L610" s="15" t="n">
        <v>5</v>
      </c>
      <c r="M610" s="51" t="inlineStr">
        <is>
          <t>Win</t>
        </is>
      </c>
      <c r="N610" s="17">
        <f>IF(M610="Win",IF(F610="Bet",(I610-1)*K610,K610),IF(M610="Loss",IF(F610="Bet",-K610,-(I610-1)*K610),IF(M610="Void",0,"")))</f>
        <v/>
      </c>
      <c r="O610" s="18">
        <f>IF(OR(M610="Win",M610="Loss"),IF(F610="Bet",K610,(I610-1)*K610),"")</f>
        <v/>
      </c>
    </row>
    <row r="611">
      <c r="A611" s="44" t="n">
        <v>46291</v>
      </c>
      <c r="B611" s="45" t="inlineStr">
        <is>
          <t>Longreach</t>
        </is>
      </c>
      <c r="C611" s="21" t="n">
        <v>2</v>
      </c>
      <c r="D611" s="21" t="n">
        <v>5</v>
      </c>
      <c r="E611" s="20" t="inlineStr">
        <is>
          <t>Salt Lake Betty</t>
        </is>
      </c>
      <c r="F611" s="52" t="inlineStr">
        <is>
          <t>Bet</t>
        </is>
      </c>
      <c r="G611" s="40" t="inlineStr">
        <is>
          <t>Bet</t>
        </is>
      </c>
      <c r="H611" s="48" t="n">
        <v>4.9</v>
      </c>
      <c r="I611" s="48" t="n">
        <v>5.5</v>
      </c>
      <c r="J611" s="22" t="n">
        <v>0.0224</v>
      </c>
      <c r="K611" s="49" t="n">
        <v>1</v>
      </c>
      <c r="L611" s="21" t="n">
        <v>5</v>
      </c>
      <c r="M611" s="46" t="inlineStr">
        <is>
          <t>Loss</t>
        </is>
      </c>
      <c r="N611" s="23">
        <f>IF(M611="Win",IF(F611="Bet",(I611-1)*K611,K611),IF(M611="Loss",IF(F611="Bet",-K611,-(I611-1)*K611),IF(M611="Void",0,"")))</f>
        <v/>
      </c>
      <c r="O611" s="24">
        <f>IF(OR(M611="Win",M611="Loss"),IF(F611="Bet",K611,(I611-1)*K611),"")</f>
        <v/>
      </c>
    </row>
    <row r="612">
      <c r="A612" s="37" t="n">
        <v>46291</v>
      </c>
      <c r="B612" s="38" t="inlineStr">
        <is>
          <t>Kembla Grange</t>
        </is>
      </c>
      <c r="C612" s="15" t="n">
        <v>3</v>
      </c>
      <c r="D612" s="15" t="n">
        <v>9</v>
      </c>
      <c r="E612" s="14" t="inlineStr">
        <is>
          <t>Nomadic</t>
        </is>
      </c>
      <c r="F612" s="43" t="inlineStr">
        <is>
          <t>Lay</t>
        </is>
      </c>
      <c r="G612" s="47" t="inlineStr">
        <is>
          <t>Lay</t>
        </is>
      </c>
      <c r="H612" s="41" t="n">
        <v>3</v>
      </c>
      <c r="I612" s="41" t="n">
        <v>2.24</v>
      </c>
      <c r="J612" s="16" t="n">
        <v>-0.0711</v>
      </c>
      <c r="K612" s="42" t="n">
        <v>1</v>
      </c>
      <c r="L612" s="15" t="n">
        <v>1</v>
      </c>
      <c r="M612" s="43" t="inlineStr">
        <is>
          <t>Loss</t>
        </is>
      </c>
      <c r="N612" s="17">
        <f>IF(M612="Win",IF(F612="Bet",(I612-1)*K612,K612),IF(M612="Loss",IF(F612="Bet",-K612,-(I612-1)*K612),IF(M612="Void",0,"")))</f>
        <v/>
      </c>
      <c r="O612" s="18">
        <f>IF(OR(M612="Win",M612="Loss"),IF(F612="Bet",K612,(I612-1)*K612),"")</f>
        <v/>
      </c>
    </row>
    <row r="613">
      <c r="A613" s="44" t="n">
        <v>46291</v>
      </c>
      <c r="B613" s="45" t="inlineStr">
        <is>
          <t>Toowoomba</t>
        </is>
      </c>
      <c r="C613" s="21" t="n">
        <v>2</v>
      </c>
      <c r="D613" s="21" t="n">
        <v>7</v>
      </c>
      <c r="E613" s="20" t="inlineStr">
        <is>
          <t>The Louvre</t>
        </is>
      </c>
      <c r="F613" s="46" t="inlineStr">
        <is>
          <t>Lay</t>
        </is>
      </c>
      <c r="G613" s="47" t="inlineStr">
        <is>
          <t>Lay</t>
        </is>
      </c>
      <c r="H613" s="48" t="n">
        <v>3.5</v>
      </c>
      <c r="I613" s="48" t="n">
        <v>2.64</v>
      </c>
      <c r="J613" s="22" t="n">
        <v>-0.0621</v>
      </c>
      <c r="K613" s="49" t="n">
        <v>1</v>
      </c>
      <c r="L613" s="21" t="n">
        <v>1</v>
      </c>
      <c r="M613" s="46" t="inlineStr">
        <is>
          <t>Loss</t>
        </is>
      </c>
      <c r="N613" s="23">
        <f>IF(M613="Win",IF(F613="Bet",(I613-1)*K613,K613),IF(M613="Loss",IF(F613="Bet",-K613,-(I613-1)*K613),IF(M613="Void",0,"")))</f>
        <v/>
      </c>
      <c r="O613" s="24">
        <f>IF(OR(M613="Win",M613="Loss"),IF(F613="Bet",K613,(I613-1)*K613),"")</f>
        <v/>
      </c>
    </row>
    <row r="614">
      <c r="A614" s="37" t="n">
        <v>46291</v>
      </c>
      <c r="B614" s="38" t="inlineStr">
        <is>
          <t>Longreach</t>
        </is>
      </c>
      <c r="C614" s="15" t="n">
        <v>3</v>
      </c>
      <c r="D614" s="15" t="n">
        <v>1</v>
      </c>
      <c r="E614" s="14" t="inlineStr">
        <is>
          <t>Noble Intent</t>
        </is>
      </c>
      <c r="F614" s="39" t="inlineStr">
        <is>
          <t>Bet</t>
        </is>
      </c>
      <c r="G614" s="40" t="inlineStr">
        <is>
          <t>Bet</t>
        </is>
      </c>
      <c r="H614" s="41" t="n">
        <v>4.5</v>
      </c>
      <c r="I614" s="41" t="n">
        <v>6</v>
      </c>
      <c r="J614" s="16" t="n">
        <v>0.0222</v>
      </c>
      <c r="K614" s="42" t="n">
        <v>1</v>
      </c>
      <c r="L614" s="15" t="inlineStr">
        <is>
          <t>Unplaced</t>
        </is>
      </c>
      <c r="M614" s="43" t="inlineStr">
        <is>
          <t>Loss</t>
        </is>
      </c>
      <c r="N614" s="17">
        <f>IF(M614="Win",IF(F614="Bet",(I614-1)*K614,K614),IF(M614="Loss",IF(F614="Bet",-K614,-(I614-1)*K614),IF(M614="Void",0,"")))</f>
        <v/>
      </c>
      <c r="O614" s="18">
        <f>IF(OR(M614="Win",M614="Loss"),IF(F614="Bet",K614,(I614-1)*K614),"")</f>
        <v/>
      </c>
    </row>
    <row r="615">
      <c r="A615" s="44" t="n">
        <v>46291</v>
      </c>
      <c r="B615" s="45" t="inlineStr">
        <is>
          <t>Toowoomba</t>
        </is>
      </c>
      <c r="C615" s="21" t="n">
        <v>3</v>
      </c>
      <c r="D615" s="21" t="n">
        <v>13</v>
      </c>
      <c r="E615" s="20" t="inlineStr">
        <is>
          <t>Galway Flyer</t>
        </is>
      </c>
      <c r="F615" s="46" t="inlineStr">
        <is>
          <t>Lay</t>
        </is>
      </c>
      <c r="G615" s="47" t="inlineStr">
        <is>
          <t>Lay</t>
        </is>
      </c>
      <c r="H615" s="48" t="n">
        <v>7.3</v>
      </c>
      <c r="I615" s="48" t="n">
        <v>4.2</v>
      </c>
      <c r="J615" s="22" t="n">
        <v>-0.0665</v>
      </c>
      <c r="K615" s="49" t="n">
        <v>1</v>
      </c>
      <c r="L615" s="21" t="n">
        <v>4</v>
      </c>
      <c r="M615" s="50" t="inlineStr">
        <is>
          <t>Win</t>
        </is>
      </c>
      <c r="N615" s="23">
        <f>IF(M615="Win",IF(F615="Bet",(I615-1)*K615,K615),IF(M615="Loss",IF(F615="Bet",-K615,-(I615-1)*K615),IF(M615="Void",0,"")))</f>
        <v/>
      </c>
      <c r="O615" s="24">
        <f>IF(OR(M615="Win",M615="Loss"),IF(F615="Bet",K615,(I615-1)*K615),"")</f>
        <v/>
      </c>
    </row>
    <row r="616">
      <c r="A616" s="37" t="n">
        <v>46291</v>
      </c>
      <c r="B616" s="38" t="inlineStr">
        <is>
          <t>Canberra</t>
        </is>
      </c>
      <c r="C616" s="15" t="n">
        <v>4</v>
      </c>
      <c r="D616" s="15" t="n">
        <v>3</v>
      </c>
      <c r="E616" s="14" t="inlineStr">
        <is>
          <t>Northy Lad</t>
        </is>
      </c>
      <c r="F616" s="43" t="inlineStr">
        <is>
          <t>Lay</t>
        </is>
      </c>
      <c r="G616" s="47" t="inlineStr">
        <is>
          <t>Lay</t>
        </is>
      </c>
      <c r="H616" s="41" t="n">
        <v>4.1</v>
      </c>
      <c r="I616" s="41" t="n">
        <v>3.1</v>
      </c>
      <c r="J616" s="16" t="n">
        <v>-0.0772</v>
      </c>
      <c r="K616" s="42" t="n">
        <v>1</v>
      </c>
      <c r="L616" s="15" t="n">
        <v>6</v>
      </c>
      <c r="M616" s="51" t="inlineStr">
        <is>
          <t>Win</t>
        </is>
      </c>
      <c r="N616" s="17">
        <f>IF(M616="Win",IF(F616="Bet",(I616-1)*K616,K616),IF(M616="Loss",IF(F616="Bet",-K616,-(I616-1)*K616),IF(M616="Void",0,"")))</f>
        <v/>
      </c>
      <c r="O616" s="18">
        <f>IF(OR(M616="Win",M616="Loss"),IF(F616="Bet",K616,(I616-1)*K616),"")</f>
        <v/>
      </c>
    </row>
    <row r="617">
      <c r="A617" s="44" t="n">
        <v>46291</v>
      </c>
      <c r="B617" s="45" t="inlineStr">
        <is>
          <t>Canberra</t>
        </is>
      </c>
      <c r="C617" s="21" t="n">
        <v>4</v>
      </c>
      <c r="D617" s="21" t="n">
        <v>6</v>
      </c>
      <c r="E617" s="20" t="inlineStr">
        <is>
          <t>Avalon Lady</t>
        </is>
      </c>
      <c r="F617" s="46" t="inlineStr">
        <is>
          <t>Lay</t>
        </is>
      </c>
      <c r="G617" s="47" t="inlineStr">
        <is>
          <t>Lay</t>
        </is>
      </c>
      <c r="H617" s="48" t="n">
        <v>5.4</v>
      </c>
      <c r="I617" s="48" t="n">
        <v>3.15</v>
      </c>
      <c r="J617" s="22" t="n">
        <v>-0.06569999999999999</v>
      </c>
      <c r="K617" s="49" t="n">
        <v>1</v>
      </c>
      <c r="L617" s="21" t="n">
        <v>1</v>
      </c>
      <c r="M617" s="46" t="inlineStr">
        <is>
          <t>Loss</t>
        </is>
      </c>
      <c r="N617" s="23">
        <f>IF(M617="Win",IF(F617="Bet",(I617-1)*K617,K617),IF(M617="Loss",IF(F617="Bet",-K617,-(I617-1)*K617),IF(M617="Void",0,"")))</f>
        <v/>
      </c>
      <c r="O617" s="24">
        <f>IF(OR(M617="Win",M617="Loss"),IF(F617="Bet",K617,(I617-1)*K617),"")</f>
        <v/>
      </c>
    </row>
    <row r="618">
      <c r="A618" s="37" t="n">
        <v>46291</v>
      </c>
      <c r="B618" s="38" t="inlineStr">
        <is>
          <t>Longreach</t>
        </is>
      </c>
      <c r="C618" s="15" t="n">
        <v>4</v>
      </c>
      <c r="D618" s="15" t="n">
        <v>5</v>
      </c>
      <c r="E618" s="14" t="inlineStr">
        <is>
          <t>I'm Zac</t>
        </is>
      </c>
      <c r="F618" s="43" t="inlineStr">
        <is>
          <t>Lay</t>
        </is>
      </c>
      <c r="G618" s="47" t="inlineStr">
        <is>
          <t>Lay</t>
        </is>
      </c>
      <c r="H618" s="41" t="n">
        <v>4.3</v>
      </c>
      <c r="I618" s="41" t="n">
        <v>2.94</v>
      </c>
      <c r="J618" s="16" t="n">
        <v>-0.1102</v>
      </c>
      <c r="K618" s="42" t="n">
        <v>1</v>
      </c>
      <c r="L618" s="15" t="n">
        <v>3</v>
      </c>
      <c r="M618" s="51" t="inlineStr">
        <is>
          <t>Win</t>
        </is>
      </c>
      <c r="N618" s="17">
        <f>IF(M618="Win",IF(F618="Bet",(I618-1)*K618,K618),IF(M618="Loss",IF(F618="Bet",-K618,-(I618-1)*K618),IF(M618="Void",0,"")))</f>
        <v/>
      </c>
      <c r="O618" s="18">
        <f>IF(OR(M618="Win",M618="Loss"),IF(F618="Bet",K618,(I618-1)*K618),"")</f>
        <v/>
      </c>
    </row>
    <row r="619">
      <c r="A619" s="44" t="n">
        <v>46291</v>
      </c>
      <c r="B619" s="45" t="inlineStr">
        <is>
          <t>Rosehill</t>
        </is>
      </c>
      <c r="C619" s="21" t="n">
        <v>8</v>
      </c>
      <c r="D619" s="21" t="n">
        <v>1</v>
      </c>
      <c r="E619" s="20" t="inlineStr">
        <is>
          <t>Guest House</t>
        </is>
      </c>
      <c r="F619" s="52" t="inlineStr">
        <is>
          <t>Bet</t>
        </is>
      </c>
      <c r="G619" s="40" t="inlineStr">
        <is>
          <t>Bet</t>
        </is>
      </c>
      <c r="H619" s="48" t="n">
        <v>2.55</v>
      </c>
      <c r="I619" s="48" t="n">
        <v>2.7</v>
      </c>
      <c r="J619" s="22" t="n">
        <v>0.0212</v>
      </c>
      <c r="K619" s="49" t="n">
        <v>1</v>
      </c>
      <c r="L619" s="21" t="n">
        <v>6</v>
      </c>
      <c r="M619" s="46" t="inlineStr">
        <is>
          <t>Loss</t>
        </is>
      </c>
      <c r="N619" s="23">
        <f>IF(M619="Win",IF(F619="Bet",(I619-1)*K619,K619),IF(M619="Loss",IF(F619="Bet",-K619,-(I619-1)*K619),IF(M619="Void",0,"")))</f>
        <v/>
      </c>
      <c r="O619" s="24">
        <f>IF(OR(M619="Win",M619="Loss"),IF(F619="Bet",K619,(I619-1)*K619),"")</f>
        <v/>
      </c>
    </row>
    <row r="620">
      <c r="A620" s="37" t="n">
        <v>46291</v>
      </c>
      <c r="B620" s="38" t="inlineStr">
        <is>
          <t>Longreach</t>
        </is>
      </c>
      <c r="C620" s="15" t="n">
        <v>5</v>
      </c>
      <c r="D620" s="15" t="n">
        <v>8</v>
      </c>
      <c r="E620" s="14" t="inlineStr">
        <is>
          <t>Yes Larry</t>
        </is>
      </c>
      <c r="F620" s="43" t="inlineStr">
        <is>
          <t>Lay</t>
        </is>
      </c>
      <c r="G620" s="47" t="inlineStr">
        <is>
          <t>Lay</t>
        </is>
      </c>
      <c r="H620" s="41" t="n">
        <v>3</v>
      </c>
      <c r="I620" s="41" t="n">
        <v>2.28</v>
      </c>
      <c r="J620" s="16" t="n">
        <v>-0.1029</v>
      </c>
      <c r="K620" s="42" t="n">
        <v>1</v>
      </c>
      <c r="L620" s="15" t="n">
        <v>2</v>
      </c>
      <c r="M620" s="51" t="inlineStr">
        <is>
          <t>Win</t>
        </is>
      </c>
      <c r="N620" s="17">
        <f>IF(M620="Win",IF(F620="Bet",(I620-1)*K620,K620),IF(M620="Loss",IF(F620="Bet",-K620,-(I620-1)*K620),IF(M620="Void",0,"")))</f>
        <v/>
      </c>
      <c r="O620" s="18">
        <f>IF(OR(M620="Win",M620="Loss"),IF(F620="Bet",K620,(I620-1)*K620),"")</f>
        <v/>
      </c>
    </row>
    <row r="621">
      <c r="A621" s="44" t="n">
        <v>46291</v>
      </c>
      <c r="B621" s="45" t="inlineStr">
        <is>
          <t>Longreach</t>
        </is>
      </c>
      <c r="C621" s="21" t="n">
        <v>6</v>
      </c>
      <c r="D621" s="21" t="n">
        <v>13</v>
      </c>
      <c r="E621" s="20" t="inlineStr">
        <is>
          <t>Straya Pride</t>
        </is>
      </c>
      <c r="F621" s="52" t="inlineStr">
        <is>
          <t>Bet</t>
        </is>
      </c>
      <c r="G621" s="40" t="inlineStr">
        <is>
          <t>Bet</t>
        </is>
      </c>
      <c r="H621" s="48" t="n">
        <v>6</v>
      </c>
      <c r="I621" s="48" t="n">
        <v>9.94</v>
      </c>
      <c r="J621" s="22" t="n">
        <v>0.0244</v>
      </c>
      <c r="K621" s="49" t="n">
        <v>1</v>
      </c>
      <c r="L621" s="21" t="n">
        <v>4</v>
      </c>
      <c r="M621" s="46" t="inlineStr">
        <is>
          <t>Loss</t>
        </is>
      </c>
      <c r="N621" s="23">
        <f>IF(M621="Win",IF(F621="Bet",(I621-1)*K621,K621),IF(M621="Loss",IF(F621="Bet",-K621,-(I621-1)*K621),IF(M621="Void",0,"")))</f>
        <v/>
      </c>
      <c r="O621" s="24">
        <f>IF(OR(M621="Win",M621="Loss"),IF(F621="Bet",K621,(I621-1)*K621),"")</f>
        <v/>
      </c>
    </row>
    <row r="622">
      <c r="A622" s="37" t="n">
        <v>46291</v>
      </c>
      <c r="B622" s="38" t="inlineStr">
        <is>
          <t>Gold Coast</t>
        </is>
      </c>
      <c r="C622" s="15" t="n">
        <v>8</v>
      </c>
      <c r="D622" s="15" t="n">
        <v>6</v>
      </c>
      <c r="E622" s="14" t="inlineStr">
        <is>
          <t>Zavega</t>
        </is>
      </c>
      <c r="F622" s="43" t="inlineStr">
        <is>
          <t>Lay</t>
        </is>
      </c>
      <c r="G622" s="47" t="inlineStr">
        <is>
          <t>Lay</t>
        </is>
      </c>
      <c r="H622" s="41" t="n">
        <v>4.1</v>
      </c>
      <c r="I622" s="41" t="n">
        <v>2.6</v>
      </c>
      <c r="J622" s="16" t="n">
        <v>-0.065</v>
      </c>
      <c r="K622" s="42" t="n">
        <v>1</v>
      </c>
      <c r="L622" s="15" t="n">
        <v>1</v>
      </c>
      <c r="M622" s="43" t="inlineStr">
        <is>
          <t>Loss</t>
        </is>
      </c>
      <c r="N622" s="17">
        <f>IF(M622="Win",IF(F622="Bet",(I622-1)*K622,K622),IF(M622="Loss",IF(F622="Bet",-K622,-(I622-1)*K622),IF(M622="Void",0,"")))</f>
        <v/>
      </c>
      <c r="O622" s="18">
        <f>IF(OR(M622="Win",M622="Loss"),IF(F622="Bet",K622,(I622-1)*K622),"")</f>
        <v/>
      </c>
    </row>
    <row r="623">
      <c r="A623" s="44" t="n">
        <v>46291</v>
      </c>
      <c r="B623" s="45" t="inlineStr">
        <is>
          <t>Toowoomba</t>
        </is>
      </c>
      <c r="C623" s="21" t="n">
        <v>6</v>
      </c>
      <c r="D623" s="21" t="n">
        <v>6</v>
      </c>
      <c r="E623" s="20" t="inlineStr">
        <is>
          <t>Estrondo</t>
        </is>
      </c>
      <c r="F623" s="52" t="inlineStr">
        <is>
          <t>Bet</t>
        </is>
      </c>
      <c r="G623" s="40" t="inlineStr">
        <is>
          <t>Bet</t>
        </is>
      </c>
      <c r="H623" s="48" t="n">
        <v>7.5</v>
      </c>
      <c r="I623" s="48" t="n">
        <v>9</v>
      </c>
      <c r="J623" s="22" t="n">
        <v>0.0215</v>
      </c>
      <c r="K623" s="49" t="n">
        <v>1</v>
      </c>
      <c r="L623" s="21" t="n">
        <v>8</v>
      </c>
      <c r="M623" s="46" t="inlineStr">
        <is>
          <t>Loss</t>
        </is>
      </c>
      <c r="N623" s="23">
        <f>IF(M623="Win",IF(F623="Bet",(I623-1)*K623,K623),IF(M623="Loss",IF(F623="Bet",-K623,-(I623-1)*K623),IF(M623="Void",0,"")))</f>
        <v/>
      </c>
      <c r="O623" s="24">
        <f>IF(OR(M623="Win",M623="Loss"),IF(F623="Bet",K623,(I623-1)*K623),"")</f>
        <v/>
      </c>
    </row>
    <row r="624">
      <c r="A624" s="37" t="n">
        <v>46291</v>
      </c>
      <c r="B624" s="38" t="inlineStr">
        <is>
          <t>Mingenew</t>
        </is>
      </c>
      <c r="C624" s="15" t="n">
        <v>4</v>
      </c>
      <c r="D624" s="15" t="n">
        <v>6</v>
      </c>
      <c r="E624" s="14" t="inlineStr">
        <is>
          <t>State Of Fury</t>
        </is>
      </c>
      <c r="F624" s="43" t="inlineStr">
        <is>
          <t>Lay</t>
        </is>
      </c>
      <c r="G624" s="47" t="inlineStr">
        <is>
          <t>Lay</t>
        </is>
      </c>
      <c r="H624" s="41" t="n">
        <v>7</v>
      </c>
      <c r="I624" s="41" t="n">
        <v>4.6</v>
      </c>
      <c r="J624" s="16" t="n">
        <v>-0.0653</v>
      </c>
      <c r="K624" s="42" t="n">
        <v>1</v>
      </c>
      <c r="L624" s="15" t="n">
        <v>2</v>
      </c>
      <c r="M624" s="51" t="inlineStr">
        <is>
          <t>Win</t>
        </is>
      </c>
      <c r="N624" s="17">
        <f>IF(M624="Win",IF(F624="Bet",(I624-1)*K624,K624),IF(M624="Loss",IF(F624="Bet",-K624,-(I624-1)*K624),IF(M624="Void",0,"")))</f>
        <v/>
      </c>
      <c r="O624" s="18">
        <f>IF(OR(M624="Win",M624="Loss"),IF(F624="Bet",K624,(I624-1)*K624),"")</f>
        <v/>
      </c>
    </row>
    <row r="625">
      <c r="A625" s="44" t="n">
        <v>46291</v>
      </c>
      <c r="B625" s="45" t="inlineStr">
        <is>
          <t>Kembla Grange</t>
        </is>
      </c>
      <c r="C625" s="21" t="n">
        <v>8</v>
      </c>
      <c r="D625" s="21" t="n">
        <v>6</v>
      </c>
      <c r="E625" s="20" t="inlineStr">
        <is>
          <t>Peleus</t>
        </is>
      </c>
      <c r="F625" s="46" t="inlineStr">
        <is>
          <t>Lay</t>
        </is>
      </c>
      <c r="G625" s="47" t="inlineStr">
        <is>
          <t>Lay</t>
        </is>
      </c>
      <c r="H625" s="48" t="n">
        <v>4.6</v>
      </c>
      <c r="I625" s="48" t="n">
        <v>3.45</v>
      </c>
      <c r="J625" s="22" t="n">
        <v>-0.07049999999999999</v>
      </c>
      <c r="K625" s="49" t="n">
        <v>1</v>
      </c>
      <c r="L625" s="21" t="n">
        <v>1</v>
      </c>
      <c r="M625" s="46" t="inlineStr">
        <is>
          <t>Loss</t>
        </is>
      </c>
      <c r="N625" s="23">
        <f>IF(M625="Win",IF(F625="Bet",(I625-1)*K625,K625),IF(M625="Loss",IF(F625="Bet",-K625,-(I625-1)*K625),IF(M625="Void",0,"")))</f>
        <v/>
      </c>
      <c r="O625" s="24">
        <f>IF(OR(M625="Win",M625="Loss"),IF(F625="Bet",K625,(I625-1)*K625),"")</f>
        <v/>
      </c>
    </row>
    <row r="626">
      <c r="A626" s="37" t="n">
        <v>46291</v>
      </c>
      <c r="B626" s="38" t="inlineStr">
        <is>
          <t>Mingenew</t>
        </is>
      </c>
      <c r="C626" s="15" t="n">
        <v>3</v>
      </c>
      <c r="D626" s="15" t="n">
        <v>5</v>
      </c>
      <c r="E626" s="14" t="inlineStr">
        <is>
          <t>Addictive Dream</t>
        </is>
      </c>
      <c r="F626" s="39" t="inlineStr">
        <is>
          <t>Bet</t>
        </is>
      </c>
      <c r="G626" s="40" t="inlineStr">
        <is>
          <t>Bet</t>
        </is>
      </c>
      <c r="H626" s="41" t="n">
        <v>5.7</v>
      </c>
      <c r="I626" s="41" t="n">
        <v>8.19</v>
      </c>
      <c r="J626" s="16" t="n">
        <v>0.022</v>
      </c>
      <c r="K626" s="42" t="n">
        <v>1</v>
      </c>
      <c r="L626" s="15" t="n">
        <v>1</v>
      </c>
      <c r="M626" s="51" t="inlineStr">
        <is>
          <t>Win</t>
        </is>
      </c>
      <c r="N626" s="17">
        <f>IF(M626="Win",IF(F626="Bet",(I626-1)*K626,K626),IF(M626="Loss",IF(F626="Bet",-K626,-(I626-1)*K626),IF(M626="Void",0,"")))</f>
        <v/>
      </c>
      <c r="O626" s="18">
        <f>IF(OR(M626="Win",M626="Loss"),IF(F626="Bet",K626,(I626-1)*K626),"")</f>
        <v/>
      </c>
    </row>
    <row r="627">
      <c r="A627" s="44" t="n">
        <v>46291</v>
      </c>
      <c r="B627" s="45" t="inlineStr">
        <is>
          <t>Murray Bridge</t>
        </is>
      </c>
      <c r="C627" s="21" t="n">
        <v>8</v>
      </c>
      <c r="D627" s="21" t="n">
        <v>14</v>
      </c>
      <c r="E627" s="20" t="inlineStr">
        <is>
          <t>Daisydoo</t>
        </is>
      </c>
      <c r="F627" s="46" t="inlineStr">
        <is>
          <t>Lay</t>
        </is>
      </c>
      <c r="G627" s="47" t="inlineStr">
        <is>
          <t>Lay</t>
        </is>
      </c>
      <c r="H627" s="48" t="n">
        <v>5.7</v>
      </c>
      <c r="I627" s="48" t="n">
        <v>3.6</v>
      </c>
      <c r="J627" s="22" t="n">
        <v>-0.09429999999999999</v>
      </c>
      <c r="K627" s="49" t="n">
        <v>1</v>
      </c>
      <c r="L627" s="21" t="n">
        <v>8</v>
      </c>
      <c r="M627" s="50" t="inlineStr">
        <is>
          <t>Win</t>
        </is>
      </c>
      <c r="N627" s="23">
        <f>IF(M627="Win",IF(F627="Bet",(I627-1)*K627,K627),IF(M627="Loss",IF(F627="Bet",-K627,-(I627-1)*K627),IF(M627="Void",0,"")))</f>
        <v/>
      </c>
      <c r="O627" s="24">
        <f>IF(OR(M627="Win",M627="Loss"),IF(F627="Bet",K627,(I627-1)*K627),"")</f>
        <v/>
      </c>
    </row>
    <row r="628">
      <c r="A628" s="37" t="n">
        <v>46291</v>
      </c>
      <c r="B628" s="38" t="inlineStr">
        <is>
          <t>Mingenew</t>
        </is>
      </c>
      <c r="C628" s="15" t="n">
        <v>5</v>
      </c>
      <c r="D628" s="15" t="n">
        <v>1</v>
      </c>
      <c r="E628" s="14" t="inlineStr">
        <is>
          <t>Hard Questions</t>
        </is>
      </c>
      <c r="F628" s="39" t="inlineStr">
        <is>
          <t>Bet</t>
        </is>
      </c>
      <c r="G628" s="53" t="inlineStr">
        <is>
          <t>Prime</t>
        </is>
      </c>
      <c r="H628" s="41" t="n">
        <v>2.25</v>
      </c>
      <c r="I628" s="41" t="n">
        <v>3.16</v>
      </c>
      <c r="J628" s="16" t="n">
        <v>0.0351</v>
      </c>
      <c r="K628" s="42" t="n">
        <v>1</v>
      </c>
      <c r="L628" s="15" t="n">
        <v>1</v>
      </c>
      <c r="M628" s="51" t="inlineStr">
        <is>
          <t>Win</t>
        </is>
      </c>
      <c r="N628" s="17">
        <f>IF(M628="Win",IF(F628="Bet",(I628-1)*K628,K628),IF(M628="Loss",IF(F628="Bet",-K628,-(I628-1)*K628),IF(M628="Void",0,"")))</f>
        <v/>
      </c>
      <c r="O628" s="18">
        <f>IF(OR(M628="Win",M628="Loss"),IF(F628="Bet",K628,(I628-1)*K628),"")</f>
        <v/>
      </c>
    </row>
    <row r="629">
      <c r="A629" s="44" t="n">
        <v>46291</v>
      </c>
      <c r="B629" s="45" t="inlineStr">
        <is>
          <t>Belmont</t>
        </is>
      </c>
      <c r="C629" s="21" t="n">
        <v>8</v>
      </c>
      <c r="D629" s="21" t="n">
        <v>3</v>
      </c>
      <c r="E629" s="20" t="inlineStr">
        <is>
          <t>Streak Of God</t>
        </is>
      </c>
      <c r="F629" s="46" t="inlineStr">
        <is>
          <t>Lay</t>
        </is>
      </c>
      <c r="G629" s="47" t="inlineStr">
        <is>
          <t>Lay</t>
        </is>
      </c>
      <c r="H629" s="48" t="n">
        <v>5.6</v>
      </c>
      <c r="I629" s="48" t="n">
        <v>4.1</v>
      </c>
      <c r="J629" s="22" t="n">
        <v>-0.0643</v>
      </c>
      <c r="K629" s="49" t="n">
        <v>1</v>
      </c>
      <c r="L629" s="21" t="n">
        <v>1</v>
      </c>
      <c r="M629" s="46" t="inlineStr">
        <is>
          <t>Loss</t>
        </is>
      </c>
      <c r="N629" s="23">
        <f>IF(M629="Win",IF(F629="Bet",(I629-1)*K629,K629),IF(M629="Loss",IF(F629="Bet",-K629,-(I629-1)*K629),IF(M629="Void",0,"")))</f>
        <v/>
      </c>
      <c r="O629" s="24">
        <f>IF(OR(M629="Win",M629="Loss"),IF(F629="Bet",K629,(I629-1)*K629),"")</f>
        <v/>
      </c>
    </row>
    <row r="630">
      <c r="A630" s="37" t="n">
        <v>46291</v>
      </c>
      <c r="B630" s="38" t="inlineStr">
        <is>
          <t>Mingenew</t>
        </is>
      </c>
      <c r="C630" s="15" t="n">
        <v>6</v>
      </c>
      <c r="D630" s="15" t="n">
        <v>1</v>
      </c>
      <c r="E630" s="14" t="inlineStr">
        <is>
          <t>Repeater</t>
        </is>
      </c>
      <c r="F630" s="43" t="inlineStr">
        <is>
          <t>Lay</t>
        </is>
      </c>
      <c r="G630" s="47" t="inlineStr">
        <is>
          <t>Lay</t>
        </is>
      </c>
      <c r="H630" s="41" t="n">
        <v>4.9</v>
      </c>
      <c r="I630" s="41" t="n">
        <v>2.9</v>
      </c>
      <c r="J630" s="16" t="n">
        <v>-0.1026</v>
      </c>
      <c r="K630" s="42" t="n">
        <v>1</v>
      </c>
      <c r="L630" s="15" t="n">
        <v>1</v>
      </c>
      <c r="M630" s="43" t="inlineStr">
        <is>
          <t>Loss</t>
        </is>
      </c>
      <c r="N630" s="17">
        <f>IF(M630="Win",IF(F630="Bet",(I630-1)*K630,K630),IF(M630="Loss",IF(F630="Bet",-K630,-(I630-1)*K630),IF(M630="Void",0,"")))</f>
        <v/>
      </c>
      <c r="O630" s="18">
        <f>IF(OR(M630="Win",M630="Loss"),IF(F630="Bet",K630,(I630-1)*K630),"")</f>
        <v/>
      </c>
    </row>
    <row r="631">
      <c r="A631" s="44" t="n">
        <v>46291</v>
      </c>
      <c r="B631" s="45" t="inlineStr">
        <is>
          <t>Toowoomba</t>
        </is>
      </c>
      <c r="C631" s="21" t="n">
        <v>10</v>
      </c>
      <c r="D631" s="21" t="n">
        <v>2</v>
      </c>
      <c r="E631" s="20" t="inlineStr">
        <is>
          <t>Facundo</t>
        </is>
      </c>
      <c r="F631" s="52" t="inlineStr">
        <is>
          <t>Bet</t>
        </is>
      </c>
      <c r="G631" s="40" t="inlineStr">
        <is>
          <t>Bet</t>
        </is>
      </c>
      <c r="H631" s="48" t="n">
        <v>4.5</v>
      </c>
      <c r="I631" s="48" t="n">
        <v>6.4</v>
      </c>
      <c r="J631" s="22" t="n">
        <v>0.0203</v>
      </c>
      <c r="K631" s="49" t="n">
        <v>1</v>
      </c>
      <c r="L631" s="21" t="n">
        <v>4</v>
      </c>
      <c r="M631" s="46" t="inlineStr">
        <is>
          <t>Loss</t>
        </is>
      </c>
      <c r="N631" s="23">
        <f>IF(M631="Win",IF(F631="Bet",(I631-1)*K631,K631),IF(M631="Loss",IF(F631="Bet",-K631,-(I631-1)*K631),IF(M631="Void",0,"")))</f>
        <v/>
      </c>
      <c r="O631" s="24">
        <f>IF(OR(M631="Win",M631="Loss"),IF(F631="Bet",K631,(I631-1)*K631),"")</f>
        <v/>
      </c>
    </row>
    <row r="632">
      <c r="A632" s="37" t="n">
        <v>46291</v>
      </c>
      <c r="B632" s="38" t="inlineStr">
        <is>
          <t>Toowoomba</t>
        </is>
      </c>
      <c r="C632" s="15" t="n">
        <v>10</v>
      </c>
      <c r="D632" s="15" t="n">
        <v>12</v>
      </c>
      <c r="E632" s="14" t="inlineStr">
        <is>
          <t>Sir Winnie</t>
        </is>
      </c>
      <c r="F632" s="43" t="inlineStr">
        <is>
          <t>Lay</t>
        </is>
      </c>
      <c r="G632" s="47" t="inlineStr">
        <is>
          <t>Lay</t>
        </is>
      </c>
      <c r="H632" s="41" t="n">
        <v>4.1</v>
      </c>
      <c r="I632" s="41" t="n">
        <v>3.15</v>
      </c>
      <c r="J632" s="16" t="n">
        <v>-0.06859999999999999</v>
      </c>
      <c r="K632" s="42" t="n">
        <v>1</v>
      </c>
      <c r="L632" s="15" t="n">
        <v>2</v>
      </c>
      <c r="M632" s="51" t="inlineStr">
        <is>
          <t>Win</t>
        </is>
      </c>
      <c r="N632" s="17">
        <f>IF(M632="Win",IF(F632="Bet",(I632-1)*K632,K632),IF(M632="Loss",IF(F632="Bet",-K632,-(I632-1)*K632),IF(M632="Void",0,"")))</f>
        <v/>
      </c>
      <c r="O632" s="18">
        <f>IF(OR(M632="Win",M632="Loss"),IF(F632="Bet",K632,(I632-1)*K632),"")</f>
        <v/>
      </c>
    </row>
    <row r="633">
      <c r="A633" s="44" t="n">
        <v>46292</v>
      </c>
      <c r="B633" s="45" t="inlineStr">
        <is>
          <t>Dubbo</t>
        </is>
      </c>
      <c r="C633" s="21" t="n">
        <v>5</v>
      </c>
      <c r="D633" s="21" t="n">
        <v>5</v>
      </c>
      <c r="E633" s="20" t="inlineStr">
        <is>
          <t>Questionable</t>
        </is>
      </c>
      <c r="F633" s="46" t="inlineStr">
        <is>
          <t>Lay</t>
        </is>
      </c>
      <c r="G633" s="47" t="inlineStr">
        <is>
          <t>Lay</t>
        </is>
      </c>
      <c r="H633" s="48" t="n">
        <v>4.1</v>
      </c>
      <c r="I633" s="48" t="n">
        <v>2.14</v>
      </c>
      <c r="J633" s="22" t="n">
        <v>-0.06610000000000001</v>
      </c>
      <c r="K633" s="49" t="n">
        <v>1</v>
      </c>
      <c r="L633" s="21" t="n">
        <v>3</v>
      </c>
      <c r="M633" s="50" t="inlineStr">
        <is>
          <t>Win</t>
        </is>
      </c>
      <c r="N633" s="23">
        <f>IF(M633="Win",IF(F633="Bet",(I633-1)*K633,K633),IF(M633="Loss",IF(F633="Bet",-K633,-(I633-1)*K633),IF(M633="Void",0,"")))</f>
        <v/>
      </c>
      <c r="O633" s="24">
        <f>IF(OR(M633="Win",M633="Loss"),IF(F633="Bet",K633,(I633-1)*K633),"")</f>
        <v/>
      </c>
    </row>
    <row r="634">
      <c r="A634" s="37" t="n">
        <v>46292</v>
      </c>
      <c r="B634" s="38" t="inlineStr">
        <is>
          <t>Caulfield</t>
        </is>
      </c>
      <c r="C634" s="15" t="n">
        <v>2</v>
      </c>
      <c r="D634" s="15" t="n">
        <v>4</v>
      </c>
      <c r="E634" s="14" t="inlineStr">
        <is>
          <t>Pretty Baby</t>
        </is>
      </c>
      <c r="F634" s="39" t="inlineStr">
        <is>
          <t>Bet</t>
        </is>
      </c>
      <c r="G634" s="40" t="inlineStr">
        <is>
          <t>Bet</t>
        </is>
      </c>
      <c r="H634" s="41" t="n">
        <v>1.95</v>
      </c>
      <c r="I634" s="41" t="n">
        <v>2.5</v>
      </c>
      <c r="J634" s="16" t="n">
        <v>0.0228</v>
      </c>
      <c r="K634" s="42" t="n">
        <v>1</v>
      </c>
      <c r="L634" s="15" t="n">
        <v>2</v>
      </c>
      <c r="M634" s="43" t="inlineStr">
        <is>
          <t>Loss</t>
        </is>
      </c>
      <c r="N634" s="17">
        <f>IF(M634="Win",IF(F634="Bet",(I634-1)*K634,K634),IF(M634="Loss",IF(F634="Bet",-K634,-(I634-1)*K634),IF(M634="Void",0,"")))</f>
        <v/>
      </c>
      <c r="O634" s="18">
        <f>IF(OR(M634="Win",M634="Loss"),IF(F634="Bet",K634,(I634-1)*K634),"")</f>
        <v/>
      </c>
    </row>
    <row r="635">
      <c r="A635" s="44" t="n">
        <v>46292</v>
      </c>
      <c r="B635" s="45" t="inlineStr">
        <is>
          <t>Caulfield</t>
        </is>
      </c>
      <c r="C635" s="21" t="n">
        <v>6</v>
      </c>
      <c r="D635" s="21" t="n">
        <v>10</v>
      </c>
      <c r="E635" s="20" t="inlineStr">
        <is>
          <t>Lara Antipova</t>
        </is>
      </c>
      <c r="F635" s="52" t="inlineStr">
        <is>
          <t>Bet</t>
        </is>
      </c>
      <c r="G635" s="53" t="inlineStr">
        <is>
          <t>Prime</t>
        </is>
      </c>
      <c r="H635" s="48" t="n">
        <v>2.55</v>
      </c>
      <c r="I635" s="48" t="n">
        <v>3.2</v>
      </c>
      <c r="J635" s="22" t="n">
        <v>0.0349</v>
      </c>
      <c r="K635" s="49" t="n">
        <v>1</v>
      </c>
      <c r="L635" s="21" t="n">
        <v>4</v>
      </c>
      <c r="M635" s="46" t="inlineStr">
        <is>
          <t>Loss</t>
        </is>
      </c>
      <c r="N635" s="23">
        <f>IF(M635="Win",IF(F635="Bet",(I635-1)*K635,K635),IF(M635="Loss",IF(F635="Bet",-K635,-(I635-1)*K635),IF(M635="Void",0,"")))</f>
        <v/>
      </c>
      <c r="O635" s="24">
        <f>IF(OR(M635="Win",M635="Loss"),IF(F635="Bet",K635,(I635-1)*K635),"")</f>
        <v/>
      </c>
    </row>
    <row r="636">
      <c r="A636" s="37" t="n">
        <v>46292</v>
      </c>
      <c r="B636" s="38" t="inlineStr">
        <is>
          <t>Caulfield</t>
        </is>
      </c>
      <c r="C636" s="15" t="n">
        <v>5</v>
      </c>
      <c r="D636" s="15" t="n">
        <v>5</v>
      </c>
      <c r="E636" s="14" t="inlineStr">
        <is>
          <t>Pride Of Jenni</t>
        </is>
      </c>
      <c r="F636" s="43" t="inlineStr">
        <is>
          <t>Lay</t>
        </is>
      </c>
      <c r="G636" s="47" t="inlineStr">
        <is>
          <t>Lay</t>
        </is>
      </c>
      <c r="H636" s="41" t="n">
        <v>2.5</v>
      </c>
      <c r="I636" s="41" t="n">
        <v>1.89</v>
      </c>
      <c r="J636" s="16" t="n">
        <v>-0.0678</v>
      </c>
      <c r="K636" s="42" t="n">
        <v>1</v>
      </c>
      <c r="L636" s="15" t="n">
        <v>1</v>
      </c>
      <c r="M636" s="43" t="inlineStr">
        <is>
          <t>Loss</t>
        </is>
      </c>
      <c r="N636" s="17">
        <f>IF(M636="Win",IF(F636="Bet",(I636-1)*K636,K636),IF(M636="Loss",IF(F636="Bet",-K636,-(I636-1)*K636),IF(M636="Void",0,"")))</f>
        <v/>
      </c>
      <c r="O636" s="18">
        <f>IF(OR(M636="Win",M636="Loss"),IF(F636="Bet",K636,(I636-1)*K636),"")</f>
        <v/>
      </c>
    </row>
    <row r="637">
      <c r="A637" s="44" t="n">
        <v>46292</v>
      </c>
      <c r="B637" s="45" t="inlineStr">
        <is>
          <t>Port Macquarie</t>
        </is>
      </c>
      <c r="C637" s="21" t="n">
        <v>2</v>
      </c>
      <c r="D637" s="21" t="n">
        <v>2</v>
      </c>
      <c r="E637" s="20" t="inlineStr">
        <is>
          <t>Triple Yes</t>
        </is>
      </c>
      <c r="F637" s="46" t="inlineStr">
        <is>
          <t>Lay</t>
        </is>
      </c>
      <c r="G637" s="47" t="inlineStr">
        <is>
          <t>Lay</t>
        </is>
      </c>
      <c r="H637" s="48" t="n">
        <v>2.55</v>
      </c>
      <c r="I637" s="48" t="n">
        <v>2.08</v>
      </c>
      <c r="J637" s="22" t="n">
        <v>-0.0635</v>
      </c>
      <c r="K637" s="49" t="n">
        <v>1</v>
      </c>
      <c r="L637" s="21" t="n">
        <v>1</v>
      </c>
      <c r="M637" s="46" t="inlineStr">
        <is>
          <t>Loss</t>
        </is>
      </c>
      <c r="N637" s="23">
        <f>IF(M637="Win",IF(F637="Bet",(I637-1)*K637,K637),IF(M637="Loss",IF(F637="Bet",-K637,-(I637-1)*K637),IF(M637="Void",0,"")))</f>
        <v/>
      </c>
      <c r="O637" s="24">
        <f>IF(OR(M637="Win",M637="Loss"),IF(F637="Bet",K637,(I637-1)*K637),"")</f>
        <v/>
      </c>
    </row>
    <row r="638">
      <c r="A638" s="37" t="n">
        <v>46292</v>
      </c>
      <c r="B638" s="38" t="inlineStr">
        <is>
          <t>Sunshine Coast</t>
        </is>
      </c>
      <c r="C638" s="15" t="n">
        <v>1</v>
      </c>
      <c r="D638" s="15" t="n">
        <v>6</v>
      </c>
      <c r="E638" s="14" t="inlineStr">
        <is>
          <t>Highland Kitty</t>
        </is>
      </c>
      <c r="F638" s="39" t="inlineStr">
        <is>
          <t>Bet</t>
        </is>
      </c>
      <c r="G638" s="53" t="inlineStr">
        <is>
          <t>Prime</t>
        </is>
      </c>
      <c r="H638" s="41" t="n">
        <v>1.6</v>
      </c>
      <c r="I638" s="41" t="n">
        <v>2.42</v>
      </c>
      <c r="J638" s="16" t="n">
        <v>0.0441</v>
      </c>
      <c r="K638" s="42" t="n">
        <v>1</v>
      </c>
      <c r="L638" s="15" t="n">
        <v>2</v>
      </c>
      <c r="M638" s="43" t="inlineStr">
        <is>
          <t>Loss</t>
        </is>
      </c>
      <c r="N638" s="17">
        <f>IF(M638="Win",IF(F638="Bet",(I638-1)*K638,K638),IF(M638="Loss",IF(F638="Bet",-K638,-(I638-1)*K638),IF(M638="Void",0,"")))</f>
        <v/>
      </c>
      <c r="O638" s="18">
        <f>IF(OR(M638="Win",M638="Loss"),IF(F638="Bet",K638,(I638-1)*K638),"")</f>
        <v/>
      </c>
    </row>
    <row r="639">
      <c r="A639" s="44" t="n">
        <v>46292</v>
      </c>
      <c r="B639" s="45" t="inlineStr">
        <is>
          <t>Caulfield</t>
        </is>
      </c>
      <c r="C639" s="21" t="n">
        <v>6</v>
      </c>
      <c r="D639" s="21" t="n">
        <v>1</v>
      </c>
      <c r="E639" s="20" t="inlineStr">
        <is>
          <t>Diameter</t>
        </is>
      </c>
      <c r="F639" s="46" t="inlineStr">
        <is>
          <t>Lay</t>
        </is>
      </c>
      <c r="G639" s="47" t="inlineStr">
        <is>
          <t>Lay</t>
        </is>
      </c>
      <c r="H639" s="48" t="n">
        <v>4.3</v>
      </c>
      <c r="I639" s="48" t="n">
        <v>2.88</v>
      </c>
      <c r="J639" s="22" t="n">
        <v>-0.0726</v>
      </c>
      <c r="K639" s="49" t="n">
        <v>1</v>
      </c>
      <c r="L639" s="21" t="n">
        <v>1</v>
      </c>
      <c r="M639" s="46" t="inlineStr">
        <is>
          <t>Loss</t>
        </is>
      </c>
      <c r="N639" s="23">
        <f>IF(M639="Win",IF(F639="Bet",(I639-1)*K639,K639),IF(M639="Loss",IF(F639="Bet",-K639,-(I639-1)*K639),IF(M639="Void",0,"")))</f>
        <v/>
      </c>
      <c r="O639" s="24">
        <f>IF(OR(M639="Win",M639="Loss"),IF(F639="Bet",K639,(I639-1)*K639),"")</f>
        <v/>
      </c>
    </row>
    <row r="640">
      <c r="A640" s="37" t="n">
        <v>46292</v>
      </c>
      <c r="B640" s="38" t="inlineStr">
        <is>
          <t>Dubbo</t>
        </is>
      </c>
      <c r="C640" s="15" t="n">
        <v>7</v>
      </c>
      <c r="D640" s="15" t="n">
        <v>5</v>
      </c>
      <c r="E640" s="14" t="inlineStr">
        <is>
          <t>Marvel Man</t>
        </is>
      </c>
      <c r="F640" s="39" t="inlineStr">
        <is>
          <t>Bet</t>
        </is>
      </c>
      <c r="G640" s="40" t="inlineStr">
        <is>
          <t>Bet</t>
        </is>
      </c>
      <c r="H640" s="41" t="n">
        <v>5.8</v>
      </c>
      <c r="I640" s="41" t="n">
        <v>7</v>
      </c>
      <c r="J640" s="16" t="n">
        <v>0.02</v>
      </c>
      <c r="K640" s="42" t="n">
        <v>1</v>
      </c>
      <c r="L640" s="15" t="n">
        <v>4</v>
      </c>
      <c r="M640" s="43" t="inlineStr">
        <is>
          <t>Loss</t>
        </is>
      </c>
      <c r="N640" s="17">
        <f>IF(M640="Win",IF(F640="Bet",(I640-1)*K640,K640),IF(M640="Loss",IF(F640="Bet",-K640,-(I640-1)*K640),IF(M640="Void",0,"")))</f>
        <v/>
      </c>
      <c r="O640" s="18">
        <f>IF(OR(M640="Win",M640="Loss"),IF(F640="Bet",K640,(I640-1)*K640),"")</f>
        <v/>
      </c>
    </row>
    <row r="641">
      <c r="A641" s="44" t="n">
        <v>46292</v>
      </c>
      <c r="B641" s="45" t="inlineStr">
        <is>
          <t>Sunshine Coast</t>
        </is>
      </c>
      <c r="C641" s="21" t="n">
        <v>5</v>
      </c>
      <c r="D641" s="21" t="n">
        <v>3</v>
      </c>
      <c r="E641" s="20" t="inlineStr">
        <is>
          <t>Prochester</t>
        </is>
      </c>
      <c r="F641" s="46" t="inlineStr">
        <is>
          <t>Lay</t>
        </is>
      </c>
      <c r="G641" s="47" t="inlineStr">
        <is>
          <t>Lay</t>
        </is>
      </c>
      <c r="H641" s="48" t="n">
        <v>3.8</v>
      </c>
      <c r="I641" s="48" t="n">
        <v>1.92</v>
      </c>
      <c r="J641" s="22" t="n">
        <v>-0.1132</v>
      </c>
      <c r="K641" s="49" t="n">
        <v>1</v>
      </c>
      <c r="L641" s="21" t="n">
        <v>1</v>
      </c>
      <c r="M641" s="46" t="inlineStr">
        <is>
          <t>Loss</t>
        </is>
      </c>
      <c r="N641" s="23">
        <f>IF(M641="Win",IF(F641="Bet",(I641-1)*K641,K641),IF(M641="Loss",IF(F641="Bet",-K641,-(I641-1)*K641),IF(M641="Void",0,"")))</f>
        <v/>
      </c>
      <c r="O641" s="24">
        <f>IF(OR(M641="Win",M641="Loss"),IF(F641="Bet",K641,(I641-1)*K641),"")</f>
        <v/>
      </c>
    </row>
    <row r="642">
      <c r="A642" s="37" t="n">
        <v>46292</v>
      </c>
      <c r="B642" s="38" t="inlineStr">
        <is>
          <t>Caulfield</t>
        </is>
      </c>
      <c r="C642" s="15" t="n">
        <v>7</v>
      </c>
      <c r="D642" s="15" t="n">
        <v>1</v>
      </c>
      <c r="E642" s="14" t="inlineStr">
        <is>
          <t>Sass Appeal</t>
        </is>
      </c>
      <c r="F642" s="43" t="inlineStr">
        <is>
          <t>Lay</t>
        </is>
      </c>
      <c r="G642" s="47" t="inlineStr">
        <is>
          <t>Lay</t>
        </is>
      </c>
      <c r="H642" s="41" t="n">
        <v>4.2</v>
      </c>
      <c r="I642" s="41" t="n">
        <v>2.36</v>
      </c>
      <c r="J642" s="16" t="n">
        <v>-0.0624</v>
      </c>
      <c r="K642" s="42" t="n">
        <v>1</v>
      </c>
      <c r="L642" s="15" t="n">
        <v>2</v>
      </c>
      <c r="M642" s="51" t="inlineStr">
        <is>
          <t>Win</t>
        </is>
      </c>
      <c r="N642" s="17">
        <f>IF(M642="Win",IF(F642="Bet",(I642-1)*K642,K642),IF(M642="Loss",IF(F642="Bet",-K642,-(I642-1)*K642),IF(M642="Void",0,"")))</f>
        <v/>
      </c>
      <c r="O642" s="18">
        <f>IF(OR(M642="Win",M642="Loss"),IF(F642="Bet",K642,(I642-1)*K642),"")</f>
        <v/>
      </c>
    </row>
    <row r="643">
      <c r="A643" s="44" t="n">
        <v>46292</v>
      </c>
      <c r="B643" s="45" t="inlineStr">
        <is>
          <t>Sunshine Coast</t>
        </is>
      </c>
      <c r="C643" s="21" t="n">
        <v>2</v>
      </c>
      <c r="D643" s="21" t="n">
        <v>1</v>
      </c>
      <c r="E643" s="20" t="inlineStr">
        <is>
          <t>Artistic Endeavour</t>
        </is>
      </c>
      <c r="F643" s="46" t="inlineStr">
        <is>
          <t>Lay</t>
        </is>
      </c>
      <c r="G643" s="47" t="inlineStr">
        <is>
          <t>Lay</t>
        </is>
      </c>
      <c r="H643" s="48" t="n">
        <v>3.6</v>
      </c>
      <c r="I643" s="48" t="n">
        <v>2.56</v>
      </c>
      <c r="J643" s="22" t="n">
        <v>-0.1102</v>
      </c>
      <c r="K643" s="49" t="n">
        <v>1</v>
      </c>
      <c r="L643" s="21" t="n">
        <v>1</v>
      </c>
      <c r="M643" s="46" t="inlineStr">
        <is>
          <t>Loss</t>
        </is>
      </c>
      <c r="N643" s="23">
        <f>IF(M643="Win",IF(F643="Bet",(I643-1)*K643,K643),IF(M643="Loss",IF(F643="Bet",-K643,-(I643-1)*K643),IF(M643="Void",0,"")))</f>
        <v/>
      </c>
      <c r="O643" s="24">
        <f>IF(OR(M643="Win",M643="Loss"),IF(F643="Bet",K643,(I643-1)*K643),"")</f>
        <v/>
      </c>
    </row>
    <row r="644">
      <c r="A644" s="37" t="n">
        <v>46292</v>
      </c>
      <c r="B644" s="38" t="inlineStr">
        <is>
          <t>Dubbo</t>
        </is>
      </c>
      <c r="C644" s="15" t="n">
        <v>9</v>
      </c>
      <c r="D644" s="15" t="n">
        <v>5</v>
      </c>
      <c r="E644" s="14" t="inlineStr">
        <is>
          <t>Montpellier</t>
        </is>
      </c>
      <c r="F644" s="43" t="inlineStr">
        <is>
          <t>Lay</t>
        </is>
      </c>
      <c r="G644" s="47" t="inlineStr">
        <is>
          <t>Lay</t>
        </is>
      </c>
      <c r="H644" s="41" t="n">
        <v>7.1</v>
      </c>
      <c r="I644" s="41" t="n">
        <v>4.6</v>
      </c>
      <c r="J644" s="16" t="n">
        <v>-0.0624</v>
      </c>
      <c r="K644" s="42" t="n">
        <v>1</v>
      </c>
      <c r="L644" s="15" t="n">
        <v>4</v>
      </c>
      <c r="M644" s="51" t="inlineStr">
        <is>
          <t>Win</t>
        </is>
      </c>
      <c r="N644" s="17">
        <f>IF(M644="Win",IF(F644="Bet",(I644-1)*K644,K644),IF(M644="Loss",IF(F644="Bet",-K644,-(I644-1)*K644),IF(M644="Void",0,"")))</f>
        <v/>
      </c>
      <c r="O644" s="18">
        <f>IF(OR(M644="Win",M644="Loss"),IF(F644="Bet",K644,(I644-1)*K644),"")</f>
        <v/>
      </c>
    </row>
    <row r="645">
      <c r="A645" s="44" t="n">
        <v>46292</v>
      </c>
      <c r="B645" s="45" t="inlineStr">
        <is>
          <t>Dubbo</t>
        </is>
      </c>
      <c r="C645" s="21" t="n">
        <v>6</v>
      </c>
      <c r="D645" s="21" t="n">
        <v>5</v>
      </c>
      <c r="E645" s="20" t="inlineStr">
        <is>
          <t>Chamber Of Secrets</t>
        </is>
      </c>
      <c r="F645" s="46" t="inlineStr">
        <is>
          <t>Lay</t>
        </is>
      </c>
      <c r="G645" s="47" t="inlineStr">
        <is>
          <t>Lay</t>
        </is>
      </c>
      <c r="H645" s="48" t="n">
        <v>6.2</v>
      </c>
      <c r="I645" s="48" t="n">
        <v>2.66</v>
      </c>
      <c r="J645" s="22" t="n">
        <v>-0.06560000000000001</v>
      </c>
      <c r="K645" s="49" t="n">
        <v>1</v>
      </c>
      <c r="L645" s="21" t="n">
        <v>4</v>
      </c>
      <c r="M645" s="50" t="inlineStr">
        <is>
          <t>Win</t>
        </is>
      </c>
      <c r="N645" s="23">
        <f>IF(M645="Win",IF(F645="Bet",(I645-1)*K645,K645),IF(M645="Loss",IF(F645="Bet",-K645,-(I645-1)*K645),IF(M645="Void",0,"")))</f>
        <v/>
      </c>
      <c r="O645" s="24">
        <f>IF(OR(M645="Win",M645="Loss"),IF(F645="Bet",K645,(I645-1)*K645),"")</f>
        <v/>
      </c>
    </row>
    <row r="646">
      <c r="A646" s="37" t="n">
        <v>46292</v>
      </c>
      <c r="B646" s="38" t="inlineStr">
        <is>
          <t>Dubbo</t>
        </is>
      </c>
      <c r="C646" s="15" t="n">
        <v>3</v>
      </c>
      <c r="D646" s="15" t="n">
        <v>8</v>
      </c>
      <c r="E646" s="14" t="inlineStr">
        <is>
          <t>Miss Maverick</t>
        </is>
      </c>
      <c r="F646" s="43" t="inlineStr">
        <is>
          <t>Lay</t>
        </is>
      </c>
      <c r="G646" s="47" t="inlineStr">
        <is>
          <t>Lay</t>
        </is>
      </c>
      <c r="H646" s="41" t="n">
        <v>7</v>
      </c>
      <c r="I646" s="41" t="n">
        <v>4.1</v>
      </c>
      <c r="J646" s="16" t="n">
        <v>-0.0698</v>
      </c>
      <c r="K646" s="42" t="n">
        <v>1</v>
      </c>
      <c r="L646" s="15" t="n">
        <v>8</v>
      </c>
      <c r="M646" s="51" t="inlineStr">
        <is>
          <t>Win</t>
        </is>
      </c>
      <c r="N646" s="17">
        <f>IF(M646="Win",IF(F646="Bet",(I646-1)*K646,K646),IF(M646="Loss",IF(F646="Bet",-K646,-(I646-1)*K646),IF(M646="Void",0,"")))</f>
        <v/>
      </c>
      <c r="O646" s="18">
        <f>IF(OR(M646="Win",M646="Loss"),IF(F646="Bet",K646,(I646-1)*K646),"")</f>
        <v/>
      </c>
    </row>
    <row r="647">
      <c r="A647" s="44" t="n">
        <v>46292</v>
      </c>
      <c r="B647" s="45" t="inlineStr">
        <is>
          <t>Toodyay</t>
        </is>
      </c>
      <c r="C647" s="21" t="n">
        <v>4</v>
      </c>
      <c r="D647" s="21" t="n">
        <v>3</v>
      </c>
      <c r="E647" s="20" t="inlineStr">
        <is>
          <t>Catch The Red Eye</t>
        </is>
      </c>
      <c r="F647" s="46" t="inlineStr">
        <is>
          <t>Lay</t>
        </is>
      </c>
      <c r="G647" s="47" t="inlineStr">
        <is>
          <t>Lay</t>
        </is>
      </c>
      <c r="H647" s="48" t="n">
        <v>3.5</v>
      </c>
      <c r="I647" s="48" t="n">
        <v>2.6</v>
      </c>
      <c r="J647" s="22" t="n">
        <v>-0.09619999999999999</v>
      </c>
      <c r="K647" s="49" t="n">
        <v>1</v>
      </c>
      <c r="L647" s="21" t="n"/>
      <c r="M647" s="55" t="inlineStr">
        <is>
          <t>Void</t>
        </is>
      </c>
      <c r="N647" s="23">
        <f>IF(M647="Win",IF(F647="Bet",(I647-1)*K647,K647),IF(M647="Loss",IF(F647="Bet",-K647,-(I647-1)*K647),IF(M647="Void",0,"")))</f>
        <v/>
      </c>
      <c r="O647" s="24">
        <f>IF(OR(M647="Win",M647="Loss"),IF(F647="Bet",K647,(I647-1)*K647),"")</f>
        <v/>
      </c>
    </row>
    <row r="648">
      <c r="A648" s="37" t="n">
        <v>46292</v>
      </c>
      <c r="B648" s="38" t="inlineStr">
        <is>
          <t>Port Macquarie</t>
        </is>
      </c>
      <c r="C648" s="15" t="n">
        <v>3</v>
      </c>
      <c r="D648" s="15" t="n">
        <v>1</v>
      </c>
      <c r="E648" s="14" t="inlineStr">
        <is>
          <t>Purple Haze</t>
        </is>
      </c>
      <c r="F648" s="43" t="inlineStr">
        <is>
          <t>Lay</t>
        </is>
      </c>
      <c r="G648" s="47" t="inlineStr">
        <is>
          <t>Lay</t>
        </is>
      </c>
      <c r="H648" s="41" t="n">
        <v>2.95</v>
      </c>
      <c r="I648" s="41" t="n">
        <v>1.59</v>
      </c>
      <c r="J648" s="16" t="n">
        <v>-0.0624</v>
      </c>
      <c r="K648" s="42" t="n">
        <v>1</v>
      </c>
      <c r="L648" s="15" t="n">
        <v>2</v>
      </c>
      <c r="M648" s="51" t="inlineStr">
        <is>
          <t>Win</t>
        </is>
      </c>
      <c r="N648" s="17">
        <f>IF(M648="Win",IF(F648="Bet",(I648-1)*K648,K648),IF(M648="Loss",IF(F648="Bet",-K648,-(I648-1)*K648),IF(M648="Void",0,"")))</f>
        <v/>
      </c>
      <c r="O648" s="18">
        <f>IF(OR(M648="Win",M648="Loss"),IF(F648="Bet",K648,(I648-1)*K648),"")</f>
        <v/>
      </c>
    </row>
    <row r="649">
      <c r="A649" s="44" t="n">
        <v>46292</v>
      </c>
      <c r="B649" s="45" t="inlineStr">
        <is>
          <t>Caulfield</t>
        </is>
      </c>
      <c r="C649" s="21" t="n">
        <v>3</v>
      </c>
      <c r="D649" s="21" t="n">
        <v>8</v>
      </c>
      <c r="E649" s="20" t="inlineStr">
        <is>
          <t>Suntora</t>
        </is>
      </c>
      <c r="F649" s="46" t="inlineStr">
        <is>
          <t>Lay</t>
        </is>
      </c>
      <c r="G649" s="47" t="inlineStr">
        <is>
          <t>Lay</t>
        </is>
      </c>
      <c r="H649" s="48" t="n">
        <v>8.300000000000001</v>
      </c>
      <c r="I649" s="48" t="n">
        <v>5.5</v>
      </c>
      <c r="J649" s="22" t="n">
        <v>-0.062</v>
      </c>
      <c r="K649" s="49" t="n">
        <v>1</v>
      </c>
      <c r="L649" s="21" t="n">
        <v>8</v>
      </c>
      <c r="M649" s="50" t="inlineStr">
        <is>
          <t>Win</t>
        </is>
      </c>
      <c r="N649" s="23">
        <f>IF(M649="Win",IF(F649="Bet",(I649-1)*K649,K649),IF(M649="Loss",IF(F649="Bet",-K649,-(I649-1)*K649),IF(M649="Void",0,"")))</f>
        <v/>
      </c>
      <c r="O649" s="24">
        <f>IF(OR(M649="Win",M649="Loss"),IF(F649="Bet",K649,(I649-1)*K649),"")</f>
        <v/>
      </c>
    </row>
    <row r="650">
      <c r="A650" s="37" t="n">
        <v>46292</v>
      </c>
      <c r="B650" s="38" t="inlineStr">
        <is>
          <t>Strathalbyn</t>
        </is>
      </c>
      <c r="C650" s="15" t="n">
        <v>7</v>
      </c>
      <c r="D650" s="15" t="n">
        <v>5</v>
      </c>
      <c r="E650" s="14" t="inlineStr">
        <is>
          <t>Or Am I</t>
        </is>
      </c>
      <c r="F650" s="39" t="inlineStr">
        <is>
          <t>Bet</t>
        </is>
      </c>
      <c r="G650" s="40" t="inlineStr">
        <is>
          <t>Bet</t>
        </is>
      </c>
      <c r="H650" s="41" t="n">
        <v>8.9</v>
      </c>
      <c r="I650" s="41" t="n">
        <v>19</v>
      </c>
      <c r="J650" s="16" t="n">
        <v>0.0212</v>
      </c>
      <c r="K650" s="42" t="n">
        <v>1</v>
      </c>
      <c r="L650" s="15" t="n">
        <v>8</v>
      </c>
      <c r="M650" s="43" t="inlineStr">
        <is>
          <t>Loss</t>
        </is>
      </c>
      <c r="N650" s="17">
        <f>IF(M650="Win",IF(F650="Bet",(I650-1)*K650,K650),IF(M650="Loss",IF(F650="Bet",-K650,-(I650-1)*K650),IF(M650="Void",0,"")))</f>
        <v/>
      </c>
      <c r="O650" s="18">
        <f>IF(OR(M650="Win",M650="Loss"),IF(F650="Bet",K650,(I650-1)*K650),"")</f>
        <v/>
      </c>
    </row>
    <row r="651">
      <c r="A651" s="44" t="n">
        <v>46292</v>
      </c>
      <c r="B651" s="45" t="inlineStr">
        <is>
          <t>Strathalbyn</t>
        </is>
      </c>
      <c r="C651" s="21" t="n">
        <v>4</v>
      </c>
      <c r="D651" s="21" t="n">
        <v>2</v>
      </c>
      <c r="E651" s="20" t="inlineStr">
        <is>
          <t>Sacred Chord</t>
        </is>
      </c>
      <c r="F651" s="52" t="inlineStr">
        <is>
          <t>Bet</t>
        </is>
      </c>
      <c r="G651" s="53" t="inlineStr">
        <is>
          <t>Prime</t>
        </is>
      </c>
      <c r="H651" s="48" t="n">
        <v>4.5</v>
      </c>
      <c r="I651" s="48" t="n">
        <v>6.75</v>
      </c>
      <c r="J651" s="22" t="n">
        <v>0.0534</v>
      </c>
      <c r="K651" s="49" t="n">
        <v>1</v>
      </c>
      <c r="L651" s="21" t="n">
        <v>1</v>
      </c>
      <c r="M651" s="50" t="inlineStr">
        <is>
          <t>Win</t>
        </is>
      </c>
      <c r="N651" s="23">
        <f>IF(M651="Win",IF(F651="Bet",(I651-1)*K651,K651),IF(M651="Loss",IF(F651="Bet",-K651,-(I651-1)*K651),IF(M651="Void",0,"")))</f>
        <v/>
      </c>
      <c r="O651" s="24">
        <f>IF(OR(M651="Win",M651="Loss"),IF(F651="Bet",K651,(I651-1)*K651),"")</f>
        <v/>
      </c>
    </row>
    <row r="652">
      <c r="A652" s="37" t="n">
        <v>46292</v>
      </c>
      <c r="B652" s="38" t="inlineStr">
        <is>
          <t>Caulfield</t>
        </is>
      </c>
      <c r="C652" s="15" t="n">
        <v>2</v>
      </c>
      <c r="D652" s="15" t="n">
        <v>10</v>
      </c>
      <c r="E652" s="14" t="inlineStr">
        <is>
          <t>Regal Ambition</t>
        </is>
      </c>
      <c r="F652" s="43" t="inlineStr">
        <is>
          <t>Lay</t>
        </is>
      </c>
      <c r="G652" s="47" t="inlineStr">
        <is>
          <t>Lay</t>
        </is>
      </c>
      <c r="H652" s="41" t="n">
        <v>9.6</v>
      </c>
      <c r="I652" s="41" t="n">
        <v>5.4</v>
      </c>
      <c r="J652" s="16" t="n">
        <v>-0.0629</v>
      </c>
      <c r="K652" s="42" t="n">
        <v>1</v>
      </c>
      <c r="L652" s="15" t="n">
        <v>1</v>
      </c>
      <c r="M652" s="43" t="inlineStr">
        <is>
          <t>Loss</t>
        </is>
      </c>
      <c r="N652" s="17">
        <f>IF(M652="Win",IF(F652="Bet",(I652-1)*K652,K652),IF(M652="Loss",IF(F652="Bet",-K652,-(I652-1)*K652),IF(M652="Void",0,"")))</f>
        <v/>
      </c>
      <c r="O652" s="18">
        <f>IF(OR(M652="Win",M652="Loss"),IF(F652="Bet",K652,(I652-1)*K652),"")</f>
        <v/>
      </c>
    </row>
    <row r="653">
      <c r="A653" s="44" t="n">
        <v>46292</v>
      </c>
      <c r="B653" s="45" t="inlineStr">
        <is>
          <t>Port Macquarie</t>
        </is>
      </c>
      <c r="C653" s="21" t="n">
        <v>5</v>
      </c>
      <c r="D653" s="21" t="n">
        <v>4</v>
      </c>
      <c r="E653" s="20" t="inlineStr">
        <is>
          <t>Newy</t>
        </is>
      </c>
      <c r="F653" s="46" t="inlineStr">
        <is>
          <t>Lay</t>
        </is>
      </c>
      <c r="G653" s="47" t="inlineStr">
        <is>
          <t>Lay</t>
        </is>
      </c>
      <c r="H653" s="48" t="n">
        <v>3.3</v>
      </c>
      <c r="I653" s="48" t="n">
        <v>2.04</v>
      </c>
      <c r="J653" s="22" t="n">
        <v>-0.08119999999999999</v>
      </c>
      <c r="K653" s="49" t="n">
        <v>1</v>
      </c>
      <c r="L653" s="21" t="n">
        <v>1</v>
      </c>
      <c r="M653" s="46" t="inlineStr">
        <is>
          <t>Loss</t>
        </is>
      </c>
      <c r="N653" s="23">
        <f>IF(M653="Win",IF(F653="Bet",(I653-1)*K653,K653),IF(M653="Loss",IF(F653="Bet",-K653,-(I653-1)*K653),IF(M653="Void",0,"")))</f>
        <v/>
      </c>
      <c r="O653" s="24">
        <f>IF(OR(M653="Win",M653="Loss"),IF(F653="Bet",K653,(I653-1)*K653),"")</f>
        <v/>
      </c>
    </row>
    <row r="654">
      <c r="A654" s="37" t="n">
        <v>46292</v>
      </c>
      <c r="B654" s="38" t="inlineStr">
        <is>
          <t>Toodyay</t>
        </is>
      </c>
      <c r="C654" s="15" t="n">
        <v>3</v>
      </c>
      <c r="D654" s="15" t="n">
        <v>4</v>
      </c>
      <c r="E654" s="14" t="inlineStr">
        <is>
          <t>Che Figata</t>
        </is>
      </c>
      <c r="F654" s="39" t="inlineStr">
        <is>
          <t>Bet</t>
        </is>
      </c>
      <c r="G654" s="40" t="inlineStr">
        <is>
          <t>Bet</t>
        </is>
      </c>
      <c r="H654" s="41" t="n">
        <v>2.9</v>
      </c>
      <c r="I654" s="41" t="n">
        <v>3.4</v>
      </c>
      <c r="J654" s="16" t="n">
        <v>0.0303</v>
      </c>
      <c r="K654" s="42" t="n">
        <v>1</v>
      </c>
      <c r="L654" s="15" t="n"/>
      <c r="M654" s="54" t="inlineStr">
        <is>
          <t>Void</t>
        </is>
      </c>
      <c r="N654" s="17">
        <f>IF(M654="Win",IF(F654="Bet",(I654-1)*K654,K654),IF(M654="Loss",IF(F654="Bet",-K654,-(I654-1)*K654),IF(M654="Void",0,"")))</f>
        <v/>
      </c>
      <c r="O654" s="18">
        <f>IF(OR(M654="Win",M654="Loss"),IF(F654="Bet",K654,(I654-1)*K654),"")</f>
        <v/>
      </c>
    </row>
    <row r="655">
      <c r="A655" s="44" t="n">
        <v>46292</v>
      </c>
      <c r="B655" s="45" t="inlineStr">
        <is>
          <t>Sunshine Coast</t>
        </is>
      </c>
      <c r="C655" s="21" t="n">
        <v>7</v>
      </c>
      <c r="D655" s="21" t="n">
        <v>2</v>
      </c>
      <c r="E655" s="20" t="inlineStr">
        <is>
          <t>Draw Attention</t>
        </is>
      </c>
      <c r="F655" s="46" t="inlineStr">
        <is>
          <t>Lay</t>
        </is>
      </c>
      <c r="G655" s="47" t="inlineStr">
        <is>
          <t>Lay</t>
        </is>
      </c>
      <c r="H655" s="48" t="n">
        <v>2.55</v>
      </c>
      <c r="I655" s="48" t="n">
        <v>1.7</v>
      </c>
      <c r="J655" s="22" t="n">
        <v>-0.1085</v>
      </c>
      <c r="K655" s="49" t="n">
        <v>1</v>
      </c>
      <c r="L655" s="21" t="n">
        <v>1</v>
      </c>
      <c r="M655" s="46" t="inlineStr">
        <is>
          <t>Loss</t>
        </is>
      </c>
      <c r="N655" s="23">
        <f>IF(M655="Win",IF(F655="Bet",(I655-1)*K655,K655),IF(M655="Loss",IF(F655="Bet",-K655,-(I655-1)*K655),IF(M655="Void",0,"")))</f>
        <v/>
      </c>
      <c r="O655" s="24">
        <f>IF(OR(M655="Win",M655="Loss"),IF(F655="Bet",K655,(I655-1)*K655),"")</f>
        <v/>
      </c>
    </row>
    <row r="656">
      <c r="A656" s="37" t="n">
        <v>46292</v>
      </c>
      <c r="B656" s="38" t="inlineStr">
        <is>
          <t>Dubbo</t>
        </is>
      </c>
      <c r="C656" s="15" t="n">
        <v>8</v>
      </c>
      <c r="D656" s="15" t="n">
        <v>7</v>
      </c>
      <c r="E656" s="14" t="inlineStr">
        <is>
          <t>Where'stheprofit</t>
        </is>
      </c>
      <c r="F656" s="43" t="inlineStr">
        <is>
          <t>Lay</t>
        </is>
      </c>
      <c r="G656" s="47" t="inlineStr">
        <is>
          <t>Lay</t>
        </is>
      </c>
      <c r="H656" s="41" t="n">
        <v>3.3</v>
      </c>
      <c r="I656" s="41" t="n">
        <v>2.48</v>
      </c>
      <c r="J656" s="16" t="n">
        <v>-0.0823</v>
      </c>
      <c r="K656" s="42" t="n">
        <v>1</v>
      </c>
      <c r="L656" s="15" t="n">
        <v>1</v>
      </c>
      <c r="M656" s="43" t="inlineStr">
        <is>
          <t>Loss</t>
        </is>
      </c>
      <c r="N656" s="17">
        <f>IF(M656="Win",IF(F656="Bet",(I656-1)*K656,K656),IF(M656="Loss",IF(F656="Bet",-K656,-(I656-1)*K656),IF(M656="Void",0,"")))</f>
        <v/>
      </c>
      <c r="O656" s="18">
        <f>IF(OR(M656="Win",M656="Loss"),IF(F656="Bet",K656,(I656-1)*K656),"")</f>
        <v/>
      </c>
    </row>
    <row r="657">
      <c r="A657" s="44" t="n">
        <v>46292</v>
      </c>
      <c r="B657" s="45" t="inlineStr">
        <is>
          <t>Dubbo</t>
        </is>
      </c>
      <c r="C657" s="21" t="n">
        <v>10</v>
      </c>
      <c r="D657" s="21" t="n">
        <v>8</v>
      </c>
      <c r="E657" s="20" t="inlineStr">
        <is>
          <t>Jagerschnitzel</t>
        </is>
      </c>
      <c r="F657" s="46" t="inlineStr">
        <is>
          <t>Lay</t>
        </is>
      </c>
      <c r="G657" s="47" t="inlineStr">
        <is>
          <t>Lay</t>
        </is>
      </c>
      <c r="H657" s="48" t="n">
        <v>4.1</v>
      </c>
      <c r="I657" s="48" t="n">
        <v>2.85</v>
      </c>
      <c r="J657" s="22" t="n">
        <v>-0.0939</v>
      </c>
      <c r="K657" s="49" t="n">
        <v>1</v>
      </c>
      <c r="L657" s="21" t="n">
        <v>3</v>
      </c>
      <c r="M657" s="50" t="inlineStr">
        <is>
          <t>Win</t>
        </is>
      </c>
      <c r="N657" s="23">
        <f>IF(M657="Win",IF(F657="Bet",(I657-1)*K657,K657),IF(M657="Loss",IF(F657="Bet",-K657,-(I657-1)*K657),IF(M657="Void",0,"")))</f>
        <v/>
      </c>
      <c r="O657" s="24">
        <f>IF(OR(M657="Win",M657="Loss"),IF(F657="Bet",K657,(I657-1)*K657),"")</f>
        <v/>
      </c>
    </row>
    <row r="658">
      <c r="A658" s="37" t="n">
        <v>46292</v>
      </c>
      <c r="B658" s="38" t="inlineStr">
        <is>
          <t>Strathalbyn</t>
        </is>
      </c>
      <c r="C658" s="15" t="n">
        <v>1</v>
      </c>
      <c r="D658" s="15" t="n">
        <v>11</v>
      </c>
      <c r="E658" s="14" t="inlineStr">
        <is>
          <t>Polar Eyes</t>
        </is>
      </c>
      <c r="F658" s="43" t="inlineStr">
        <is>
          <t>Lay</t>
        </is>
      </c>
      <c r="G658" s="47" t="inlineStr">
        <is>
          <t>Lay</t>
        </is>
      </c>
      <c r="H658" s="41" t="n">
        <v>2.2</v>
      </c>
      <c r="I658" s="41" t="n">
        <v>1.84</v>
      </c>
      <c r="J658" s="16" t="n">
        <v>-0.07000000000000001</v>
      </c>
      <c r="K658" s="42" t="n">
        <v>1</v>
      </c>
      <c r="L658" s="15" t="n">
        <v>2</v>
      </c>
      <c r="M658" s="51" t="inlineStr">
        <is>
          <t>Win</t>
        </is>
      </c>
      <c r="N658" s="17">
        <f>IF(M658="Win",IF(F658="Bet",(I658-1)*K658,K658),IF(M658="Loss",IF(F658="Bet",-K658,-(I658-1)*K658),IF(M658="Void",0,"")))</f>
        <v/>
      </c>
      <c r="O658" s="18">
        <f>IF(OR(M658="Win",M658="Loss"),IF(F658="Bet",K658,(I658-1)*K658),"")</f>
        <v/>
      </c>
    </row>
    <row r="659">
      <c r="A659" s="44" t="n">
        <v>46292</v>
      </c>
      <c r="B659" s="45" t="inlineStr">
        <is>
          <t>Strathalbyn</t>
        </is>
      </c>
      <c r="C659" s="21" t="n">
        <v>3</v>
      </c>
      <c r="D659" s="21" t="n">
        <v>1</v>
      </c>
      <c r="E659" s="20" t="inlineStr">
        <is>
          <t>Justica's Bonus</t>
        </is>
      </c>
      <c r="F659" s="52" t="inlineStr">
        <is>
          <t>Bet</t>
        </is>
      </c>
      <c r="G659" s="40" t="inlineStr">
        <is>
          <t>Bet</t>
        </is>
      </c>
      <c r="H659" s="48" t="n">
        <v>2.55</v>
      </c>
      <c r="I659" s="48" t="n">
        <v>2.7</v>
      </c>
      <c r="J659" s="22" t="n">
        <v>0.0214</v>
      </c>
      <c r="K659" s="49" t="n">
        <v>1</v>
      </c>
      <c r="L659" s="21" t="n">
        <v>7</v>
      </c>
      <c r="M659" s="46" t="inlineStr">
        <is>
          <t>Loss</t>
        </is>
      </c>
      <c r="N659" s="23">
        <f>IF(M659="Win",IF(F659="Bet",(I659-1)*K659,K659),IF(M659="Loss",IF(F659="Bet",-K659,-(I659-1)*K659),IF(M659="Void",0,"")))</f>
        <v/>
      </c>
      <c r="O659" s="24">
        <f>IF(OR(M659="Win",M659="Loss"),IF(F659="Bet",K659,(I659-1)*K659),"")</f>
        <v/>
      </c>
    </row>
    <row r="660">
      <c r="A660" s="37" t="n">
        <v>46292</v>
      </c>
      <c r="B660" s="38" t="inlineStr">
        <is>
          <t>Dubbo</t>
        </is>
      </c>
      <c r="C660" s="15" t="n">
        <v>1</v>
      </c>
      <c r="D660" s="15" t="n">
        <v>7</v>
      </c>
      <c r="E660" s="14" t="inlineStr">
        <is>
          <t>Line Of Law</t>
        </is>
      </c>
      <c r="F660" s="43" t="inlineStr">
        <is>
          <t>Lay</t>
        </is>
      </c>
      <c r="G660" s="47" t="inlineStr">
        <is>
          <t>Lay</t>
        </is>
      </c>
      <c r="H660" s="41" t="n">
        <v>2.15</v>
      </c>
      <c r="I660" s="41" t="n">
        <v>1.55</v>
      </c>
      <c r="J660" s="16" t="n">
        <v>-0.0706</v>
      </c>
      <c r="K660" s="42" t="n">
        <v>1</v>
      </c>
      <c r="L660" s="15" t="n">
        <v>1</v>
      </c>
      <c r="M660" s="43" t="inlineStr">
        <is>
          <t>Loss</t>
        </is>
      </c>
      <c r="N660" s="17">
        <f>IF(M660="Win",IF(F660="Bet",(I660-1)*K660,K660),IF(M660="Loss",IF(F660="Bet",-K660,-(I660-1)*K660),IF(M660="Void",0,"")))</f>
        <v/>
      </c>
      <c r="O660" s="18">
        <f>IF(OR(M660="Win",M660="Loss"),IF(F660="Bet",K660,(I660-1)*K660),"")</f>
        <v/>
      </c>
    </row>
    <row r="661">
      <c r="A661" s="44" t="n">
        <v>46292</v>
      </c>
      <c r="B661" s="45" t="inlineStr">
        <is>
          <t>Sunshine Coast</t>
        </is>
      </c>
      <c r="C661" s="21" t="n">
        <v>1</v>
      </c>
      <c r="D661" s="21" t="n">
        <v>4</v>
      </c>
      <c r="E661" s="20" t="inlineStr">
        <is>
          <t>Desert Angel</t>
        </is>
      </c>
      <c r="F661" s="46" t="inlineStr">
        <is>
          <t>Lay</t>
        </is>
      </c>
      <c r="G661" s="47" t="inlineStr">
        <is>
          <t>Lay</t>
        </is>
      </c>
      <c r="H661" s="48" t="n">
        <v>9.800000000000001</v>
      </c>
      <c r="I661" s="48" t="n">
        <v>5.7</v>
      </c>
      <c r="J661" s="22" t="n">
        <v>-0.07340000000000001</v>
      </c>
      <c r="K661" s="49" t="n">
        <v>1</v>
      </c>
      <c r="L661" s="21" t="n">
        <v>5</v>
      </c>
      <c r="M661" s="50" t="inlineStr">
        <is>
          <t>Win</t>
        </is>
      </c>
      <c r="N661" s="23">
        <f>IF(M661="Win",IF(F661="Bet",(I661-1)*K661,K661),IF(M661="Loss",IF(F661="Bet",-K661,-(I661-1)*K661),IF(M661="Void",0,"")))</f>
        <v/>
      </c>
      <c r="O661" s="24">
        <f>IF(OR(M661="Win",M661="Loss"),IF(F661="Bet",K661,(I661-1)*K661),"")</f>
        <v/>
      </c>
    </row>
    <row r="662">
      <c r="A662" s="37" t="n">
        <v>46292</v>
      </c>
      <c r="B662" s="38" t="inlineStr">
        <is>
          <t>Port Macquarie</t>
        </is>
      </c>
      <c r="C662" s="15" t="n">
        <v>1</v>
      </c>
      <c r="D662" s="15" t="n">
        <v>6</v>
      </c>
      <c r="E662" s="14" t="inlineStr">
        <is>
          <t>Sleuth</t>
        </is>
      </c>
      <c r="F662" s="39" t="inlineStr">
        <is>
          <t>Bet</t>
        </is>
      </c>
      <c r="G662" s="40" t="inlineStr">
        <is>
          <t>Bet</t>
        </is>
      </c>
      <c r="H662" s="41" t="n">
        <v>10.9</v>
      </c>
      <c r="I662" s="41" t="n">
        <v>14</v>
      </c>
      <c r="J662" s="16" t="n">
        <v>0.0205</v>
      </c>
      <c r="K662" s="42" t="n">
        <v>1</v>
      </c>
      <c r="L662" s="15" t="n">
        <v>8</v>
      </c>
      <c r="M662" s="43" t="inlineStr">
        <is>
          <t>Loss</t>
        </is>
      </c>
      <c r="N662" s="17">
        <f>IF(M662="Win",IF(F662="Bet",(I662-1)*K662,K662),IF(M662="Loss",IF(F662="Bet",-K662,-(I662-1)*K662),IF(M662="Void",0,"")))</f>
        <v/>
      </c>
      <c r="O662" s="18">
        <f>IF(OR(M662="Win",M662="Loss"),IF(F662="Bet",K662,(I662-1)*K662),"")</f>
        <v/>
      </c>
    </row>
    <row r="663">
      <c r="A663" s="44" t="n">
        <v>46292</v>
      </c>
      <c r="B663" s="45" t="inlineStr">
        <is>
          <t>Sunshine Coast</t>
        </is>
      </c>
      <c r="C663" s="21" t="n">
        <v>1</v>
      </c>
      <c r="D663" s="21" t="n">
        <v>5</v>
      </c>
      <c r="E663" s="20" t="inlineStr">
        <is>
          <t>Disgruntled</t>
        </is>
      </c>
      <c r="F663" s="46" t="inlineStr">
        <is>
          <t>Lay</t>
        </is>
      </c>
      <c r="G663" s="47" t="inlineStr">
        <is>
          <t>Lay</t>
        </is>
      </c>
      <c r="H663" s="48" t="n">
        <v>8.6</v>
      </c>
      <c r="I663" s="48" t="n">
        <v>5.1</v>
      </c>
      <c r="J663" s="22" t="n">
        <v>-0.07920000000000001</v>
      </c>
      <c r="K663" s="49" t="n">
        <v>1</v>
      </c>
      <c r="L663" s="21" t="n">
        <v>1</v>
      </c>
      <c r="M663" s="46" t="inlineStr">
        <is>
          <t>Loss</t>
        </is>
      </c>
      <c r="N663" s="23">
        <f>IF(M663="Win",IF(F663="Bet",(I663-1)*K663,K663),IF(M663="Loss",IF(F663="Bet",-K663,-(I663-1)*K663),IF(M663="Void",0,"")))</f>
        <v/>
      </c>
      <c r="O663" s="24">
        <f>IF(OR(M663="Win",M663="Loss"),IF(F663="Bet",K663,(I663-1)*K663),"")</f>
        <v/>
      </c>
    </row>
    <row r="664">
      <c r="A664" s="37" t="n">
        <v>46292</v>
      </c>
      <c r="B664" s="38" t="inlineStr">
        <is>
          <t>Strathalbyn</t>
        </is>
      </c>
      <c r="C664" s="15" t="n">
        <v>5</v>
      </c>
      <c r="D664" s="15" t="n">
        <v>3</v>
      </c>
      <c r="E664" s="14" t="inlineStr">
        <is>
          <t>Briseis Eclipse</t>
        </is>
      </c>
      <c r="F664" s="43" t="inlineStr">
        <is>
          <t>Lay</t>
        </is>
      </c>
      <c r="G664" s="47" t="inlineStr">
        <is>
          <t>Lay</t>
        </is>
      </c>
      <c r="H664" s="41" t="n">
        <v>4.5</v>
      </c>
      <c r="I664" s="41" t="n">
        <v>2.84</v>
      </c>
      <c r="J664" s="16" t="n">
        <v>-0.0611</v>
      </c>
      <c r="K664" s="42" t="n">
        <v>1</v>
      </c>
      <c r="L664" s="15" t="n">
        <v>5</v>
      </c>
      <c r="M664" s="51" t="inlineStr">
        <is>
          <t>Win</t>
        </is>
      </c>
      <c r="N664" s="17">
        <f>IF(M664="Win",IF(F664="Bet",(I664-1)*K664,K664),IF(M664="Loss",IF(F664="Bet",-K664,-(I664-1)*K664),IF(M664="Void",0,"")))</f>
        <v/>
      </c>
      <c r="O664" s="18">
        <f>IF(OR(M664="Win",M664="Loss"),IF(F664="Bet",K664,(I664-1)*K664),"")</f>
        <v/>
      </c>
    </row>
    <row r="665">
      <c r="A665" s="44" t="n">
        <v>46292</v>
      </c>
      <c r="B665" s="45" t="inlineStr">
        <is>
          <t>Caulfield</t>
        </is>
      </c>
      <c r="C665" s="21" t="n">
        <v>3</v>
      </c>
      <c r="D665" s="21" t="n">
        <v>4</v>
      </c>
      <c r="E665" s="20" t="inlineStr">
        <is>
          <t>Land Legend</t>
        </is>
      </c>
      <c r="F665" s="52" t="inlineStr">
        <is>
          <t>Bet</t>
        </is>
      </c>
      <c r="G665" s="40" t="inlineStr">
        <is>
          <t>Bet</t>
        </is>
      </c>
      <c r="H665" s="48" t="n">
        <v>10.9</v>
      </c>
      <c r="I665" s="48" t="n">
        <v>14</v>
      </c>
      <c r="J665" s="22" t="n">
        <v>0.02</v>
      </c>
      <c r="K665" s="49" t="n">
        <v>1</v>
      </c>
      <c r="L665" s="21" t="n">
        <v>11</v>
      </c>
      <c r="M665" s="46" t="inlineStr">
        <is>
          <t>Loss</t>
        </is>
      </c>
      <c r="N665" s="23">
        <f>IF(M665="Win",IF(F665="Bet",(I665-1)*K665,K665),IF(M665="Loss",IF(F665="Bet",-K665,-(I665-1)*K665),IF(M665="Void",0,"")))</f>
        <v/>
      </c>
      <c r="O665" s="24">
        <f>IF(OR(M665="Win",M665="Loss"),IF(F665="Bet",K665,(I665-1)*K665),"")</f>
        <v/>
      </c>
    </row>
    <row r="666">
      <c r="A666" s="37" t="n">
        <v>46292</v>
      </c>
      <c r="B666" s="38" t="inlineStr">
        <is>
          <t>Sunshine Coast</t>
        </is>
      </c>
      <c r="C666" s="15" t="n">
        <v>2</v>
      </c>
      <c r="D666" s="15" t="n">
        <v>2</v>
      </c>
      <c r="E666" s="14" t="inlineStr">
        <is>
          <t>Wanted Hillbilly</t>
        </is>
      </c>
      <c r="F666" s="39" t="inlineStr">
        <is>
          <t>Bet</t>
        </is>
      </c>
      <c r="G666" s="40" t="inlineStr">
        <is>
          <t>Bet</t>
        </is>
      </c>
      <c r="H666" s="41" t="n">
        <v>5.7</v>
      </c>
      <c r="I666" s="41" t="n">
        <v>8.5</v>
      </c>
      <c r="J666" s="16" t="n">
        <v>0.0201</v>
      </c>
      <c r="K666" s="42" t="n">
        <v>1</v>
      </c>
      <c r="L666" s="15" t="n">
        <v>7</v>
      </c>
      <c r="M666" s="43" t="inlineStr">
        <is>
          <t>Loss</t>
        </is>
      </c>
      <c r="N666" s="17">
        <f>IF(M666="Win",IF(F666="Bet",(I666-1)*K666,K666),IF(M666="Loss",IF(F666="Bet",-K666,-(I666-1)*K666),IF(M666="Void",0,"")))</f>
        <v/>
      </c>
      <c r="O666" s="18">
        <f>IF(OR(M666="Win",M666="Loss"),IF(F666="Bet",K666,(I666-1)*K666),"")</f>
        <v/>
      </c>
    </row>
    <row r="667">
      <c r="A667" s="44" t="n">
        <v>46292</v>
      </c>
      <c r="B667" s="45" t="inlineStr">
        <is>
          <t>Sunshine Coast</t>
        </is>
      </c>
      <c r="C667" s="21" t="n">
        <v>2</v>
      </c>
      <c r="D667" s="21" t="n">
        <v>3</v>
      </c>
      <c r="E667" s="20" t="inlineStr">
        <is>
          <t>Weekend Spirit</t>
        </is>
      </c>
      <c r="F667" s="52" t="inlineStr">
        <is>
          <t>Bet</t>
        </is>
      </c>
      <c r="G667" s="40" t="inlineStr">
        <is>
          <t>Bet</t>
        </is>
      </c>
      <c r="H667" s="48" t="n">
        <v>8.199999999999999</v>
      </c>
      <c r="I667" s="48" t="n">
        <v>13.5</v>
      </c>
      <c r="J667" s="22" t="n">
        <v>0.0212</v>
      </c>
      <c r="K667" s="49" t="n">
        <v>1</v>
      </c>
      <c r="L667" s="21" t="n">
        <v>2</v>
      </c>
      <c r="M667" s="46" t="inlineStr">
        <is>
          <t>Loss</t>
        </is>
      </c>
      <c r="N667" s="23">
        <f>IF(M667="Win",IF(F667="Bet",(I667-1)*K667,K667),IF(M667="Loss",IF(F667="Bet",-K667,-(I667-1)*K667),IF(M667="Void",0,"")))</f>
        <v/>
      </c>
      <c r="O667" s="24">
        <f>IF(OR(M667="Win",M667="Loss"),IF(F667="Bet",K667,(I667-1)*K667),"")</f>
        <v/>
      </c>
    </row>
    <row r="668">
      <c r="A668" s="37" t="n">
        <v>46292</v>
      </c>
      <c r="B668" s="38" t="inlineStr">
        <is>
          <t>Strathalbyn</t>
        </is>
      </c>
      <c r="C668" s="15" t="n">
        <v>1</v>
      </c>
      <c r="D668" s="15" t="n">
        <v>9</v>
      </c>
      <c r="E668" s="14" t="inlineStr">
        <is>
          <t>Just Comet</t>
        </is>
      </c>
      <c r="F668" s="39" t="inlineStr">
        <is>
          <t>Bet</t>
        </is>
      </c>
      <c r="G668" s="40" t="inlineStr">
        <is>
          <t>Bet</t>
        </is>
      </c>
      <c r="H668" s="41" t="n">
        <v>3.8</v>
      </c>
      <c r="I668" s="41" t="n">
        <v>4.2</v>
      </c>
      <c r="J668" s="16" t="n">
        <v>0.0222</v>
      </c>
      <c r="K668" s="42" t="n">
        <v>1</v>
      </c>
      <c r="L668" s="15" t="n">
        <v>3</v>
      </c>
      <c r="M668" s="43" t="inlineStr">
        <is>
          <t>Loss</t>
        </is>
      </c>
      <c r="N668" s="17">
        <f>IF(M668="Win",IF(F668="Bet",(I668-1)*K668,K668),IF(M668="Loss",IF(F668="Bet",-K668,-(I668-1)*K668),IF(M668="Void",0,"")))</f>
        <v/>
      </c>
      <c r="O668" s="18">
        <f>IF(OR(M668="Win",M668="Loss"),IF(F668="Bet",K668,(I668-1)*K668),"")</f>
        <v/>
      </c>
    </row>
    <row r="669">
      <c r="A669" s="44" t="n">
        <v>46292</v>
      </c>
      <c r="B669" s="45" t="inlineStr">
        <is>
          <t>Sunshine Coast</t>
        </is>
      </c>
      <c r="C669" s="21" t="n">
        <v>4</v>
      </c>
      <c r="D669" s="21" t="n">
        <v>2</v>
      </c>
      <c r="E669" s="20" t="inlineStr">
        <is>
          <t>Chakra Boy</t>
        </is>
      </c>
      <c r="F669" s="46" t="inlineStr">
        <is>
          <t>Lay</t>
        </is>
      </c>
      <c r="G669" s="47" t="inlineStr">
        <is>
          <t>Lay</t>
        </is>
      </c>
      <c r="H669" s="48" t="n">
        <v>4.7</v>
      </c>
      <c r="I669" s="48" t="n">
        <v>3.55</v>
      </c>
      <c r="J669" s="22" t="n">
        <v>-0.06859999999999999</v>
      </c>
      <c r="K669" s="49" t="n">
        <v>1</v>
      </c>
      <c r="L669" s="21" t="n">
        <v>6</v>
      </c>
      <c r="M669" s="50" t="inlineStr">
        <is>
          <t>Win</t>
        </is>
      </c>
      <c r="N669" s="23">
        <f>IF(M669="Win",IF(F669="Bet",(I669-1)*K669,K669),IF(M669="Loss",IF(F669="Bet",-K669,-(I669-1)*K669),IF(M669="Void",0,"")))</f>
        <v/>
      </c>
      <c r="O669" s="24">
        <f>IF(OR(M669="Win",M669="Loss"),IF(F669="Bet",K669,(I669-1)*K669),"")</f>
        <v/>
      </c>
    </row>
    <row r="670">
      <c r="A670" s="37" t="n">
        <v>46292</v>
      </c>
      <c r="B670" s="38" t="inlineStr">
        <is>
          <t>Strathalbyn</t>
        </is>
      </c>
      <c r="C670" s="15" t="n">
        <v>2</v>
      </c>
      <c r="D670" s="15" t="n">
        <v>12</v>
      </c>
      <c r="E670" s="14" t="inlineStr">
        <is>
          <t>Make Me A Match</t>
        </is>
      </c>
      <c r="F670" s="39" t="inlineStr">
        <is>
          <t>Bet</t>
        </is>
      </c>
      <c r="G670" s="40" t="inlineStr">
        <is>
          <t>Bet</t>
        </is>
      </c>
      <c r="H670" s="41" t="n">
        <v>3.6</v>
      </c>
      <c r="I670" s="41" t="n">
        <v>4</v>
      </c>
      <c r="J670" s="16" t="n">
        <v>0.0275</v>
      </c>
      <c r="K670" s="42" t="n">
        <v>1</v>
      </c>
      <c r="L670" s="15" t="n">
        <v>1</v>
      </c>
      <c r="M670" s="51" t="inlineStr">
        <is>
          <t>Win</t>
        </is>
      </c>
      <c r="N670" s="17">
        <f>IF(M670="Win",IF(F670="Bet",(I670-1)*K670,K670),IF(M670="Loss",IF(F670="Bet",-K670,-(I670-1)*K670),IF(M670="Void",0,"")))</f>
        <v/>
      </c>
      <c r="O670" s="18">
        <f>IF(OR(M670="Win",M670="Loss"),IF(F670="Bet",K670,(I670-1)*K670),"")</f>
        <v/>
      </c>
    </row>
    <row r="671">
      <c r="A671" s="44" t="n">
        <v>46292</v>
      </c>
      <c r="B671" s="45" t="inlineStr">
        <is>
          <t>Sunshine Coast</t>
        </is>
      </c>
      <c r="C671" s="21" t="n">
        <v>4</v>
      </c>
      <c r="D671" s="21" t="n">
        <v>7</v>
      </c>
      <c r="E671" s="20" t="inlineStr">
        <is>
          <t>Bring Me Kash</t>
        </is>
      </c>
      <c r="F671" s="52" t="inlineStr">
        <is>
          <t>Bet</t>
        </is>
      </c>
      <c r="G671" s="40" t="inlineStr">
        <is>
          <t>Bet</t>
        </is>
      </c>
      <c r="H671" s="48" t="n">
        <v>6</v>
      </c>
      <c r="I671" s="48" t="n">
        <v>11</v>
      </c>
      <c r="J671" s="22" t="n">
        <v>0.0239</v>
      </c>
      <c r="K671" s="49" t="n">
        <v>1</v>
      </c>
      <c r="L671" s="21" t="n">
        <v>1</v>
      </c>
      <c r="M671" s="50" t="inlineStr">
        <is>
          <t>Win</t>
        </is>
      </c>
      <c r="N671" s="23">
        <f>IF(M671="Win",IF(F671="Bet",(I671-1)*K671,K671),IF(M671="Loss",IF(F671="Bet",-K671,-(I671-1)*K671),IF(M671="Void",0,"")))</f>
        <v/>
      </c>
      <c r="O671" s="24">
        <f>IF(OR(M671="Win",M671="Loss"),IF(F671="Bet",K671,(I671-1)*K671),"")</f>
        <v/>
      </c>
    </row>
    <row r="672">
      <c r="A672" s="37" t="n">
        <v>46292</v>
      </c>
      <c r="B672" s="38" t="inlineStr">
        <is>
          <t>Strathalbyn</t>
        </is>
      </c>
      <c r="C672" s="15" t="n">
        <v>4</v>
      </c>
      <c r="D672" s="15" t="n">
        <v>5</v>
      </c>
      <c r="E672" s="14" t="inlineStr">
        <is>
          <t>Rob The Bank</t>
        </is>
      </c>
      <c r="F672" s="43" t="inlineStr">
        <is>
          <t>Lay</t>
        </is>
      </c>
      <c r="G672" s="47" t="inlineStr">
        <is>
          <t>Lay</t>
        </is>
      </c>
      <c r="H672" s="41" t="n">
        <v>5.7</v>
      </c>
      <c r="I672" s="41" t="n">
        <v>4.1</v>
      </c>
      <c r="J672" s="16" t="n">
        <v>-0.06900000000000001</v>
      </c>
      <c r="K672" s="42" t="n">
        <v>1</v>
      </c>
      <c r="L672" s="15" t="n">
        <v>4</v>
      </c>
      <c r="M672" s="51" t="inlineStr">
        <is>
          <t>Win</t>
        </is>
      </c>
      <c r="N672" s="17">
        <f>IF(M672="Win",IF(F672="Bet",(I672-1)*K672,K672),IF(M672="Loss",IF(F672="Bet",-K672,-(I672-1)*K672),IF(M672="Void",0,"")))</f>
        <v/>
      </c>
      <c r="O672" s="18">
        <f>IF(OR(M672="Win",M672="Loss"),IF(F672="Bet",K672,(I672-1)*K672),"")</f>
        <v/>
      </c>
    </row>
    <row r="673">
      <c r="A673" s="44" t="n">
        <v>46292</v>
      </c>
      <c r="B673" s="45" t="inlineStr">
        <is>
          <t>Caulfield</t>
        </is>
      </c>
      <c r="C673" s="21" t="n">
        <v>7</v>
      </c>
      <c r="D673" s="21" t="n">
        <v>5</v>
      </c>
      <c r="E673" s="20" t="inlineStr">
        <is>
          <t>Changing Colours</t>
        </is>
      </c>
      <c r="F673" s="52" t="inlineStr">
        <is>
          <t>Bet</t>
        </is>
      </c>
      <c r="G673" s="40" t="inlineStr">
        <is>
          <t>Bet</t>
        </is>
      </c>
      <c r="H673" s="48" t="n">
        <v>3.5</v>
      </c>
      <c r="I673" s="48" t="n">
        <v>4</v>
      </c>
      <c r="J673" s="22" t="n">
        <v>0.0266</v>
      </c>
      <c r="K673" s="49" t="n">
        <v>1</v>
      </c>
      <c r="L673" s="21" t="n">
        <v>1</v>
      </c>
      <c r="M673" s="50" t="inlineStr">
        <is>
          <t>Win</t>
        </is>
      </c>
      <c r="N673" s="23">
        <f>IF(M673="Win",IF(F673="Bet",(I673-1)*K673,K673),IF(M673="Loss",IF(F673="Bet",-K673,-(I673-1)*K673),IF(M673="Void",0,"")))</f>
        <v/>
      </c>
      <c r="O673" s="24">
        <f>IF(OR(M673="Win",M673="Loss"),IF(F673="Bet",K673,(I673-1)*K673),"")</f>
        <v/>
      </c>
    </row>
    <row r="674">
      <c r="A674" s="37" t="n">
        <v>46292</v>
      </c>
      <c r="B674" s="38" t="inlineStr">
        <is>
          <t>Sunshine Coast</t>
        </is>
      </c>
      <c r="C674" s="15" t="n">
        <v>7</v>
      </c>
      <c r="D674" s="15" t="n">
        <v>10</v>
      </c>
      <c r="E674" s="14" t="inlineStr">
        <is>
          <t>Sweet Pretender</t>
        </is>
      </c>
      <c r="F674" s="39" t="inlineStr">
        <is>
          <t>Bet</t>
        </is>
      </c>
      <c r="G674" s="40" t="inlineStr">
        <is>
          <t>Bet</t>
        </is>
      </c>
      <c r="H674" s="41" t="n">
        <v>6.5</v>
      </c>
      <c r="I674" s="41" t="n">
        <v>8</v>
      </c>
      <c r="J674" s="16" t="n">
        <v>0.0213</v>
      </c>
      <c r="K674" s="42" t="n">
        <v>1</v>
      </c>
      <c r="L674" s="15" t="n">
        <v>8</v>
      </c>
      <c r="M674" s="43" t="inlineStr">
        <is>
          <t>Loss</t>
        </is>
      </c>
      <c r="N674" s="17">
        <f>IF(M674="Win",IF(F674="Bet",(I674-1)*K674,K674),IF(M674="Loss",IF(F674="Bet",-K674,-(I674-1)*K674),IF(M674="Void",0,"")))</f>
        <v/>
      </c>
      <c r="O674" s="18">
        <f>IF(OR(M674="Win",M674="Loss"),IF(F674="Bet",K674,(I674-1)*K674),"")</f>
        <v/>
      </c>
    </row>
    <row r="675">
      <c r="A675" s="44" t="n">
        <v>46292</v>
      </c>
      <c r="B675" s="45" t="inlineStr">
        <is>
          <t>Dubbo</t>
        </is>
      </c>
      <c r="C675" s="21" t="n">
        <v>10</v>
      </c>
      <c r="D675" s="21" t="n">
        <v>1</v>
      </c>
      <c r="E675" s="20" t="inlineStr">
        <is>
          <t>Lang Park</t>
        </is>
      </c>
      <c r="F675" s="52" t="inlineStr">
        <is>
          <t>Bet</t>
        </is>
      </c>
      <c r="G675" s="40" t="inlineStr">
        <is>
          <t>Bet</t>
        </is>
      </c>
      <c r="H675" s="48" t="n">
        <v>4.9</v>
      </c>
      <c r="I675" s="48" t="n">
        <v>6.6</v>
      </c>
      <c r="J675" s="22" t="n">
        <v>0.0216</v>
      </c>
      <c r="K675" s="49" t="n">
        <v>1</v>
      </c>
      <c r="L675" s="21" t="n">
        <v>4</v>
      </c>
      <c r="M675" s="46" t="inlineStr">
        <is>
          <t>Loss</t>
        </is>
      </c>
      <c r="N675" s="23">
        <f>IF(M675="Win",IF(F675="Bet",(I675-1)*K675,K675),IF(M675="Loss",IF(F675="Bet",-K675,-(I675-1)*K675),IF(M675="Void",0,"")))</f>
        <v/>
      </c>
      <c r="O675" s="24">
        <f>IF(OR(M675="Win",M675="Loss"),IF(F675="Bet",K675,(I675-1)*K675),"")</f>
        <v/>
      </c>
    </row>
    <row r="676">
      <c r="A676" s="37" t="n">
        <v>46292</v>
      </c>
      <c r="B676" s="38" t="inlineStr">
        <is>
          <t>Strathalbyn</t>
        </is>
      </c>
      <c r="C676" s="15" t="n">
        <v>7</v>
      </c>
      <c r="D676" s="15" t="n">
        <v>4</v>
      </c>
      <c r="E676" s="14" t="inlineStr">
        <is>
          <t>Our Beau</t>
        </is>
      </c>
      <c r="F676" s="43" t="inlineStr">
        <is>
          <t>Lay</t>
        </is>
      </c>
      <c r="G676" s="47" t="inlineStr">
        <is>
          <t>Lay</t>
        </is>
      </c>
      <c r="H676" s="41" t="n">
        <v>4.5</v>
      </c>
      <c r="I676" s="41" t="n">
        <v>2.86</v>
      </c>
      <c r="J676" s="16" t="n">
        <v>-0.0613</v>
      </c>
      <c r="K676" s="42" t="n">
        <v>1</v>
      </c>
      <c r="L676" s="15" t="n">
        <v>3</v>
      </c>
      <c r="M676" s="51" t="inlineStr">
        <is>
          <t>Win</t>
        </is>
      </c>
      <c r="N676" s="17">
        <f>IF(M676="Win",IF(F676="Bet",(I676-1)*K676,K676),IF(M676="Loss",IF(F676="Bet",-K676,-(I676-1)*K676),IF(M676="Void",0,"")))</f>
        <v/>
      </c>
      <c r="O676" s="18">
        <f>IF(OR(M676="Win",M676="Loss"),IF(F676="Bet",K676,(I676-1)*K676),"")</f>
        <v/>
      </c>
    </row>
    <row r="677">
      <c r="A677" s="44" t="n">
        <v>46292</v>
      </c>
      <c r="B677" s="45" t="inlineStr">
        <is>
          <t>Port Macquarie</t>
        </is>
      </c>
      <c r="C677" s="21" t="n">
        <v>8</v>
      </c>
      <c r="D677" s="21" t="n">
        <v>7</v>
      </c>
      <c r="E677" s="20" t="inlineStr">
        <is>
          <t>Denial</t>
        </is>
      </c>
      <c r="F677" s="46" t="inlineStr">
        <is>
          <t>Lay</t>
        </is>
      </c>
      <c r="G677" s="47" t="inlineStr">
        <is>
          <t>Lay</t>
        </is>
      </c>
      <c r="H677" s="48" t="n">
        <v>8.699999999999999</v>
      </c>
      <c r="I677" s="48" t="n">
        <v>5.3</v>
      </c>
      <c r="J677" s="22" t="n">
        <v>-0.0636</v>
      </c>
      <c r="K677" s="49" t="n">
        <v>1</v>
      </c>
      <c r="L677" s="21" t="n">
        <v>5</v>
      </c>
      <c r="M677" s="50" t="inlineStr">
        <is>
          <t>Win</t>
        </is>
      </c>
      <c r="N677" s="23">
        <f>IF(M677="Win",IF(F677="Bet",(I677-1)*K677,K677),IF(M677="Loss",IF(F677="Bet",-K677,-(I677-1)*K677),IF(M677="Void",0,"")))</f>
        <v/>
      </c>
      <c r="O677" s="24">
        <f>IF(OR(M677="Win",M677="Loss"),IF(F677="Bet",K677,(I677-1)*K677),"")</f>
        <v/>
      </c>
    </row>
    <row r="678">
      <c r="A678" s="37" t="n">
        <v>46293</v>
      </c>
      <c r="B678" s="38" t="inlineStr">
        <is>
          <t>Wagga</t>
        </is>
      </c>
      <c r="C678" s="15" t="n">
        <v>4</v>
      </c>
      <c r="D678" s="15" t="n">
        <v>1</v>
      </c>
      <c r="E678" s="14" t="inlineStr">
        <is>
          <t>Bombay Boom</t>
        </is>
      </c>
      <c r="F678" s="43" t="inlineStr">
        <is>
          <t>Lay</t>
        </is>
      </c>
      <c r="G678" s="47" t="inlineStr">
        <is>
          <t>Lay</t>
        </is>
      </c>
      <c r="H678" s="41" t="n">
        <v>3.8</v>
      </c>
      <c r="I678" s="41" t="n">
        <v>2.45</v>
      </c>
      <c r="J678" s="16" t="n">
        <v>-0.0779</v>
      </c>
      <c r="K678" s="42" t="n">
        <v>1</v>
      </c>
      <c r="L678" s="15" t="n">
        <v>5</v>
      </c>
      <c r="M678" s="51" t="inlineStr">
        <is>
          <t>Win</t>
        </is>
      </c>
      <c r="N678" s="17">
        <f>IF(M678="Win",IF(F678="Bet",(I678-1)*K678,K678),IF(M678="Loss",IF(F678="Bet",-K678,-(I678-1)*K678),IF(M678="Void",0,"")))</f>
        <v/>
      </c>
      <c r="O678" s="18">
        <f>IF(OR(M678="Win",M678="Loss"),IF(F678="Bet",K678,(I678-1)*K678),"")</f>
        <v/>
      </c>
    </row>
    <row r="679">
      <c r="A679" s="44" t="n">
        <v>46293</v>
      </c>
      <c r="B679" s="45" t="inlineStr">
        <is>
          <t>Wagga</t>
        </is>
      </c>
      <c r="C679" s="21" t="n">
        <v>3</v>
      </c>
      <c r="D679" s="21" t="n">
        <v>8</v>
      </c>
      <c r="E679" s="20" t="inlineStr">
        <is>
          <t>Chief Of War</t>
        </is>
      </c>
      <c r="F679" s="46" t="inlineStr">
        <is>
          <t>Lay</t>
        </is>
      </c>
      <c r="G679" s="47" t="inlineStr">
        <is>
          <t>Lay</t>
        </is>
      </c>
      <c r="H679" s="48" t="n">
        <v>3.4</v>
      </c>
      <c r="I679" s="48" t="n">
        <v>2.6</v>
      </c>
      <c r="J679" s="22" t="n">
        <v>-0.0602</v>
      </c>
      <c r="K679" s="49" t="n">
        <v>1</v>
      </c>
      <c r="L679" s="21" t="n">
        <v>1</v>
      </c>
      <c r="M679" s="46" t="inlineStr">
        <is>
          <t>Loss</t>
        </is>
      </c>
      <c r="N679" s="23">
        <f>IF(M679="Win",IF(F679="Bet",(I679-1)*K679,K679),IF(M679="Loss",IF(F679="Bet",-K679,-(I679-1)*K679),IF(M679="Void",0,"")))</f>
        <v/>
      </c>
      <c r="O679" s="24">
        <f>IF(OR(M679="Win",M679="Loss"),IF(F679="Bet",K679,(I679-1)*K679),"")</f>
        <v/>
      </c>
    </row>
    <row r="680">
      <c r="A680" s="37" t="n">
        <v>46293</v>
      </c>
      <c r="B680" s="38" t="inlineStr">
        <is>
          <t>Kilmore</t>
        </is>
      </c>
      <c r="C680" s="15" t="n">
        <v>3</v>
      </c>
      <c r="D680" s="15" t="n">
        <v>14</v>
      </c>
      <c r="E680" s="14" t="inlineStr">
        <is>
          <t>Star Of Macedon</t>
        </is>
      </c>
      <c r="F680" s="43" t="inlineStr">
        <is>
          <t>Lay</t>
        </is>
      </c>
      <c r="G680" s="47" t="inlineStr">
        <is>
          <t>Lay</t>
        </is>
      </c>
      <c r="H680" s="41" t="n">
        <v>2.6</v>
      </c>
      <c r="I680" s="41" t="n">
        <v>1.6</v>
      </c>
      <c r="J680" s="16" t="n">
        <v>-0.0771</v>
      </c>
      <c r="K680" s="42" t="n">
        <v>1</v>
      </c>
      <c r="L680" s="15" t="n">
        <v>1</v>
      </c>
      <c r="M680" s="43" t="inlineStr">
        <is>
          <t>Loss</t>
        </is>
      </c>
      <c r="N680" s="17">
        <f>IF(M680="Win",IF(F680="Bet",(I680-1)*K680,K680),IF(M680="Loss",IF(F680="Bet",-K680,-(I680-1)*K680),IF(M680="Void",0,"")))</f>
        <v/>
      </c>
      <c r="O680" s="18">
        <f>IF(OR(M680="Win",M680="Loss"),IF(F680="Bet",K680,(I680-1)*K680),"")</f>
        <v/>
      </c>
    </row>
    <row r="681">
      <c r="A681" s="44" t="n">
        <v>46293</v>
      </c>
      <c r="B681" s="45" t="inlineStr">
        <is>
          <t>Wagga</t>
        </is>
      </c>
      <c r="C681" s="21" t="n">
        <v>2</v>
      </c>
      <c r="D681" s="21" t="n">
        <v>5</v>
      </c>
      <c r="E681" s="20" t="inlineStr">
        <is>
          <t>Justifiably</t>
        </is>
      </c>
      <c r="F681" s="46" t="inlineStr">
        <is>
          <t>Lay</t>
        </is>
      </c>
      <c r="G681" s="47" t="inlineStr">
        <is>
          <t>Lay</t>
        </is>
      </c>
      <c r="H681" s="48" t="n">
        <v>6.4</v>
      </c>
      <c r="I681" s="48" t="n">
        <v>2.8</v>
      </c>
      <c r="J681" s="22" t="n">
        <v>-0.0605</v>
      </c>
      <c r="K681" s="49" t="n">
        <v>1</v>
      </c>
      <c r="L681" s="21" t="n">
        <v>3</v>
      </c>
      <c r="M681" s="50" t="inlineStr">
        <is>
          <t>Win</t>
        </is>
      </c>
      <c r="N681" s="23">
        <f>IF(M681="Win",IF(F681="Bet",(I681-1)*K681,K681),IF(M681="Loss",IF(F681="Bet",-K681,-(I681-1)*K681),IF(M681="Void",0,"")))</f>
        <v/>
      </c>
      <c r="O681" s="24">
        <f>IF(OR(M681="Win",M681="Loss"),IF(F681="Bet",K681,(I681-1)*K681),"")</f>
        <v/>
      </c>
    </row>
    <row r="682">
      <c r="A682" s="37" t="n">
        <v>46293</v>
      </c>
      <c r="B682" s="38" t="inlineStr">
        <is>
          <t>Wagga</t>
        </is>
      </c>
      <c r="C682" s="15" t="n">
        <v>2</v>
      </c>
      <c r="D682" s="15" t="n">
        <v>1</v>
      </c>
      <c r="E682" s="14" t="inlineStr">
        <is>
          <t>Philadelphia Storm</t>
        </is>
      </c>
      <c r="F682" s="39" t="inlineStr">
        <is>
          <t>Bet</t>
        </is>
      </c>
      <c r="G682" s="40" t="inlineStr">
        <is>
          <t>Bet</t>
        </is>
      </c>
      <c r="H682" s="41" t="n">
        <v>5.3</v>
      </c>
      <c r="I682" s="41" t="n">
        <v>13</v>
      </c>
      <c r="J682" s="16" t="n">
        <v>0.0213</v>
      </c>
      <c r="K682" s="42" t="n">
        <v>1</v>
      </c>
      <c r="L682" s="15" t="n">
        <v>2</v>
      </c>
      <c r="M682" s="43" t="inlineStr">
        <is>
          <t>Loss</t>
        </is>
      </c>
      <c r="N682" s="17">
        <f>IF(M682="Win",IF(F682="Bet",(I682-1)*K682,K682),IF(M682="Loss",IF(F682="Bet",-K682,-(I682-1)*K682),IF(M682="Void",0,"")))</f>
        <v/>
      </c>
      <c r="O682" s="18">
        <f>IF(OR(M682="Win",M682="Loss"),IF(F682="Bet",K682,(I682-1)*K682),"")</f>
        <v/>
      </c>
    </row>
    <row r="683">
      <c r="A683" s="44" t="n">
        <v>46293</v>
      </c>
      <c r="B683" s="45" t="inlineStr">
        <is>
          <t>Bunbury</t>
        </is>
      </c>
      <c r="C683" s="21" t="n">
        <v>5</v>
      </c>
      <c r="D683" s="21" t="n">
        <v>6</v>
      </c>
      <c r="E683" s="20" t="inlineStr">
        <is>
          <t>London Rose</t>
        </is>
      </c>
      <c r="F683" s="46" t="inlineStr">
        <is>
          <t>Lay</t>
        </is>
      </c>
      <c r="G683" s="47" t="inlineStr">
        <is>
          <t>Lay</t>
        </is>
      </c>
      <c r="H683" s="48" t="n">
        <v>3.1</v>
      </c>
      <c r="I683" s="48" t="n">
        <v>1.91</v>
      </c>
      <c r="J683" s="22" t="n">
        <v>-0.0735</v>
      </c>
      <c r="K683" s="49" t="n">
        <v>1</v>
      </c>
      <c r="L683" s="21" t="n">
        <v>3</v>
      </c>
      <c r="M683" s="50" t="inlineStr">
        <is>
          <t>Win</t>
        </is>
      </c>
      <c r="N683" s="23">
        <f>IF(M683="Win",IF(F683="Bet",(I683-1)*K683,K683),IF(M683="Loss",IF(F683="Bet",-K683,-(I683-1)*K683),IF(M683="Void",0,"")))</f>
        <v/>
      </c>
      <c r="O683" s="24">
        <f>IF(OR(M683="Win",M683="Loss"),IF(F683="Bet",K683,(I683-1)*K683),"")</f>
        <v/>
      </c>
    </row>
    <row r="684">
      <c r="A684" s="37" t="n">
        <v>46293</v>
      </c>
      <c r="B684" s="38" t="inlineStr">
        <is>
          <t>Kilmore</t>
        </is>
      </c>
      <c r="C684" s="15" t="n">
        <v>5</v>
      </c>
      <c r="D684" s="15" t="n">
        <v>2</v>
      </c>
      <c r="E684" s="14" t="inlineStr">
        <is>
          <t>Royal Rendezvous</t>
        </is>
      </c>
      <c r="F684" s="39" t="inlineStr">
        <is>
          <t>Bet</t>
        </is>
      </c>
      <c r="G684" s="40" t="inlineStr">
        <is>
          <t>Bet</t>
        </is>
      </c>
      <c r="H684" s="41" t="n">
        <v>3.4</v>
      </c>
      <c r="I684" s="41" t="n">
        <v>4</v>
      </c>
      <c r="J684" s="16" t="n">
        <v>0.0432</v>
      </c>
      <c r="K684" s="42" t="n">
        <v>1</v>
      </c>
      <c r="L684" s="15" t="n">
        <v>2</v>
      </c>
      <c r="M684" s="43" t="inlineStr">
        <is>
          <t>Loss</t>
        </is>
      </c>
      <c r="N684" s="17">
        <f>IF(M684="Win",IF(F684="Bet",(I684-1)*K684,K684),IF(M684="Loss",IF(F684="Bet",-K684,-(I684-1)*K684),IF(M684="Void",0,"")))</f>
        <v/>
      </c>
      <c r="O684" s="18">
        <f>IF(OR(M684="Win",M684="Loss"),IF(F684="Bet",K684,(I684-1)*K684),"")</f>
        <v/>
      </c>
    </row>
    <row r="685">
      <c r="A685" s="44" t="n">
        <v>46293</v>
      </c>
      <c r="B685" s="45" t="inlineStr">
        <is>
          <t>Wagga</t>
        </is>
      </c>
      <c r="C685" s="21" t="n">
        <v>3</v>
      </c>
      <c r="D685" s="21" t="n">
        <v>6</v>
      </c>
      <c r="E685" s="20" t="inlineStr">
        <is>
          <t>Midnight Affair</t>
        </is>
      </c>
      <c r="F685" s="46" t="inlineStr">
        <is>
          <t>Lay</t>
        </is>
      </c>
      <c r="G685" s="47" t="inlineStr">
        <is>
          <t>Lay</t>
        </is>
      </c>
      <c r="H685" s="48" t="n">
        <v>7.6</v>
      </c>
      <c r="I685" s="48" t="n">
        <v>5.1</v>
      </c>
      <c r="J685" s="22" t="n">
        <v>-0.0646</v>
      </c>
      <c r="K685" s="49" t="n">
        <v>1</v>
      </c>
      <c r="L685" s="21" t="n">
        <v>5</v>
      </c>
      <c r="M685" s="50" t="inlineStr">
        <is>
          <t>Win</t>
        </is>
      </c>
      <c r="N685" s="23">
        <f>IF(M685="Win",IF(F685="Bet",(I685-1)*K685,K685),IF(M685="Loss",IF(F685="Bet",-K685,-(I685-1)*K685),IF(M685="Void",0,"")))</f>
        <v/>
      </c>
      <c r="O685" s="24">
        <f>IF(OR(M685="Win",M685="Loss"),IF(F685="Bet",K685,(I685-1)*K685),"")</f>
        <v/>
      </c>
    </row>
    <row r="686">
      <c r="A686" s="37" t="n">
        <v>46293</v>
      </c>
      <c r="B686" s="38" t="inlineStr">
        <is>
          <t>Tamworth</t>
        </is>
      </c>
      <c r="C686" s="15" t="n">
        <v>1</v>
      </c>
      <c r="D686" s="15" t="n">
        <v>3</v>
      </c>
      <c r="E686" s="14" t="inlineStr">
        <is>
          <t>Joika</t>
        </is>
      </c>
      <c r="F686" s="43" t="inlineStr">
        <is>
          <t>Lay</t>
        </is>
      </c>
      <c r="G686" s="47" t="inlineStr">
        <is>
          <t>Lay</t>
        </is>
      </c>
      <c r="H686" s="41" t="n">
        <v>2.1</v>
      </c>
      <c r="I686" s="41" t="n">
        <v>1.59</v>
      </c>
      <c r="J686" s="16" t="n">
        <v>-0.0761</v>
      </c>
      <c r="K686" s="42" t="n">
        <v>1</v>
      </c>
      <c r="L686" s="15" t="n">
        <v>5</v>
      </c>
      <c r="M686" s="51" t="inlineStr">
        <is>
          <t>Win</t>
        </is>
      </c>
      <c r="N686" s="17">
        <f>IF(M686="Win",IF(F686="Bet",(I686-1)*K686,K686),IF(M686="Loss",IF(F686="Bet",-K686,-(I686-1)*K686),IF(M686="Void",0,"")))</f>
        <v/>
      </c>
      <c r="O686" s="18">
        <f>IF(OR(M686="Win",M686="Loss"),IF(F686="Bet",K686,(I686-1)*K686),"")</f>
        <v/>
      </c>
    </row>
    <row r="687">
      <c r="A687" s="44" t="n">
        <v>46293</v>
      </c>
      <c r="B687" s="45" t="inlineStr">
        <is>
          <t>Kilmore</t>
        </is>
      </c>
      <c r="C687" s="21" t="n">
        <v>1</v>
      </c>
      <c r="D687" s="21" t="n">
        <v>9</v>
      </c>
      <c r="E687" s="20" t="inlineStr">
        <is>
          <t>Refuse To Curtsy</t>
        </is>
      </c>
      <c r="F687" s="46" t="inlineStr">
        <is>
          <t>Lay</t>
        </is>
      </c>
      <c r="G687" s="47" t="inlineStr">
        <is>
          <t>Lay</t>
        </is>
      </c>
      <c r="H687" s="48" t="n">
        <v>3.3</v>
      </c>
      <c r="I687" s="48" t="n">
        <v>2.32</v>
      </c>
      <c r="J687" s="22" t="n">
        <v>-0.0762</v>
      </c>
      <c r="K687" s="49" t="n">
        <v>1</v>
      </c>
      <c r="L687" s="21" t="n">
        <v>1</v>
      </c>
      <c r="M687" s="46" t="inlineStr">
        <is>
          <t>Loss</t>
        </is>
      </c>
      <c r="N687" s="23">
        <f>IF(M687="Win",IF(F687="Bet",(I687-1)*K687,K687),IF(M687="Loss",IF(F687="Bet",-K687,-(I687-1)*K687),IF(M687="Void",0,"")))</f>
        <v/>
      </c>
      <c r="O687" s="24">
        <f>IF(OR(M687="Win",M687="Loss"),IF(F687="Bet",K687,(I687-1)*K687),"")</f>
        <v/>
      </c>
    </row>
    <row r="688">
      <c r="A688" s="37" t="n">
        <v>46293</v>
      </c>
      <c r="B688" s="38" t="inlineStr">
        <is>
          <t>Tamworth</t>
        </is>
      </c>
      <c r="C688" s="15" t="n">
        <v>7</v>
      </c>
      <c r="D688" s="15" t="n">
        <v>2</v>
      </c>
      <c r="E688" s="14" t="inlineStr">
        <is>
          <t>Zampano</t>
        </is>
      </c>
      <c r="F688" s="43" t="inlineStr">
        <is>
          <t>Lay</t>
        </is>
      </c>
      <c r="G688" s="47" t="inlineStr">
        <is>
          <t>Lay</t>
        </is>
      </c>
      <c r="H688" s="41" t="n">
        <v>4.7</v>
      </c>
      <c r="I688" s="41" t="n">
        <v>2.78</v>
      </c>
      <c r="J688" s="16" t="n">
        <v>-0.08799999999999999</v>
      </c>
      <c r="K688" s="42" t="n">
        <v>1</v>
      </c>
      <c r="L688" s="15" t="n">
        <v>2</v>
      </c>
      <c r="M688" s="51" t="inlineStr">
        <is>
          <t>Win</t>
        </is>
      </c>
      <c r="N688" s="17">
        <f>IF(M688="Win",IF(F688="Bet",(I688-1)*K688,K688),IF(M688="Loss",IF(F688="Bet",-K688,-(I688-1)*K688),IF(M688="Void",0,"")))</f>
        <v/>
      </c>
      <c r="O688" s="18">
        <f>IF(OR(M688="Win",M688="Loss"),IF(F688="Bet",K688,(I688-1)*K688),"")</f>
        <v/>
      </c>
    </row>
    <row r="689">
      <c r="A689" s="44" t="n">
        <v>46293</v>
      </c>
      <c r="B689" s="45" t="inlineStr">
        <is>
          <t>Wagga</t>
        </is>
      </c>
      <c r="C689" s="21" t="n">
        <v>1</v>
      </c>
      <c r="D689" s="21" t="n">
        <v>6</v>
      </c>
      <c r="E689" s="20" t="inlineStr">
        <is>
          <t>Colorado Sun</t>
        </is>
      </c>
      <c r="F689" s="46" t="inlineStr">
        <is>
          <t>Lay</t>
        </is>
      </c>
      <c r="G689" s="47" t="inlineStr">
        <is>
          <t>Lay</t>
        </is>
      </c>
      <c r="H689" s="48" t="n">
        <v>3.5</v>
      </c>
      <c r="I689" s="48" t="n">
        <v>2.72</v>
      </c>
      <c r="J689" s="22" t="n">
        <v>-0.0649</v>
      </c>
      <c r="K689" s="49" t="n">
        <v>1</v>
      </c>
      <c r="L689" s="21" t="n">
        <v>1</v>
      </c>
      <c r="M689" s="46" t="inlineStr">
        <is>
          <t>Loss</t>
        </is>
      </c>
      <c r="N689" s="23">
        <f>IF(M689="Win",IF(F689="Bet",(I689-1)*K689,K689),IF(M689="Loss",IF(F689="Bet",-K689,-(I689-1)*K689),IF(M689="Void",0,"")))</f>
        <v/>
      </c>
      <c r="O689" s="24">
        <f>IF(OR(M689="Win",M689="Loss"),IF(F689="Bet",K689,(I689-1)*K689),"")</f>
        <v/>
      </c>
    </row>
    <row r="690">
      <c r="A690" s="37" t="n">
        <v>46293</v>
      </c>
      <c r="B690" s="38" t="inlineStr">
        <is>
          <t>Tamworth</t>
        </is>
      </c>
      <c r="C690" s="15" t="n">
        <v>2</v>
      </c>
      <c r="D690" s="15" t="n">
        <v>8</v>
      </c>
      <c r="E690" s="14" t="inlineStr">
        <is>
          <t>Syllable</t>
        </is>
      </c>
      <c r="F690" s="43" t="inlineStr">
        <is>
          <t>Lay</t>
        </is>
      </c>
      <c r="G690" s="47" t="inlineStr">
        <is>
          <t>Lay</t>
        </is>
      </c>
      <c r="H690" s="41" t="n">
        <v>2.55</v>
      </c>
      <c r="I690" s="41" t="n">
        <v>2</v>
      </c>
      <c r="J690" s="16" t="n">
        <v>-0.0701</v>
      </c>
      <c r="K690" s="42" t="n">
        <v>1</v>
      </c>
      <c r="L690" s="15" t="n">
        <v>2</v>
      </c>
      <c r="M690" s="51" t="inlineStr">
        <is>
          <t>Win</t>
        </is>
      </c>
      <c r="N690" s="17">
        <f>IF(M690="Win",IF(F690="Bet",(I690-1)*K690,K690),IF(M690="Loss",IF(F690="Bet",-K690,-(I690-1)*K690),IF(M690="Void",0,"")))</f>
        <v/>
      </c>
      <c r="O690" s="18">
        <f>IF(OR(M690="Win",M690="Loss"),IF(F690="Bet",K690,(I690-1)*K690),"")</f>
        <v/>
      </c>
    </row>
    <row r="691">
      <c r="A691" s="44" t="n">
        <v>46293</v>
      </c>
      <c r="B691" s="45" t="inlineStr">
        <is>
          <t>Tamworth</t>
        </is>
      </c>
      <c r="C691" s="21" t="n">
        <v>6</v>
      </c>
      <c r="D691" s="21" t="n">
        <v>7</v>
      </c>
      <c r="E691" s="20" t="inlineStr">
        <is>
          <t>Concoction</t>
        </is>
      </c>
      <c r="F691" s="46" t="inlineStr">
        <is>
          <t>Lay</t>
        </is>
      </c>
      <c r="G691" s="47" t="inlineStr">
        <is>
          <t>Lay</t>
        </is>
      </c>
      <c r="H691" s="48" t="n">
        <v>4.7</v>
      </c>
      <c r="I691" s="48" t="n">
        <v>3.5</v>
      </c>
      <c r="J691" s="22" t="n">
        <v>-0.074</v>
      </c>
      <c r="K691" s="49" t="n">
        <v>1</v>
      </c>
      <c r="L691" s="21" t="n">
        <v>8</v>
      </c>
      <c r="M691" s="50" t="inlineStr">
        <is>
          <t>Win</t>
        </is>
      </c>
      <c r="N691" s="23">
        <f>IF(M691="Win",IF(F691="Bet",(I691-1)*K691,K691),IF(M691="Loss",IF(F691="Bet",-K691,-(I691-1)*K691),IF(M691="Void",0,"")))</f>
        <v/>
      </c>
      <c r="O691" s="24">
        <f>IF(OR(M691="Win",M691="Loss"),IF(F691="Bet",K691,(I691-1)*K691),"")</f>
        <v/>
      </c>
    </row>
    <row r="692">
      <c r="A692" s="37" t="n">
        <v>46293</v>
      </c>
      <c r="B692" s="38" t="inlineStr">
        <is>
          <t>Kilmore</t>
        </is>
      </c>
      <c r="C692" s="15" t="n">
        <v>5</v>
      </c>
      <c r="D692" s="15" t="n">
        <v>4</v>
      </c>
      <c r="E692" s="14" t="inlineStr">
        <is>
          <t>Frosted In Time</t>
        </is>
      </c>
      <c r="F692" s="43" t="inlineStr">
        <is>
          <t>Lay</t>
        </is>
      </c>
      <c r="G692" s="47" t="inlineStr">
        <is>
          <t>Lay</t>
        </is>
      </c>
      <c r="H692" s="41" t="n">
        <v>6.8</v>
      </c>
      <c r="I692" s="41" t="n">
        <v>4.5</v>
      </c>
      <c r="J692" s="16" t="n">
        <v>-0.06510000000000001</v>
      </c>
      <c r="K692" s="42" t="n">
        <v>1</v>
      </c>
      <c r="L692" s="15" t="n">
        <v>1</v>
      </c>
      <c r="M692" s="43" t="inlineStr">
        <is>
          <t>Loss</t>
        </is>
      </c>
      <c r="N692" s="17">
        <f>IF(M692="Win",IF(F692="Bet",(I692-1)*K692,K692),IF(M692="Loss",IF(F692="Bet",-K692,-(I692-1)*K692),IF(M692="Void",0,"")))</f>
        <v/>
      </c>
      <c r="O692" s="18">
        <f>IF(OR(M692="Win",M692="Loss"),IF(F692="Bet",K692,(I692-1)*K692),"")</f>
        <v/>
      </c>
    </row>
    <row r="693">
      <c r="A693" s="44" t="n">
        <v>46293</v>
      </c>
      <c r="B693" s="45" t="inlineStr">
        <is>
          <t>Kilmore</t>
        </is>
      </c>
      <c r="C693" s="21" t="n">
        <v>8</v>
      </c>
      <c r="D693" s="21" t="n">
        <v>13</v>
      </c>
      <c r="E693" s="20" t="inlineStr">
        <is>
          <t>Bajaria</t>
        </is>
      </c>
      <c r="F693" s="46" t="inlineStr">
        <is>
          <t>Lay</t>
        </is>
      </c>
      <c r="G693" s="47" t="inlineStr">
        <is>
          <t>Lay</t>
        </is>
      </c>
      <c r="H693" s="48" t="n">
        <v>2.8</v>
      </c>
      <c r="I693" s="48" t="n">
        <v>2.3</v>
      </c>
      <c r="J693" s="22" t="n">
        <v>-0.0767</v>
      </c>
      <c r="K693" s="49" t="n">
        <v>1</v>
      </c>
      <c r="L693" s="21" t="n">
        <v>1</v>
      </c>
      <c r="M693" s="46" t="inlineStr">
        <is>
          <t>Loss</t>
        </is>
      </c>
      <c r="N693" s="23">
        <f>IF(M693="Win",IF(F693="Bet",(I693-1)*K693,K693),IF(M693="Loss",IF(F693="Bet",-K693,-(I693-1)*K693),IF(M693="Void",0,"")))</f>
        <v/>
      </c>
      <c r="O693" s="24">
        <f>IF(OR(M693="Win",M693="Loss"),IF(F693="Bet",K693,(I693-1)*K693),"")</f>
        <v/>
      </c>
    </row>
    <row r="694">
      <c r="A694" s="37" t="n">
        <v>46293</v>
      </c>
      <c r="B694" s="38" t="inlineStr">
        <is>
          <t>Wagga</t>
        </is>
      </c>
      <c r="C694" s="15" t="n">
        <v>7</v>
      </c>
      <c r="D694" s="15" t="n">
        <v>5</v>
      </c>
      <c r="E694" s="14" t="inlineStr">
        <is>
          <t>Bonnie Murringo</t>
        </is>
      </c>
      <c r="F694" s="43" t="inlineStr">
        <is>
          <t>Lay</t>
        </is>
      </c>
      <c r="G694" s="47" t="inlineStr">
        <is>
          <t>Lay</t>
        </is>
      </c>
      <c r="H694" s="41" t="n">
        <v>2.2</v>
      </c>
      <c r="I694" s="41" t="n">
        <v>1.82</v>
      </c>
      <c r="J694" s="16" t="n">
        <v>-0.0712</v>
      </c>
      <c r="K694" s="42" t="n">
        <v>1</v>
      </c>
      <c r="L694" s="15" t="n">
        <v>6</v>
      </c>
      <c r="M694" s="51" t="inlineStr">
        <is>
          <t>Win</t>
        </is>
      </c>
      <c r="N694" s="17">
        <f>IF(M694="Win",IF(F694="Bet",(I694-1)*K694,K694),IF(M694="Loss",IF(F694="Bet",-K694,-(I694-1)*K694),IF(M694="Void",0,"")))</f>
        <v/>
      </c>
      <c r="O694" s="18">
        <f>IF(OR(M694="Win",M694="Loss"),IF(F694="Bet",K694,(I694-1)*K694),"")</f>
        <v/>
      </c>
    </row>
    <row r="695">
      <c r="A695" s="44" t="n">
        <v>46293</v>
      </c>
      <c r="B695" s="45" t="inlineStr">
        <is>
          <t>Bunbury</t>
        </is>
      </c>
      <c r="C695" s="21" t="n">
        <v>4</v>
      </c>
      <c r="D695" s="21" t="n">
        <v>11</v>
      </c>
      <c r="E695" s="20" t="inlineStr">
        <is>
          <t>Forever Victorious</t>
        </is>
      </c>
      <c r="F695" s="46" t="inlineStr">
        <is>
          <t>Lay</t>
        </is>
      </c>
      <c r="G695" s="47" t="inlineStr">
        <is>
          <t>Lay</t>
        </is>
      </c>
      <c r="H695" s="48" t="n">
        <v>3.6</v>
      </c>
      <c r="I695" s="48" t="n">
        <v>2.88</v>
      </c>
      <c r="J695" s="22" t="n">
        <v>-0.06370000000000001</v>
      </c>
      <c r="K695" s="49" t="n">
        <v>1</v>
      </c>
      <c r="L695" s="21" t="n">
        <v>1</v>
      </c>
      <c r="M695" s="46" t="inlineStr">
        <is>
          <t>Loss</t>
        </is>
      </c>
      <c r="N695" s="23">
        <f>IF(M695="Win",IF(F695="Bet",(I695-1)*K695,K695),IF(M695="Loss",IF(F695="Bet",-K695,-(I695-1)*K695),IF(M695="Void",0,"")))</f>
        <v/>
      </c>
      <c r="O695" s="24">
        <f>IF(OR(M695="Win",M695="Loss"),IF(F695="Bet",K695,(I695-1)*K695),"")</f>
        <v/>
      </c>
    </row>
    <row r="696">
      <c r="A696" s="37" t="n">
        <v>46294</v>
      </c>
      <c r="B696" s="38" t="inlineStr">
        <is>
          <t>Tatura</t>
        </is>
      </c>
      <c r="C696" s="15" t="n">
        <v>6</v>
      </c>
      <c r="D696" s="15" t="n">
        <v>2</v>
      </c>
      <c r="E696" s="14" t="inlineStr">
        <is>
          <t>Rich King</t>
        </is>
      </c>
      <c r="F696" s="43" t="inlineStr">
        <is>
          <t>Lay</t>
        </is>
      </c>
      <c r="G696" s="47" t="inlineStr">
        <is>
          <t>Lay</t>
        </is>
      </c>
      <c r="H696" s="41" t="n">
        <v>4</v>
      </c>
      <c r="I696" s="41" t="n">
        <v>2.72</v>
      </c>
      <c r="J696" s="16" t="n">
        <v>-0.0832</v>
      </c>
      <c r="K696" s="42" t="n">
        <v>1</v>
      </c>
      <c r="L696" s="15" t="n"/>
      <c r="M696" s="54" t="inlineStr">
        <is>
          <t>Void</t>
        </is>
      </c>
      <c r="N696" s="17">
        <f>IF(M696="Win",IF(F696="Bet",(I696-1)*K696,K696),IF(M696="Loss",IF(F696="Bet",-K696,-(I696-1)*K696),IF(M696="Void",0,"")))</f>
        <v/>
      </c>
      <c r="O696" s="18">
        <f>IF(OR(M696="Win",M696="Loss"),IF(F696="Bet",K696,(I696-1)*K696),"")</f>
        <v/>
      </c>
    </row>
    <row r="697">
      <c r="A697" s="44" t="n">
        <v>46294</v>
      </c>
      <c r="B697" s="45" t="inlineStr">
        <is>
          <t>Tatura</t>
        </is>
      </c>
      <c r="C697" s="21" t="n">
        <v>5</v>
      </c>
      <c r="D697" s="21" t="n">
        <v>1</v>
      </c>
      <c r="E697" s="20" t="inlineStr">
        <is>
          <t>Pomah</t>
        </is>
      </c>
      <c r="F697" s="46" t="inlineStr">
        <is>
          <t>Lay</t>
        </is>
      </c>
      <c r="G697" s="47" t="inlineStr">
        <is>
          <t>Lay</t>
        </is>
      </c>
      <c r="H697" s="48" t="n">
        <v>3.9</v>
      </c>
      <c r="I697" s="48" t="n">
        <v>2.68</v>
      </c>
      <c r="J697" s="22" t="n">
        <v>-0.0606</v>
      </c>
      <c r="K697" s="49" t="n">
        <v>1</v>
      </c>
      <c r="L697" s="21" t="n">
        <v>7</v>
      </c>
      <c r="M697" s="50" t="inlineStr">
        <is>
          <t>Win</t>
        </is>
      </c>
      <c r="N697" s="23">
        <f>IF(M697="Win",IF(F697="Bet",(I697-1)*K697,K697),IF(M697="Loss",IF(F697="Bet",-K697,-(I697-1)*K697),IF(M697="Void",0,"")))</f>
        <v/>
      </c>
      <c r="O697" s="24">
        <f>IF(OR(M697="Win",M697="Loss"),IF(F697="Bet",K697,(I697-1)*K697),"")</f>
        <v/>
      </c>
    </row>
    <row r="698">
      <c r="A698" s="37" t="n">
        <v>46294</v>
      </c>
      <c r="B698" s="38" t="inlineStr">
        <is>
          <t>Grafton</t>
        </is>
      </c>
      <c r="C698" s="15" t="n">
        <v>3</v>
      </c>
      <c r="D698" s="15" t="n">
        <v>10</v>
      </c>
      <c r="E698" s="14" t="inlineStr">
        <is>
          <t>Crazy Eights</t>
        </is>
      </c>
      <c r="F698" s="43" t="inlineStr">
        <is>
          <t>Lay</t>
        </is>
      </c>
      <c r="G698" s="47" t="inlineStr">
        <is>
          <t>Lay</t>
        </is>
      </c>
      <c r="H698" s="41" t="n">
        <v>3.3</v>
      </c>
      <c r="I698" s="41" t="n">
        <v>2.6</v>
      </c>
      <c r="J698" s="16" t="n">
        <v>-0.0809</v>
      </c>
      <c r="K698" s="42" t="n">
        <v>1</v>
      </c>
      <c r="L698" s="15" t="n"/>
      <c r="M698" s="54" t="inlineStr">
        <is>
          <t>Void</t>
        </is>
      </c>
      <c r="N698" s="17">
        <f>IF(M698="Win",IF(F698="Bet",(I698-1)*K698,K698),IF(M698="Loss",IF(F698="Bet",-K698,-(I698-1)*K698),IF(M698="Void",0,"")))</f>
        <v/>
      </c>
      <c r="O698" s="18">
        <f>IF(OR(M698="Win",M698="Loss"),IF(F698="Bet",K698,(I698-1)*K698),"")</f>
        <v/>
      </c>
    </row>
    <row r="699">
      <c r="A699" s="44" t="n">
        <v>46294</v>
      </c>
      <c r="B699" s="45" t="inlineStr">
        <is>
          <t>Tatura</t>
        </is>
      </c>
      <c r="C699" s="21" t="n">
        <v>3</v>
      </c>
      <c r="D699" s="21" t="n">
        <v>7</v>
      </c>
      <c r="E699" s="20" t="inlineStr">
        <is>
          <t>Vespasian</t>
        </is>
      </c>
      <c r="F699" s="46" t="inlineStr">
        <is>
          <t>Lay</t>
        </is>
      </c>
      <c r="G699" s="47" t="inlineStr">
        <is>
          <t>Lay</t>
        </is>
      </c>
      <c r="H699" s="48" t="n">
        <v>3.3</v>
      </c>
      <c r="I699" s="48" t="n">
        <v>2.24</v>
      </c>
      <c r="J699" s="22" t="n">
        <v>-0.0611</v>
      </c>
      <c r="K699" s="49" t="n">
        <v>1</v>
      </c>
      <c r="L699" s="21" t="n">
        <v>4</v>
      </c>
      <c r="M699" s="50" t="inlineStr">
        <is>
          <t>Win</t>
        </is>
      </c>
      <c r="N699" s="23">
        <f>IF(M699="Win",IF(F699="Bet",(I699-1)*K699,K699),IF(M699="Loss",IF(F699="Bet",-K699,-(I699-1)*K699),IF(M699="Void",0,"")))</f>
        <v/>
      </c>
      <c r="O699" s="24">
        <f>IF(OR(M699="Win",M699="Loss"),IF(F699="Bet",K699,(I699-1)*K699),"")</f>
        <v/>
      </c>
    </row>
    <row r="700">
      <c r="A700" s="37" t="n">
        <v>46294</v>
      </c>
      <c r="B700" s="38" t="inlineStr">
        <is>
          <t>Grafton</t>
        </is>
      </c>
      <c r="C700" s="15" t="n">
        <v>6</v>
      </c>
      <c r="D700" s="15" t="n">
        <v>8</v>
      </c>
      <c r="E700" s="14" t="inlineStr">
        <is>
          <t>Copenhagen Cat</t>
        </is>
      </c>
      <c r="F700" s="43" t="inlineStr">
        <is>
          <t>Lay</t>
        </is>
      </c>
      <c r="G700" s="47" t="inlineStr">
        <is>
          <t>Lay</t>
        </is>
      </c>
      <c r="H700" s="41" t="n">
        <v>5.7</v>
      </c>
      <c r="I700" s="41" t="n">
        <v>3.4</v>
      </c>
      <c r="J700" s="16" t="n">
        <v>-0.0798</v>
      </c>
      <c r="K700" s="42" t="n">
        <v>1</v>
      </c>
      <c r="L700" s="15" t="n">
        <v>7</v>
      </c>
      <c r="M700" s="51" t="inlineStr">
        <is>
          <t>Win</t>
        </is>
      </c>
      <c r="N700" s="17">
        <f>IF(M700="Win",IF(F700="Bet",(I700-1)*K700,K700),IF(M700="Loss",IF(F700="Bet",-K700,-(I700-1)*K700),IF(M700="Void",0,"")))</f>
        <v/>
      </c>
      <c r="O700" s="18">
        <f>IF(OR(M700="Win",M700="Loss"),IF(F700="Bet",K700,(I700-1)*K700),"")</f>
        <v/>
      </c>
    </row>
    <row r="701">
      <c r="A701" s="44" t="n">
        <v>46294</v>
      </c>
      <c r="B701" s="45" t="inlineStr">
        <is>
          <t>Tatura</t>
        </is>
      </c>
      <c r="C701" s="21" t="n">
        <v>6</v>
      </c>
      <c r="D701" s="21" t="n">
        <v>11</v>
      </c>
      <c r="E701" s="20" t="inlineStr">
        <is>
          <t>Wambeen</t>
        </is>
      </c>
      <c r="F701" s="46" t="inlineStr">
        <is>
          <t>Lay</t>
        </is>
      </c>
      <c r="G701" s="47" t="inlineStr">
        <is>
          <t>Lay</t>
        </is>
      </c>
      <c r="H701" s="48" t="n">
        <v>8.4</v>
      </c>
      <c r="I701" s="48" t="n">
        <v>5.3</v>
      </c>
      <c r="J701" s="22" t="n">
        <v>-0.0698</v>
      </c>
      <c r="K701" s="49" t="n">
        <v>1</v>
      </c>
      <c r="L701" s="21" t="n">
        <v>2</v>
      </c>
      <c r="M701" s="50" t="inlineStr">
        <is>
          <t>Win</t>
        </is>
      </c>
      <c r="N701" s="23">
        <f>IF(M701="Win",IF(F701="Bet",(I701-1)*K701,K701),IF(M701="Loss",IF(F701="Bet",-K701,-(I701-1)*K701),IF(M701="Void",0,"")))</f>
        <v/>
      </c>
      <c r="O701" s="24">
        <f>IF(OR(M701="Win",M701="Loss"),IF(F701="Bet",K701,(I701-1)*K701),"")</f>
        <v/>
      </c>
    </row>
    <row r="702">
      <c r="A702" s="37" t="n">
        <v>46294</v>
      </c>
      <c r="B702" s="38" t="inlineStr">
        <is>
          <t>Tatura</t>
        </is>
      </c>
      <c r="C702" s="15" t="n">
        <v>7</v>
      </c>
      <c r="D702" s="15" t="n">
        <v>4</v>
      </c>
      <c r="E702" s="14" t="inlineStr">
        <is>
          <t>Sugar Schnapps</t>
        </is>
      </c>
      <c r="F702" s="43" t="inlineStr">
        <is>
          <t>Lay</t>
        </is>
      </c>
      <c r="G702" s="47" t="inlineStr">
        <is>
          <t>Lay</t>
        </is>
      </c>
      <c r="H702" s="41" t="n">
        <v>5.5</v>
      </c>
      <c r="I702" s="41" t="n">
        <v>3.18</v>
      </c>
      <c r="J702" s="16" t="n">
        <v>-0.0881</v>
      </c>
      <c r="K702" s="42" t="n">
        <v>1</v>
      </c>
      <c r="L702" s="15" t="n">
        <v>2</v>
      </c>
      <c r="M702" s="51" t="inlineStr">
        <is>
          <t>Win</t>
        </is>
      </c>
      <c r="N702" s="17">
        <f>IF(M702="Win",IF(F702="Bet",(I702-1)*K702,K702),IF(M702="Loss",IF(F702="Bet",-K702,-(I702-1)*K702),IF(M702="Void",0,"")))</f>
        <v/>
      </c>
      <c r="O702" s="18">
        <f>IF(OR(M702="Win",M702="Loss"),IF(F702="Bet",K702,(I702-1)*K702),"")</f>
        <v/>
      </c>
    </row>
    <row r="703">
      <c r="A703" s="44" t="n">
        <v>46294</v>
      </c>
      <c r="B703" s="45" t="inlineStr">
        <is>
          <t>Tatura</t>
        </is>
      </c>
      <c r="C703" s="21" t="n">
        <v>4</v>
      </c>
      <c r="D703" s="21" t="n">
        <v>1</v>
      </c>
      <c r="E703" s="20" t="inlineStr">
        <is>
          <t>Baganov</t>
        </is>
      </c>
      <c r="F703" s="46" t="inlineStr">
        <is>
          <t>Lay</t>
        </is>
      </c>
      <c r="G703" s="47" t="inlineStr">
        <is>
          <t>Lay</t>
        </is>
      </c>
      <c r="H703" s="48" t="n">
        <v>4.3</v>
      </c>
      <c r="I703" s="48" t="n">
        <v>3.05</v>
      </c>
      <c r="J703" s="22" t="n">
        <v>-0.0625</v>
      </c>
      <c r="K703" s="49" t="n">
        <v>1</v>
      </c>
      <c r="L703" s="21" t="n">
        <v>3</v>
      </c>
      <c r="M703" s="50" t="inlineStr">
        <is>
          <t>Win</t>
        </is>
      </c>
      <c r="N703" s="23">
        <f>IF(M703="Win",IF(F703="Bet",(I703-1)*K703,K703),IF(M703="Loss",IF(F703="Bet",-K703,-(I703-1)*K703),IF(M703="Void",0,"")))</f>
        <v/>
      </c>
      <c r="O703" s="24">
        <f>IF(OR(M703="Win",M703="Loss"),IF(F703="Bet",K703,(I703-1)*K703),"")</f>
        <v/>
      </c>
    </row>
    <row r="704">
      <c r="A704" s="37" t="n">
        <v>46294</v>
      </c>
      <c r="B704" s="38" t="inlineStr">
        <is>
          <t>Grafton</t>
        </is>
      </c>
      <c r="C704" s="15" t="n">
        <v>2</v>
      </c>
      <c r="D704" s="15" t="n">
        <v>5</v>
      </c>
      <c r="E704" s="14" t="inlineStr">
        <is>
          <t>Parting The Seas</t>
        </is>
      </c>
      <c r="F704" s="43" t="inlineStr">
        <is>
          <t>Lay</t>
        </is>
      </c>
      <c r="G704" s="47" t="inlineStr">
        <is>
          <t>Lay</t>
        </is>
      </c>
      <c r="H704" s="41" t="n">
        <v>12.4</v>
      </c>
      <c r="I704" s="41" t="n">
        <v>7</v>
      </c>
      <c r="J704" s="16" t="n">
        <v>-0.0621</v>
      </c>
      <c r="K704" s="42" t="n">
        <v>1</v>
      </c>
      <c r="L704" s="15" t="n">
        <v>4</v>
      </c>
      <c r="M704" s="51" t="inlineStr">
        <is>
          <t>Win</t>
        </is>
      </c>
      <c r="N704" s="17">
        <f>IF(M704="Win",IF(F704="Bet",(I704-1)*K704,K704),IF(M704="Loss",IF(F704="Bet",-K704,-(I704-1)*K704),IF(M704="Void",0,"")))</f>
        <v/>
      </c>
      <c r="O704" s="18">
        <f>IF(OR(M704="Win",M704="Loss"),IF(F704="Bet",K704,(I704-1)*K704),"")</f>
        <v/>
      </c>
    </row>
    <row r="705">
      <c r="A705" s="44" t="n">
        <v>46294</v>
      </c>
      <c r="B705" s="45" t="inlineStr">
        <is>
          <t>Grafton</t>
        </is>
      </c>
      <c r="C705" s="21" t="n">
        <v>1</v>
      </c>
      <c r="D705" s="21" t="n">
        <v>5</v>
      </c>
      <c r="E705" s="20" t="inlineStr">
        <is>
          <t>Woodland Wonder</t>
        </is>
      </c>
      <c r="F705" s="46" t="inlineStr">
        <is>
          <t>Lay</t>
        </is>
      </c>
      <c r="G705" s="47" t="inlineStr">
        <is>
          <t>Lay</t>
        </is>
      </c>
      <c r="H705" s="48" t="n">
        <v>4.6</v>
      </c>
      <c r="I705" s="48" t="n">
        <v>3.55</v>
      </c>
      <c r="J705" s="22" t="n">
        <v>-0.0641</v>
      </c>
      <c r="K705" s="49" t="n">
        <v>1</v>
      </c>
      <c r="L705" s="21" t="n">
        <v>3</v>
      </c>
      <c r="M705" s="50" t="inlineStr">
        <is>
          <t>Win</t>
        </is>
      </c>
      <c r="N705" s="23">
        <f>IF(M705="Win",IF(F705="Bet",(I705-1)*K705,K705),IF(M705="Loss",IF(F705="Bet",-K705,-(I705-1)*K705),IF(M705="Void",0,"")))</f>
        <v/>
      </c>
      <c r="O705" s="24">
        <f>IF(OR(M705="Win",M705="Loss"),IF(F705="Bet",K705,(I705-1)*K705),"")</f>
        <v/>
      </c>
    </row>
    <row r="706">
      <c r="A706" s="37" t="n">
        <v>46294</v>
      </c>
      <c r="B706" s="38" t="inlineStr">
        <is>
          <t>Grafton</t>
        </is>
      </c>
      <c r="C706" s="15" t="n">
        <v>5</v>
      </c>
      <c r="D706" s="15" t="n">
        <v>14</v>
      </c>
      <c r="E706" s="14" t="inlineStr">
        <is>
          <t>Scrambling</t>
        </is>
      </c>
      <c r="F706" s="43" t="inlineStr">
        <is>
          <t>Lay</t>
        </is>
      </c>
      <c r="G706" s="47" t="inlineStr">
        <is>
          <t>Lay</t>
        </is>
      </c>
      <c r="H706" s="41" t="n">
        <v>2.1</v>
      </c>
      <c r="I706" s="41" t="n">
        <v>1.74</v>
      </c>
      <c r="J706" s="16" t="n">
        <v>-0.0755</v>
      </c>
      <c r="K706" s="42" t="n">
        <v>1</v>
      </c>
      <c r="L706" s="15" t="n">
        <v>1</v>
      </c>
      <c r="M706" s="43" t="inlineStr">
        <is>
          <t>Loss</t>
        </is>
      </c>
      <c r="N706" s="17">
        <f>IF(M706="Win",IF(F706="Bet",(I706-1)*K706,K706),IF(M706="Loss",IF(F706="Bet",-K706,-(I706-1)*K706),IF(M706="Void",0,"")))</f>
        <v/>
      </c>
      <c r="O706" s="18">
        <f>IF(OR(M706="Win",M706="Loss"),IF(F706="Bet",K706,(I706-1)*K706),"")</f>
        <v/>
      </c>
    </row>
    <row r="707">
      <c r="A707" s="44" t="n">
        <v>46294</v>
      </c>
      <c r="B707" s="45" t="inlineStr">
        <is>
          <t>Tatura</t>
        </is>
      </c>
      <c r="C707" s="21" t="n">
        <v>6</v>
      </c>
      <c r="D707" s="21" t="n">
        <v>3</v>
      </c>
      <c r="E707" s="20" t="inlineStr">
        <is>
          <t>Immortalised</t>
        </is>
      </c>
      <c r="F707" s="46" t="inlineStr">
        <is>
          <t>Lay</t>
        </is>
      </c>
      <c r="G707" s="47" t="inlineStr">
        <is>
          <t>Lay</t>
        </is>
      </c>
      <c r="H707" s="48" t="n">
        <v>5.2</v>
      </c>
      <c r="I707" s="48" t="n">
        <v>3</v>
      </c>
      <c r="J707" s="22" t="n">
        <v>-0.0607</v>
      </c>
      <c r="K707" s="49" t="n">
        <v>1</v>
      </c>
      <c r="L707" s="21" t="n">
        <v>11</v>
      </c>
      <c r="M707" s="50" t="inlineStr">
        <is>
          <t>Win</t>
        </is>
      </c>
      <c r="N707" s="23">
        <f>IF(M707="Win",IF(F707="Bet",(I707-1)*K707,K707),IF(M707="Loss",IF(F707="Bet",-K707,-(I707-1)*K707),IF(M707="Void",0,"")))</f>
        <v/>
      </c>
      <c r="O707" s="24">
        <f>IF(OR(M707="Win",M707="Loss"),IF(F707="Bet",K707,(I707-1)*K707),"")</f>
        <v/>
      </c>
    </row>
    <row r="708">
      <c r="A708" s="37" t="n">
        <v>46294</v>
      </c>
      <c r="B708" s="38" t="inlineStr">
        <is>
          <t>Tatura</t>
        </is>
      </c>
      <c r="C708" s="15" t="n">
        <v>7</v>
      </c>
      <c r="D708" s="15" t="n">
        <v>8</v>
      </c>
      <c r="E708" s="14" t="inlineStr">
        <is>
          <t>Asmita</t>
        </is>
      </c>
      <c r="F708" s="43" t="inlineStr">
        <is>
          <t>Lay</t>
        </is>
      </c>
      <c r="G708" s="47" t="inlineStr">
        <is>
          <t>Lay</t>
        </is>
      </c>
      <c r="H708" s="41" t="n">
        <v>3.6</v>
      </c>
      <c r="I708" s="41" t="n">
        <v>2.96</v>
      </c>
      <c r="J708" s="16" t="n">
        <v>-0.0619</v>
      </c>
      <c r="K708" s="42" t="n">
        <v>1</v>
      </c>
      <c r="L708" s="15" t="n">
        <v>4</v>
      </c>
      <c r="M708" s="51" t="inlineStr">
        <is>
          <t>Win</t>
        </is>
      </c>
      <c r="N708" s="17">
        <f>IF(M708="Win",IF(F708="Bet",(I708-1)*K708,K708),IF(M708="Loss",IF(F708="Bet",-K708,-(I708-1)*K708),IF(M708="Void",0,"")))</f>
        <v/>
      </c>
      <c r="O708" s="18">
        <f>IF(OR(M708="Win",M708="Loss"),IF(F708="Bet",K708,(I708-1)*K708),"")</f>
        <v/>
      </c>
    </row>
    <row r="709">
      <c r="A709" s="44" t="n">
        <v>46294</v>
      </c>
      <c r="B709" s="45" t="inlineStr">
        <is>
          <t>Tatura</t>
        </is>
      </c>
      <c r="C709" s="21" t="n">
        <v>7</v>
      </c>
      <c r="D709" s="21" t="n">
        <v>7</v>
      </c>
      <c r="E709" s="20" t="inlineStr">
        <is>
          <t>Lujaego</t>
        </is>
      </c>
      <c r="F709" s="52" t="inlineStr">
        <is>
          <t>Bet</t>
        </is>
      </c>
      <c r="G709" s="40" t="inlineStr">
        <is>
          <t>Bet</t>
        </is>
      </c>
      <c r="H709" s="48" t="n">
        <v>6.9</v>
      </c>
      <c r="I709" s="48" t="n">
        <v>8</v>
      </c>
      <c r="J709" s="22" t="n">
        <v>0.0203</v>
      </c>
      <c r="K709" s="49" t="n">
        <v>1</v>
      </c>
      <c r="L709" s="21" t="n">
        <v>8</v>
      </c>
      <c r="M709" s="46" t="inlineStr">
        <is>
          <t>Loss</t>
        </is>
      </c>
      <c r="N709" s="23">
        <f>IF(M709="Win",IF(F709="Bet",(I709-1)*K709,K709),IF(M709="Loss",IF(F709="Bet",-K709,-(I709-1)*K709),IF(M709="Void",0,"")))</f>
        <v/>
      </c>
      <c r="O709" s="24">
        <f>IF(OR(M709="Win",M709="Loss"),IF(F709="Bet",K709,(I709-1)*K709),"")</f>
        <v/>
      </c>
    </row>
    <row r="710">
      <c r="A710" s="37" t="n">
        <v>46295</v>
      </c>
      <c r="B710" s="38" t="inlineStr">
        <is>
          <t>Balaklava</t>
        </is>
      </c>
      <c r="C710" s="15" t="n">
        <v>1</v>
      </c>
      <c r="D710" s="15" t="n">
        <v>1</v>
      </c>
      <c r="E710" s="14" t="inlineStr">
        <is>
          <t>Synthesise</t>
        </is>
      </c>
      <c r="F710" s="39" t="inlineStr">
        <is>
          <t>Bet</t>
        </is>
      </c>
      <c r="G710" s="53" t="inlineStr">
        <is>
          <t>Prime</t>
        </is>
      </c>
      <c r="H710" s="41" t="n">
        <v>1.8</v>
      </c>
      <c r="I710" s="41" t="n">
        <v>2.45</v>
      </c>
      <c r="J710" s="16" t="n">
        <v>0.0725</v>
      </c>
      <c r="K710" s="42" t="n">
        <v>1</v>
      </c>
      <c r="L710" s="15" t="n">
        <v>2</v>
      </c>
      <c r="M710" s="43" t="inlineStr">
        <is>
          <t>Loss</t>
        </is>
      </c>
      <c r="N710" s="17">
        <f>IF(M710="Win",IF(F710="Bet",(I710-1)*K710,K710),IF(M710="Loss",IF(F710="Bet",-K710,-(I710-1)*K710),IF(M710="Void",0,"")))</f>
        <v/>
      </c>
      <c r="O710" s="18">
        <f>IF(OR(M710="Win",M710="Loss"),IF(F710="Bet",K710,(I710-1)*K710),"")</f>
        <v/>
      </c>
    </row>
    <row r="711">
      <c r="A711" s="44" t="n">
        <v>46295</v>
      </c>
      <c r="B711" s="45" t="inlineStr">
        <is>
          <t>Balaklava</t>
        </is>
      </c>
      <c r="C711" s="21" t="n">
        <v>1</v>
      </c>
      <c r="D711" s="21" t="n">
        <v>6</v>
      </c>
      <c r="E711" s="20" t="inlineStr">
        <is>
          <t>Hell's On Fire</t>
        </is>
      </c>
      <c r="F711" s="46" t="inlineStr">
        <is>
          <t>Lay</t>
        </is>
      </c>
      <c r="G711" s="47" t="inlineStr">
        <is>
          <t>Lay</t>
        </is>
      </c>
      <c r="H711" s="48" t="n">
        <v>5</v>
      </c>
      <c r="I711" s="48" t="n">
        <v>3.25</v>
      </c>
      <c r="J711" s="22" t="n">
        <v>-0.06320000000000001</v>
      </c>
      <c r="K711" s="49" t="n">
        <v>1</v>
      </c>
      <c r="L711" s="21" t="n">
        <v>3</v>
      </c>
      <c r="M711" s="50" t="inlineStr">
        <is>
          <t>Win</t>
        </is>
      </c>
      <c r="N711" s="23">
        <f>IF(M711="Win",IF(F711="Bet",(I711-1)*K711,K711),IF(M711="Loss",IF(F711="Bet",-K711,-(I711-1)*K711),IF(M711="Void",0,"")))</f>
        <v/>
      </c>
      <c r="O711" s="24">
        <f>IF(OR(M711="Win",M711="Loss"),IF(F711="Bet",K711,(I711-1)*K711),"")</f>
        <v/>
      </c>
    </row>
    <row r="712">
      <c r="A712" s="37" t="n">
        <v>46295</v>
      </c>
      <c r="B712" s="38" t="inlineStr">
        <is>
          <t>Doomben</t>
        </is>
      </c>
      <c r="C712" s="15" t="n">
        <v>3</v>
      </c>
      <c r="D712" s="15" t="n">
        <v>1</v>
      </c>
      <c r="E712" s="14" t="inlineStr">
        <is>
          <t>Perfect Play</t>
        </is>
      </c>
      <c r="F712" s="39" t="inlineStr">
        <is>
          <t>Bet</t>
        </is>
      </c>
      <c r="G712" s="53" t="inlineStr">
        <is>
          <t>Prime</t>
        </is>
      </c>
      <c r="H712" s="41" t="n">
        <v>2.4</v>
      </c>
      <c r="I712" s="41" t="n">
        <v>2.6</v>
      </c>
      <c r="J712" s="16" t="n">
        <v>0.0348</v>
      </c>
      <c r="K712" s="42" t="n">
        <v>1</v>
      </c>
      <c r="L712" s="15" t="n">
        <v>1</v>
      </c>
      <c r="M712" s="51" t="inlineStr">
        <is>
          <t>Win</t>
        </is>
      </c>
      <c r="N712" s="17">
        <f>IF(M712="Win",IF(F712="Bet",(I712-1)*K712,K712),IF(M712="Loss",IF(F712="Bet",-K712,-(I712-1)*K712),IF(M712="Void",0,"")))</f>
        <v/>
      </c>
      <c r="O712" s="18">
        <f>IF(OR(M712="Win",M712="Loss"),IF(F712="Bet",K712,(I712-1)*K712),"")</f>
        <v/>
      </c>
    </row>
    <row r="713">
      <c r="A713" s="44" t="n">
        <v>46295</v>
      </c>
      <c r="B713" s="45" t="inlineStr">
        <is>
          <t>Ballarat</t>
        </is>
      </c>
      <c r="C713" s="21" t="n">
        <v>5</v>
      </c>
      <c r="D713" s="21" t="n">
        <v>5</v>
      </c>
      <c r="E713" s="20" t="inlineStr">
        <is>
          <t>Yauson</t>
        </is>
      </c>
      <c r="F713" s="46" t="inlineStr">
        <is>
          <t>Lay</t>
        </is>
      </c>
      <c r="G713" s="47" t="inlineStr">
        <is>
          <t>Lay</t>
        </is>
      </c>
      <c r="H713" s="48" t="n">
        <v>2.45</v>
      </c>
      <c r="I713" s="48" t="n">
        <v>1.97</v>
      </c>
      <c r="J713" s="22" t="n">
        <v>-0.07000000000000001</v>
      </c>
      <c r="K713" s="49" t="n">
        <v>1</v>
      </c>
      <c r="L713" s="21" t="n">
        <v>1</v>
      </c>
      <c r="M713" s="46" t="inlineStr">
        <is>
          <t>Loss</t>
        </is>
      </c>
      <c r="N713" s="23">
        <f>IF(M713="Win",IF(F713="Bet",(I713-1)*K713,K713),IF(M713="Loss",IF(F713="Bet",-K713,-(I713-1)*K713),IF(M713="Void",0,"")))</f>
        <v/>
      </c>
      <c r="O713" s="24">
        <f>IF(OR(M713="Win",M713="Loss"),IF(F713="Bet",K713,(I713-1)*K713),"")</f>
        <v/>
      </c>
    </row>
    <row r="714">
      <c r="A714" s="37" t="n">
        <v>46295</v>
      </c>
      <c r="B714" s="38" t="inlineStr">
        <is>
          <t>Rosehill</t>
        </is>
      </c>
      <c r="C714" s="15" t="n">
        <v>4</v>
      </c>
      <c r="D714" s="15" t="n">
        <v>2</v>
      </c>
      <c r="E714" s="14" t="inlineStr">
        <is>
          <t>Kenmare Bay</t>
        </is>
      </c>
      <c r="F714" s="43" t="inlineStr">
        <is>
          <t>Lay</t>
        </is>
      </c>
      <c r="G714" s="47" t="inlineStr">
        <is>
          <t>Lay</t>
        </is>
      </c>
      <c r="H714" s="41" t="n">
        <v>3.2</v>
      </c>
      <c r="I714" s="41" t="n">
        <v>1.99</v>
      </c>
      <c r="J714" s="16" t="n">
        <v>-0.0607</v>
      </c>
      <c r="K714" s="42" t="n">
        <v>1</v>
      </c>
      <c r="L714" s="15" t="n">
        <v>1</v>
      </c>
      <c r="M714" s="43" t="inlineStr">
        <is>
          <t>Loss</t>
        </is>
      </c>
      <c r="N714" s="17">
        <f>IF(M714="Win",IF(F714="Bet",(I714-1)*K714,K714),IF(M714="Loss",IF(F714="Bet",-K714,-(I714-1)*K714),IF(M714="Void",0,"")))</f>
        <v/>
      </c>
      <c r="O714" s="18">
        <f>IF(OR(M714="Win",M714="Loss"),IF(F714="Bet",K714,(I714-1)*K714),"")</f>
        <v/>
      </c>
    </row>
    <row r="715">
      <c r="A715" s="44" t="n">
        <v>46295</v>
      </c>
      <c r="B715" s="45" t="inlineStr">
        <is>
          <t>Geraldton</t>
        </is>
      </c>
      <c r="C715" s="21" t="n">
        <v>1</v>
      </c>
      <c r="D715" s="21" t="n">
        <v>2</v>
      </c>
      <c r="E715" s="20" t="inlineStr">
        <is>
          <t>Prince Epaulette</t>
        </is>
      </c>
      <c r="F715" s="46" t="inlineStr">
        <is>
          <t>Lay</t>
        </is>
      </c>
      <c r="G715" s="47" t="inlineStr">
        <is>
          <t>Lay</t>
        </is>
      </c>
      <c r="H715" s="48" t="n">
        <v>3.7</v>
      </c>
      <c r="I715" s="48" t="n">
        <v>2.54</v>
      </c>
      <c r="J715" s="22" t="n">
        <v>-0.1009</v>
      </c>
      <c r="K715" s="49" t="n">
        <v>1</v>
      </c>
      <c r="L715" s="21" t="n">
        <v>2</v>
      </c>
      <c r="M715" s="50" t="inlineStr">
        <is>
          <t>Win</t>
        </is>
      </c>
      <c r="N715" s="23">
        <f>IF(M715="Win",IF(F715="Bet",(I715-1)*K715,K715),IF(M715="Loss",IF(F715="Bet",-K715,-(I715-1)*K715),IF(M715="Void",0,"")))</f>
        <v/>
      </c>
      <c r="O715" s="24">
        <f>IF(OR(M715="Win",M715="Loss"),IF(F715="Bet",K715,(I715-1)*K715),"")</f>
        <v/>
      </c>
    </row>
    <row r="716">
      <c r="A716" s="37" t="n">
        <v>46295</v>
      </c>
      <c r="B716" s="38" t="inlineStr">
        <is>
          <t>Geraldton</t>
        </is>
      </c>
      <c r="C716" s="15" t="n">
        <v>2</v>
      </c>
      <c r="D716" s="15" t="n">
        <v>2</v>
      </c>
      <c r="E716" s="14" t="inlineStr">
        <is>
          <t>Beston Street</t>
        </is>
      </c>
      <c r="F716" s="43" t="inlineStr">
        <is>
          <t>Lay</t>
        </is>
      </c>
      <c r="G716" s="47" t="inlineStr">
        <is>
          <t>Lay</t>
        </is>
      </c>
      <c r="H716" s="41" t="n">
        <v>3.5</v>
      </c>
      <c r="I716" s="41" t="n">
        <v>2.26</v>
      </c>
      <c r="J716" s="16" t="n">
        <v>-0.073</v>
      </c>
      <c r="K716" s="42" t="n">
        <v>1</v>
      </c>
      <c r="L716" s="15" t="n">
        <v>3</v>
      </c>
      <c r="M716" s="51" t="inlineStr">
        <is>
          <t>Win</t>
        </is>
      </c>
      <c r="N716" s="17">
        <f>IF(M716="Win",IF(F716="Bet",(I716-1)*K716,K716),IF(M716="Loss",IF(F716="Bet",-K716,-(I716-1)*K716),IF(M716="Void",0,"")))</f>
        <v/>
      </c>
      <c r="O716" s="18">
        <f>IF(OR(M716="Win",M716="Loss"),IF(F716="Bet",K716,(I716-1)*K716),"")</f>
        <v/>
      </c>
    </row>
    <row r="717">
      <c r="A717" s="44" t="n">
        <v>46295</v>
      </c>
      <c r="B717" s="45" t="inlineStr">
        <is>
          <t>Rosehill</t>
        </is>
      </c>
      <c r="C717" s="21" t="n">
        <v>5</v>
      </c>
      <c r="D717" s="21" t="n">
        <v>8</v>
      </c>
      <c r="E717" s="20" t="inlineStr">
        <is>
          <t>Savagram</t>
        </is>
      </c>
      <c r="F717" s="46" t="inlineStr">
        <is>
          <t>Lay</t>
        </is>
      </c>
      <c r="G717" s="47" t="inlineStr">
        <is>
          <t>Lay</t>
        </is>
      </c>
      <c r="H717" s="48" t="n">
        <v>7.2</v>
      </c>
      <c r="I717" s="48" t="n">
        <v>5</v>
      </c>
      <c r="J717" s="22" t="n">
        <v>-0.0602</v>
      </c>
      <c r="K717" s="49" t="n">
        <v>1</v>
      </c>
      <c r="L717" s="21" t="n"/>
      <c r="M717" s="55" t="inlineStr">
        <is>
          <t>Void</t>
        </is>
      </c>
      <c r="N717" s="23">
        <f>IF(M717="Win",IF(F717="Bet",(I717-1)*K717,K717),IF(M717="Loss",IF(F717="Bet",-K717,-(I717-1)*K717),IF(M717="Void",0,"")))</f>
        <v/>
      </c>
      <c r="O717" s="24">
        <f>IF(OR(M717="Win",M717="Loss"),IF(F717="Bet",K717,(I717-1)*K717),"")</f>
        <v/>
      </c>
    </row>
    <row r="718">
      <c r="A718" s="37" t="n">
        <v>46295</v>
      </c>
      <c r="B718" s="38" t="inlineStr">
        <is>
          <t>Balaklava</t>
        </is>
      </c>
      <c r="C718" s="15" t="n">
        <v>4</v>
      </c>
      <c r="D718" s="15" t="n">
        <v>3</v>
      </c>
      <c r="E718" s="14" t="inlineStr">
        <is>
          <t>Never Pegasus</t>
        </is>
      </c>
      <c r="F718" s="43" t="inlineStr">
        <is>
          <t>Lay</t>
        </is>
      </c>
      <c r="G718" s="47" t="inlineStr">
        <is>
          <t>Lay</t>
        </is>
      </c>
      <c r="H718" s="41" t="n">
        <v>6.1</v>
      </c>
      <c r="I718" s="41" t="n">
        <v>3.94</v>
      </c>
      <c r="J718" s="16" t="n">
        <v>-0.07489999999999999</v>
      </c>
      <c r="K718" s="42" t="n">
        <v>1</v>
      </c>
      <c r="L718" s="15" t="n">
        <v>4</v>
      </c>
      <c r="M718" s="51" t="inlineStr">
        <is>
          <t>Win</t>
        </is>
      </c>
      <c r="N718" s="17">
        <f>IF(M718="Win",IF(F718="Bet",(I718-1)*K718,K718),IF(M718="Loss",IF(F718="Bet",-K718,-(I718-1)*K718),IF(M718="Void",0,"")))</f>
        <v/>
      </c>
      <c r="O718" s="18">
        <f>IF(OR(M718="Win",M718="Loss"),IF(F718="Bet",K718,(I718-1)*K718),"")</f>
        <v/>
      </c>
    </row>
    <row r="719">
      <c r="A719" s="44" t="n">
        <v>46295</v>
      </c>
      <c r="B719" s="45" t="inlineStr">
        <is>
          <t>Ballarat</t>
        </is>
      </c>
      <c r="C719" s="21" t="n">
        <v>4</v>
      </c>
      <c r="D719" s="21" t="n">
        <v>9</v>
      </c>
      <c r="E719" s="20" t="inlineStr">
        <is>
          <t>Perfect Night</t>
        </is>
      </c>
      <c r="F719" s="46" t="inlineStr">
        <is>
          <t>Lay</t>
        </is>
      </c>
      <c r="G719" s="47" t="inlineStr">
        <is>
          <t>Lay</t>
        </is>
      </c>
      <c r="H719" s="48" t="n">
        <v>5</v>
      </c>
      <c r="I719" s="48" t="n">
        <v>2.44</v>
      </c>
      <c r="J719" s="22" t="n">
        <v>-0.0779</v>
      </c>
      <c r="K719" s="49" t="n">
        <v>1</v>
      </c>
      <c r="L719" s="21" t="n">
        <v>4</v>
      </c>
      <c r="M719" s="50" t="inlineStr">
        <is>
          <t>Win</t>
        </is>
      </c>
      <c r="N719" s="23">
        <f>IF(M719="Win",IF(F719="Bet",(I719-1)*K719,K719),IF(M719="Loss",IF(F719="Bet",-K719,-(I719-1)*K719),IF(M719="Void",0,"")))</f>
        <v/>
      </c>
      <c r="O719" s="24">
        <f>IF(OR(M719="Win",M719="Loss"),IF(F719="Bet",K719,(I719-1)*K719),"")</f>
        <v/>
      </c>
    </row>
    <row r="720">
      <c r="A720" s="37" t="n">
        <v>46295</v>
      </c>
      <c r="B720" s="38" t="inlineStr">
        <is>
          <t>Geraldton</t>
        </is>
      </c>
      <c r="C720" s="15" t="n">
        <v>2</v>
      </c>
      <c r="D720" s="15" t="n">
        <v>8</v>
      </c>
      <c r="E720" s="14" t="inlineStr">
        <is>
          <t>Beaumont Miss</t>
        </is>
      </c>
      <c r="F720" s="43" t="inlineStr">
        <is>
          <t>Lay</t>
        </is>
      </c>
      <c r="G720" s="47" t="inlineStr">
        <is>
          <t>Lay</t>
        </is>
      </c>
      <c r="H720" s="41" t="n">
        <v>2.3</v>
      </c>
      <c r="I720" s="41" t="n">
        <v>1.98</v>
      </c>
      <c r="J720" s="16" t="n">
        <v>-0.0678</v>
      </c>
      <c r="K720" s="42" t="n">
        <v>1</v>
      </c>
      <c r="L720" s="15" t="n">
        <v>1</v>
      </c>
      <c r="M720" s="43" t="inlineStr">
        <is>
          <t>Loss</t>
        </is>
      </c>
      <c r="N720" s="17">
        <f>IF(M720="Win",IF(F720="Bet",(I720-1)*K720,K720),IF(M720="Loss",IF(F720="Bet",-K720,-(I720-1)*K720),IF(M720="Void",0,"")))</f>
        <v/>
      </c>
      <c r="O720" s="18">
        <f>IF(OR(M720="Win",M720="Loss"),IF(F720="Bet",K720,(I720-1)*K720),"")</f>
        <v/>
      </c>
    </row>
    <row r="721">
      <c r="A721" s="44" t="n">
        <v>46295</v>
      </c>
      <c r="B721" s="45" t="inlineStr">
        <is>
          <t>Doomben</t>
        </is>
      </c>
      <c r="C721" s="21" t="n">
        <v>5</v>
      </c>
      <c r="D721" s="21" t="n">
        <v>9</v>
      </c>
      <c r="E721" s="20" t="inlineStr">
        <is>
          <t>Spiethtacular</t>
        </is>
      </c>
      <c r="F721" s="52" t="inlineStr">
        <is>
          <t>Bet</t>
        </is>
      </c>
      <c r="G721" s="40" t="inlineStr">
        <is>
          <t>Bet</t>
        </is>
      </c>
      <c r="H721" s="48" t="n">
        <v>2.75</v>
      </c>
      <c r="I721" s="48" t="n">
        <v>3.06</v>
      </c>
      <c r="J721" s="22" t="n">
        <v>0.033</v>
      </c>
      <c r="K721" s="49" t="n">
        <v>1</v>
      </c>
      <c r="L721" s="21" t="n">
        <v>1</v>
      </c>
      <c r="M721" s="50" t="inlineStr">
        <is>
          <t>Win</t>
        </is>
      </c>
      <c r="N721" s="23">
        <f>IF(M721="Win",IF(F721="Bet",(I721-1)*K721,K721),IF(M721="Loss",IF(F721="Bet",-K721,-(I721-1)*K721),IF(M721="Void",0,"")))</f>
        <v/>
      </c>
      <c r="O721" s="24">
        <f>IF(OR(M721="Win",M721="Loss"),IF(F721="Bet",K721,(I721-1)*K721),"")</f>
        <v/>
      </c>
    </row>
    <row r="722">
      <c r="A722" s="37" t="n">
        <v>46295</v>
      </c>
      <c r="B722" s="38" t="inlineStr">
        <is>
          <t>Doomben</t>
        </is>
      </c>
      <c r="C722" s="15" t="n">
        <v>1</v>
      </c>
      <c r="D722" s="15" t="n">
        <v>5</v>
      </c>
      <c r="E722" s="14" t="inlineStr">
        <is>
          <t>Crazy Eights</t>
        </is>
      </c>
      <c r="F722" s="43" t="inlineStr">
        <is>
          <t>Lay</t>
        </is>
      </c>
      <c r="G722" s="47" t="inlineStr">
        <is>
          <t>Lay</t>
        </is>
      </c>
      <c r="H722" s="41" t="n">
        <v>4.8</v>
      </c>
      <c r="I722" s="41" t="n">
        <v>3.65</v>
      </c>
      <c r="J722" s="16" t="n">
        <v>-0.06419999999999999</v>
      </c>
      <c r="K722" s="42" t="n">
        <v>1</v>
      </c>
      <c r="L722" s="15" t="n">
        <v>7</v>
      </c>
      <c r="M722" s="51" t="inlineStr">
        <is>
          <t>Win</t>
        </is>
      </c>
      <c r="N722" s="17">
        <f>IF(M722="Win",IF(F722="Bet",(I722-1)*K722,K722),IF(M722="Loss",IF(F722="Bet",-K722,-(I722-1)*K722),IF(M722="Void",0,"")))</f>
        <v/>
      </c>
      <c r="O722" s="18">
        <f>IF(OR(M722="Win",M722="Loss"),IF(F722="Bet",K722,(I722-1)*K722),"")</f>
        <v/>
      </c>
    </row>
    <row r="723">
      <c r="A723" s="44" t="n">
        <v>46295</v>
      </c>
      <c r="B723" s="45" t="inlineStr">
        <is>
          <t>Doomben</t>
        </is>
      </c>
      <c r="C723" s="21" t="n">
        <v>3</v>
      </c>
      <c r="D723" s="21" t="n">
        <v>5</v>
      </c>
      <c r="E723" s="20" t="inlineStr">
        <is>
          <t>Twisted Queen</t>
        </is>
      </c>
      <c r="F723" s="46" t="inlineStr">
        <is>
          <t>Lay</t>
        </is>
      </c>
      <c r="G723" s="47" t="inlineStr">
        <is>
          <t>Lay</t>
        </is>
      </c>
      <c r="H723" s="48" t="n">
        <v>4.8</v>
      </c>
      <c r="I723" s="48" t="n">
        <v>2.8</v>
      </c>
      <c r="J723" s="22" t="n">
        <v>-0.0741</v>
      </c>
      <c r="K723" s="49" t="n">
        <v>1</v>
      </c>
      <c r="L723" s="21" t="n">
        <v>2</v>
      </c>
      <c r="M723" s="50" t="inlineStr">
        <is>
          <t>Win</t>
        </is>
      </c>
      <c r="N723" s="23">
        <f>IF(M723="Win",IF(F723="Bet",(I723-1)*K723,K723),IF(M723="Loss",IF(F723="Bet",-K723,-(I723-1)*K723),IF(M723="Void",0,"")))</f>
        <v/>
      </c>
      <c r="O723" s="24">
        <f>IF(OR(M723="Win",M723="Loss"),IF(F723="Bet",K723,(I723-1)*K723),"")</f>
        <v/>
      </c>
    </row>
    <row r="724">
      <c r="A724" s="37" t="n">
        <v>46295</v>
      </c>
      <c r="B724" s="38" t="inlineStr">
        <is>
          <t>Ballarat</t>
        </is>
      </c>
      <c r="C724" s="15" t="n">
        <v>1</v>
      </c>
      <c r="D724" s="15" t="n">
        <v>2</v>
      </c>
      <c r="E724" s="14" t="inlineStr">
        <is>
          <t>Egyptian Dancer</t>
        </is>
      </c>
      <c r="F724" s="39" t="inlineStr">
        <is>
          <t>Bet</t>
        </is>
      </c>
      <c r="G724" s="40" t="inlineStr">
        <is>
          <t>Bet</t>
        </is>
      </c>
      <c r="H724" s="41" t="n">
        <v>5.7</v>
      </c>
      <c r="I724" s="41" t="n">
        <v>6.5</v>
      </c>
      <c r="J724" s="16" t="n">
        <v>0.0224</v>
      </c>
      <c r="K724" s="42" t="n">
        <v>1</v>
      </c>
      <c r="L724" s="15" t="n">
        <v>6</v>
      </c>
      <c r="M724" s="43" t="inlineStr">
        <is>
          <t>Loss</t>
        </is>
      </c>
      <c r="N724" s="17">
        <f>IF(M724="Win",IF(F724="Bet",(I724-1)*K724,K724),IF(M724="Loss",IF(F724="Bet",-K724,-(I724-1)*K724),IF(M724="Void",0,"")))</f>
        <v/>
      </c>
      <c r="O724" s="18">
        <f>IF(OR(M724="Win",M724="Loss"),IF(F724="Bet",K724,(I724-1)*K724),"")</f>
        <v/>
      </c>
    </row>
    <row r="725">
      <c r="A725" s="44" t="n">
        <v>46295</v>
      </c>
      <c r="B725" s="45" t="inlineStr">
        <is>
          <t>Doomben</t>
        </is>
      </c>
      <c r="C725" s="21" t="n">
        <v>2</v>
      </c>
      <c r="D725" s="21" t="n">
        <v>5</v>
      </c>
      <c r="E725" s="20" t="inlineStr">
        <is>
          <t>Power Of Success</t>
        </is>
      </c>
      <c r="F725" s="46" t="inlineStr">
        <is>
          <t>Lay</t>
        </is>
      </c>
      <c r="G725" s="47" t="inlineStr">
        <is>
          <t>Lay</t>
        </is>
      </c>
      <c r="H725" s="48" t="n">
        <v>8</v>
      </c>
      <c r="I725" s="48" t="n">
        <v>5.2</v>
      </c>
      <c r="J725" s="22" t="n">
        <v>-0.06419999999999999</v>
      </c>
      <c r="K725" s="49" t="n">
        <v>1</v>
      </c>
      <c r="L725" s="21" t="n">
        <v>4</v>
      </c>
      <c r="M725" s="50" t="inlineStr">
        <is>
          <t>Win</t>
        </is>
      </c>
      <c r="N725" s="23">
        <f>IF(M725="Win",IF(F725="Bet",(I725-1)*K725,K725),IF(M725="Loss",IF(F725="Bet",-K725,-(I725-1)*K725),IF(M725="Void",0,"")))</f>
        <v/>
      </c>
      <c r="O725" s="24">
        <f>IF(OR(M725="Win",M725="Loss"),IF(F725="Bet",K725,(I725-1)*K725),"")</f>
        <v/>
      </c>
    </row>
    <row r="726">
      <c r="A726" s="37" t="n">
        <v>46295</v>
      </c>
      <c r="B726" s="38" t="inlineStr">
        <is>
          <t>Ballarat</t>
        </is>
      </c>
      <c r="C726" s="15" t="n">
        <v>2</v>
      </c>
      <c r="D726" s="15" t="n">
        <v>7</v>
      </c>
      <c r="E726" s="14" t="inlineStr">
        <is>
          <t>Sister's Run</t>
        </is>
      </c>
      <c r="F726" s="39" t="inlineStr">
        <is>
          <t>Bet</t>
        </is>
      </c>
      <c r="G726" s="40" t="inlineStr">
        <is>
          <t>Bet</t>
        </is>
      </c>
      <c r="H726" s="41" t="n">
        <v>7.3</v>
      </c>
      <c r="I726" s="41" t="n">
        <v>8.5</v>
      </c>
      <c r="J726" s="16" t="n">
        <v>0.0202</v>
      </c>
      <c r="K726" s="42" t="n">
        <v>1</v>
      </c>
      <c r="L726" s="15" t="n">
        <v>1</v>
      </c>
      <c r="M726" s="51" t="inlineStr">
        <is>
          <t>Win</t>
        </is>
      </c>
      <c r="N726" s="17">
        <f>IF(M726="Win",IF(F726="Bet",(I726-1)*K726,K726),IF(M726="Loss",IF(F726="Bet",-K726,-(I726-1)*K726),IF(M726="Void",0,"")))</f>
        <v/>
      </c>
      <c r="O726" s="18">
        <f>IF(OR(M726="Win",M726="Loss"),IF(F726="Bet",K726,(I726-1)*K726),"")</f>
        <v/>
      </c>
    </row>
    <row r="727">
      <c r="A727" s="44" t="n">
        <v>46295</v>
      </c>
      <c r="B727" s="45" t="inlineStr">
        <is>
          <t>Ballarat</t>
        </is>
      </c>
      <c r="C727" s="21" t="n">
        <v>7</v>
      </c>
      <c r="D727" s="21" t="n">
        <v>8</v>
      </c>
      <c r="E727" s="20" t="inlineStr">
        <is>
          <t>Carriedo</t>
        </is>
      </c>
      <c r="F727" s="46" t="inlineStr">
        <is>
          <t>Lay</t>
        </is>
      </c>
      <c r="G727" s="47" t="inlineStr">
        <is>
          <t>Lay</t>
        </is>
      </c>
      <c r="H727" s="48" t="n">
        <v>4.3</v>
      </c>
      <c r="I727" s="48" t="n">
        <v>3.25</v>
      </c>
      <c r="J727" s="22" t="n">
        <v>-0.0674</v>
      </c>
      <c r="K727" s="49" t="n">
        <v>1</v>
      </c>
      <c r="L727" s="21" t="n">
        <v>3</v>
      </c>
      <c r="M727" s="50" t="inlineStr">
        <is>
          <t>Win</t>
        </is>
      </c>
      <c r="N727" s="23">
        <f>IF(M727="Win",IF(F727="Bet",(I727-1)*K727,K727),IF(M727="Loss",IF(F727="Bet",-K727,-(I727-1)*K727),IF(M727="Void",0,"")))</f>
        <v/>
      </c>
      <c r="O727" s="24">
        <f>IF(OR(M727="Win",M727="Loss"),IF(F727="Bet",K727,(I727-1)*K727),"")</f>
        <v/>
      </c>
    </row>
    <row r="728">
      <c r="A728" s="37" t="n">
        <v>46295</v>
      </c>
      <c r="B728" s="38" t="inlineStr">
        <is>
          <t>Balaklava</t>
        </is>
      </c>
      <c r="C728" s="15" t="n">
        <v>5</v>
      </c>
      <c r="D728" s="15" t="n">
        <v>4</v>
      </c>
      <c r="E728" s="14" t="inlineStr">
        <is>
          <t>Chillcuz</t>
        </is>
      </c>
      <c r="F728" s="43" t="inlineStr">
        <is>
          <t>Lay</t>
        </is>
      </c>
      <c r="G728" s="47" t="inlineStr">
        <is>
          <t>Lay</t>
        </is>
      </c>
      <c r="H728" s="41" t="n">
        <v>3.8</v>
      </c>
      <c r="I728" s="41" t="n">
        <v>3</v>
      </c>
      <c r="J728" s="16" t="n">
        <v>-0.068</v>
      </c>
      <c r="K728" s="42" t="n">
        <v>1</v>
      </c>
      <c r="L728" s="15" t="n">
        <v>3</v>
      </c>
      <c r="M728" s="51" t="inlineStr">
        <is>
          <t>Win</t>
        </is>
      </c>
      <c r="N728" s="17">
        <f>IF(M728="Win",IF(F728="Bet",(I728-1)*K728,K728),IF(M728="Loss",IF(F728="Bet",-K728,-(I728-1)*K728),IF(M728="Void",0,"")))</f>
        <v/>
      </c>
      <c r="O728" s="18">
        <f>IF(OR(M728="Win",M728="Loss"),IF(F728="Bet",K728,(I728-1)*K728),"")</f>
        <v/>
      </c>
    </row>
    <row r="729">
      <c r="A729" s="44" t="n">
        <v>46295</v>
      </c>
      <c r="B729" s="45" t="inlineStr">
        <is>
          <t>Geraldton</t>
        </is>
      </c>
      <c r="C729" s="21" t="n">
        <v>5</v>
      </c>
      <c r="D729" s="21" t="n">
        <v>5</v>
      </c>
      <c r="E729" s="20" t="inlineStr">
        <is>
          <t>Diver Dan</t>
        </is>
      </c>
      <c r="F729" s="46" t="inlineStr">
        <is>
          <t>Lay</t>
        </is>
      </c>
      <c r="G729" s="47" t="inlineStr">
        <is>
          <t>Lay</t>
        </is>
      </c>
      <c r="H729" s="48" t="n">
        <v>5.9</v>
      </c>
      <c r="I729" s="48" t="n">
        <v>4</v>
      </c>
      <c r="J729" s="22" t="n">
        <v>-0.0791</v>
      </c>
      <c r="K729" s="49" t="n">
        <v>1</v>
      </c>
      <c r="L729" s="21" t="n">
        <v>4</v>
      </c>
      <c r="M729" s="50" t="inlineStr">
        <is>
          <t>Win</t>
        </is>
      </c>
      <c r="N729" s="23">
        <f>IF(M729="Win",IF(F729="Bet",(I729-1)*K729,K729),IF(M729="Loss",IF(F729="Bet",-K729,-(I729-1)*K729),IF(M729="Void",0,"")))</f>
        <v/>
      </c>
      <c r="O729" s="24">
        <f>IF(OR(M729="Win",M729="Loss"),IF(F729="Bet",K729,(I729-1)*K729),"")</f>
        <v/>
      </c>
    </row>
    <row r="730">
      <c r="A730" s="37" t="n">
        <v>46295</v>
      </c>
      <c r="B730" s="38" t="inlineStr">
        <is>
          <t>Balaklava</t>
        </is>
      </c>
      <c r="C730" s="15" t="n">
        <v>2</v>
      </c>
      <c r="D730" s="15" t="n">
        <v>5</v>
      </c>
      <c r="E730" s="14" t="inlineStr">
        <is>
          <t>Willebob</t>
        </is>
      </c>
      <c r="F730" s="43" t="inlineStr">
        <is>
          <t>Lay</t>
        </is>
      </c>
      <c r="G730" s="47" t="inlineStr">
        <is>
          <t>Lay</t>
        </is>
      </c>
      <c r="H730" s="41" t="n">
        <v>3.5</v>
      </c>
      <c r="I730" s="41" t="n">
        <v>2.82</v>
      </c>
      <c r="J730" s="16" t="n">
        <v>-0.0689</v>
      </c>
      <c r="K730" s="42" t="n">
        <v>1</v>
      </c>
      <c r="L730" s="15" t="n">
        <v>4</v>
      </c>
      <c r="M730" s="51" t="inlineStr">
        <is>
          <t>Win</t>
        </is>
      </c>
      <c r="N730" s="17">
        <f>IF(M730="Win",IF(F730="Bet",(I730-1)*K730,K730),IF(M730="Loss",IF(F730="Bet",-K730,-(I730-1)*K730),IF(M730="Void",0,"")))</f>
        <v/>
      </c>
      <c r="O730" s="18">
        <f>IF(OR(M730="Win",M730="Loss"),IF(F730="Bet",K730,(I730-1)*K730),"")</f>
        <v/>
      </c>
    </row>
    <row r="731">
      <c r="A731" s="44" t="n">
        <v>46295</v>
      </c>
      <c r="B731" s="45" t="inlineStr">
        <is>
          <t>Rosehill</t>
        </is>
      </c>
      <c r="C731" s="21" t="n">
        <v>4</v>
      </c>
      <c r="D731" s="21" t="n">
        <v>4</v>
      </c>
      <c r="E731" s="20" t="inlineStr">
        <is>
          <t>Golden Century</t>
        </is>
      </c>
      <c r="F731" s="52" t="inlineStr">
        <is>
          <t>Bet</t>
        </is>
      </c>
      <c r="G731" s="40" t="inlineStr">
        <is>
          <t>Bet</t>
        </is>
      </c>
      <c r="H731" s="48" t="n">
        <v>3</v>
      </c>
      <c r="I731" s="48" t="n">
        <v>3.51</v>
      </c>
      <c r="J731" s="22" t="n">
        <v>0.0203</v>
      </c>
      <c r="K731" s="49" t="n">
        <v>1</v>
      </c>
      <c r="L731" s="21" t="n">
        <v>2</v>
      </c>
      <c r="M731" s="46" t="inlineStr">
        <is>
          <t>Loss</t>
        </is>
      </c>
      <c r="N731" s="23">
        <f>IF(M731="Win",IF(F731="Bet",(I731-1)*K731,K731),IF(M731="Loss",IF(F731="Bet",-K731,-(I731-1)*K731),IF(M731="Void",0,"")))</f>
        <v/>
      </c>
      <c r="O731" s="24">
        <f>IF(OR(M731="Win",M731="Loss"),IF(F731="Bet",K731,(I731-1)*K731),"")</f>
        <v/>
      </c>
    </row>
    <row r="732">
      <c r="A732" s="37" t="n">
        <v>46295</v>
      </c>
      <c r="B732" s="38" t="inlineStr">
        <is>
          <t>Geraldton</t>
        </is>
      </c>
      <c r="C732" s="15" t="n">
        <v>3</v>
      </c>
      <c r="D732" s="15" t="n">
        <v>2</v>
      </c>
      <c r="E732" s="14" t="inlineStr">
        <is>
          <t>Hyperreal</t>
        </is>
      </c>
      <c r="F732" s="43" t="inlineStr">
        <is>
          <t>Lay</t>
        </is>
      </c>
      <c r="G732" s="47" t="inlineStr">
        <is>
          <t>Lay</t>
        </is>
      </c>
      <c r="H732" s="41" t="n">
        <v>2.85</v>
      </c>
      <c r="I732" s="41" t="n">
        <v>2.4</v>
      </c>
      <c r="J732" s="16" t="n">
        <v>-0.0643</v>
      </c>
      <c r="K732" s="42" t="n">
        <v>1</v>
      </c>
      <c r="L732" s="15" t="n">
        <v>1</v>
      </c>
      <c r="M732" s="43" t="inlineStr">
        <is>
          <t>Loss</t>
        </is>
      </c>
      <c r="N732" s="17">
        <f>IF(M732="Win",IF(F732="Bet",(I732-1)*K732,K732),IF(M732="Loss",IF(F732="Bet",-K732,-(I732-1)*K732),IF(M732="Void",0,"")))</f>
        <v/>
      </c>
      <c r="O732" s="18">
        <f>IF(OR(M732="Win",M732="Loss"),IF(F732="Bet",K732,(I732-1)*K732),"")</f>
        <v/>
      </c>
    </row>
    <row r="733">
      <c r="A733" s="44" t="n">
        <v>46295</v>
      </c>
      <c r="B733" s="45" t="inlineStr">
        <is>
          <t>Rosehill</t>
        </is>
      </c>
      <c r="C733" s="21" t="n">
        <v>5</v>
      </c>
      <c r="D733" s="21" t="n">
        <v>9</v>
      </c>
      <c r="E733" s="20" t="inlineStr">
        <is>
          <t>Aura</t>
        </is>
      </c>
      <c r="F733" s="52" t="inlineStr">
        <is>
          <t>Bet</t>
        </is>
      </c>
      <c r="G733" s="40" t="inlineStr">
        <is>
          <t>Bet</t>
        </is>
      </c>
      <c r="H733" s="48" t="n">
        <v>5.5</v>
      </c>
      <c r="I733" s="48" t="n">
        <v>7</v>
      </c>
      <c r="J733" s="22" t="n">
        <v>0.0269</v>
      </c>
      <c r="K733" s="49" t="n">
        <v>1</v>
      </c>
      <c r="L733" s="21" t="n">
        <v>7</v>
      </c>
      <c r="M733" s="46" t="inlineStr">
        <is>
          <t>Loss</t>
        </is>
      </c>
      <c r="N733" s="23">
        <f>IF(M733="Win",IF(F733="Bet",(I733-1)*K733,K733),IF(M733="Loss",IF(F733="Bet",-K733,-(I733-1)*K733),IF(M733="Void",0,"")))</f>
        <v/>
      </c>
      <c r="O733" s="24">
        <f>IF(OR(M733="Win",M733="Loss"),IF(F733="Bet",K733,(I733-1)*K733),"")</f>
        <v/>
      </c>
    </row>
    <row r="734">
      <c r="A734" s="37" t="n">
        <v>46295</v>
      </c>
      <c r="B734" s="38" t="inlineStr">
        <is>
          <t>Ballarat</t>
        </is>
      </c>
      <c r="C734" s="15" t="n">
        <v>8</v>
      </c>
      <c r="D734" s="15" t="n">
        <v>4</v>
      </c>
      <c r="E734" s="14" t="inlineStr">
        <is>
          <t>Yolo</t>
        </is>
      </c>
      <c r="F734" s="43" t="inlineStr">
        <is>
          <t>Lay</t>
        </is>
      </c>
      <c r="G734" s="47" t="inlineStr">
        <is>
          <t>Lay</t>
        </is>
      </c>
      <c r="H734" s="41" t="n">
        <v>5.5</v>
      </c>
      <c r="I734" s="41" t="n">
        <v>3.97</v>
      </c>
      <c r="J734" s="16" t="n">
        <v>-0.0668</v>
      </c>
      <c r="K734" s="42" t="n">
        <v>1</v>
      </c>
      <c r="L734" s="15" t="n">
        <v>1</v>
      </c>
      <c r="M734" s="43" t="inlineStr">
        <is>
          <t>Loss</t>
        </is>
      </c>
      <c r="N734" s="17">
        <f>IF(M734="Win",IF(F734="Bet",(I734-1)*K734,K734),IF(M734="Loss",IF(F734="Bet",-K734,-(I734-1)*K734),IF(M734="Void",0,"")))</f>
        <v/>
      </c>
      <c r="O734" s="18">
        <f>IF(OR(M734="Win",M734="Loss"),IF(F734="Bet",K734,(I734-1)*K734),"")</f>
        <v/>
      </c>
    </row>
    <row r="735">
      <c r="A735" s="44" t="n">
        <v>46295</v>
      </c>
      <c r="B735" s="45" t="inlineStr">
        <is>
          <t>Geraldton</t>
        </is>
      </c>
      <c r="C735" s="21" t="n">
        <v>6</v>
      </c>
      <c r="D735" s="21" t="n">
        <v>1</v>
      </c>
      <c r="E735" s="20" t="inlineStr">
        <is>
          <t>Prince Ragnar</t>
        </is>
      </c>
      <c r="F735" s="46" t="inlineStr">
        <is>
          <t>Lay</t>
        </is>
      </c>
      <c r="G735" s="47" t="inlineStr">
        <is>
          <t>Lay</t>
        </is>
      </c>
      <c r="H735" s="48" t="n">
        <v>5.4</v>
      </c>
      <c r="I735" s="48" t="n">
        <v>3.45</v>
      </c>
      <c r="J735" s="22" t="n">
        <v>-0.07489999999999999</v>
      </c>
      <c r="K735" s="49" t="n">
        <v>1</v>
      </c>
      <c r="L735" s="21" t="n">
        <v>5</v>
      </c>
      <c r="M735" s="50" t="inlineStr">
        <is>
          <t>Win</t>
        </is>
      </c>
      <c r="N735" s="23">
        <f>IF(M735="Win",IF(F735="Bet",(I735-1)*K735,K735),IF(M735="Loss",IF(F735="Bet",-K735,-(I735-1)*K735),IF(M735="Void",0,"")))</f>
        <v/>
      </c>
      <c r="O735" s="24">
        <f>IF(OR(M735="Win",M735="Loss"),IF(F735="Bet",K735,(I735-1)*K735),"")</f>
        <v/>
      </c>
    </row>
    <row r="736">
      <c r="A736" s="37" t="n">
        <v>46295</v>
      </c>
      <c r="B736" s="38" t="inlineStr">
        <is>
          <t>Geraldton</t>
        </is>
      </c>
      <c r="C736" s="15" t="n">
        <v>7</v>
      </c>
      <c r="D736" s="15" t="n">
        <v>2</v>
      </c>
      <c r="E736" s="14" t="inlineStr">
        <is>
          <t>In Situ</t>
        </is>
      </c>
      <c r="F736" s="43" t="inlineStr">
        <is>
          <t>Lay</t>
        </is>
      </c>
      <c r="G736" s="47" t="inlineStr">
        <is>
          <t>Lay</t>
        </is>
      </c>
      <c r="H736" s="41" t="n">
        <v>4.2</v>
      </c>
      <c r="I736" s="41" t="n">
        <v>3.1</v>
      </c>
      <c r="J736" s="16" t="n">
        <v>-0.0658</v>
      </c>
      <c r="K736" s="42" t="n">
        <v>1</v>
      </c>
      <c r="L736" s="15" t="n">
        <v>1</v>
      </c>
      <c r="M736" s="43" t="inlineStr">
        <is>
          <t>Loss</t>
        </is>
      </c>
      <c r="N736" s="17">
        <f>IF(M736="Win",IF(F736="Bet",(I736-1)*K736,K736),IF(M736="Loss",IF(F736="Bet",-K736,-(I736-1)*K736),IF(M736="Void",0,"")))</f>
        <v/>
      </c>
      <c r="O736" s="18">
        <f>IF(OR(M736="Win",M736="Loss"),IF(F736="Bet",K736,(I736-1)*K736),"")</f>
        <v/>
      </c>
    </row>
    <row r="737">
      <c r="A737" s="44" t="n">
        <v>46296</v>
      </c>
      <c r="B737" s="45" t="inlineStr">
        <is>
          <t>Kalgoorlie</t>
        </is>
      </c>
      <c r="C737" s="21" t="n">
        <v>3</v>
      </c>
      <c r="D737" s="21" t="n">
        <v>2</v>
      </c>
      <c r="E737" s="20" t="inlineStr">
        <is>
          <t>Vomo Island</t>
        </is>
      </c>
      <c r="F737" s="46" t="inlineStr">
        <is>
          <t>Lay</t>
        </is>
      </c>
      <c r="G737" s="47" t="inlineStr">
        <is>
          <t>Lay</t>
        </is>
      </c>
      <c r="H737" s="48" t="n">
        <v>4.1</v>
      </c>
      <c r="I737" s="48" t="n">
        <v>1.83</v>
      </c>
      <c r="J737" s="22" t="n">
        <v>-0.07049999999999999</v>
      </c>
      <c r="K737" s="49" t="n">
        <v>1</v>
      </c>
      <c r="L737" s="21" t="n">
        <v>4</v>
      </c>
      <c r="M737" s="50" t="inlineStr">
        <is>
          <t>Win</t>
        </is>
      </c>
      <c r="N737" s="23">
        <f>IF(M737="Win",IF(F737="Bet",(I737-1)*K737,K737),IF(M737="Loss",IF(F737="Bet",-K737,-(I737-1)*K737),IF(M737="Void",0,"")))</f>
        <v/>
      </c>
      <c r="O737" s="24">
        <f>IF(OR(M737="Win",M737="Loss"),IF(F737="Bet",K737,(I737-1)*K737),"")</f>
        <v/>
      </c>
    </row>
    <row r="738">
      <c r="A738" s="37" t="n">
        <v>46296</v>
      </c>
      <c r="B738" s="38" t="inlineStr">
        <is>
          <t>Kalgoorlie</t>
        </is>
      </c>
      <c r="C738" s="15" t="n">
        <v>1</v>
      </c>
      <c r="D738" s="15" t="n">
        <v>1</v>
      </c>
      <c r="E738" s="14" t="inlineStr">
        <is>
          <t>Call Me Invincible</t>
        </is>
      </c>
      <c r="F738" s="39" t="inlineStr">
        <is>
          <t>Bet</t>
        </is>
      </c>
      <c r="G738" s="53" t="inlineStr">
        <is>
          <t>Prime</t>
        </is>
      </c>
      <c r="H738" s="41" t="n">
        <v>2.75</v>
      </c>
      <c r="I738" s="41" t="n">
        <v>3.5</v>
      </c>
      <c r="J738" s="16" t="n">
        <v>0.0489</v>
      </c>
      <c r="K738" s="42" t="n">
        <v>1</v>
      </c>
      <c r="L738" s="15" t="n">
        <v>1</v>
      </c>
      <c r="M738" s="51" t="inlineStr">
        <is>
          <t>Win</t>
        </is>
      </c>
      <c r="N738" s="17">
        <f>IF(M738="Win",IF(F738="Bet",(I738-1)*K738,K738),IF(M738="Loss",IF(F738="Bet",-K738,-(I738-1)*K738),IF(M738="Void",0,"")))</f>
        <v/>
      </c>
      <c r="O738" s="18">
        <f>IF(OR(M738="Win",M738="Loss"),IF(F738="Bet",K738,(I738-1)*K738),"")</f>
        <v/>
      </c>
    </row>
    <row r="739">
      <c r="A739" s="44" t="n">
        <v>46296</v>
      </c>
      <c r="B739" s="45" t="inlineStr">
        <is>
          <t>Illawarra Grange</t>
        </is>
      </c>
      <c r="C739" s="21" t="n">
        <v>5</v>
      </c>
      <c r="D739" s="21" t="n">
        <v>2</v>
      </c>
      <c r="E739" s="20" t="inlineStr">
        <is>
          <t>Pierata's Gem</t>
        </is>
      </c>
      <c r="F739" s="52" t="inlineStr">
        <is>
          <t>Bet</t>
        </is>
      </c>
      <c r="G739" s="53" t="inlineStr">
        <is>
          <t>Prime</t>
        </is>
      </c>
      <c r="H739" s="48" t="n">
        <v>2.65</v>
      </c>
      <c r="I739" s="48" t="n">
        <v>3.1</v>
      </c>
      <c r="J739" s="22" t="n">
        <v>0.0516</v>
      </c>
      <c r="K739" s="49" t="n">
        <v>1</v>
      </c>
      <c r="L739" s="21" t="n">
        <v>8</v>
      </c>
      <c r="M739" s="46" t="inlineStr">
        <is>
          <t>Loss</t>
        </is>
      </c>
      <c r="N739" s="23">
        <f>IF(M739="Win",IF(F739="Bet",(I739-1)*K739,K739),IF(M739="Loss",IF(F739="Bet",-K739,-(I739-1)*K739),IF(M739="Void",0,"")))</f>
        <v/>
      </c>
      <c r="O739" s="24">
        <f>IF(OR(M739="Win",M739="Loss"),IF(F739="Bet",K739,(I739-1)*K739),"")</f>
        <v/>
      </c>
    </row>
    <row r="740">
      <c r="A740" s="37" t="n">
        <v>46296</v>
      </c>
      <c r="B740" s="38" t="inlineStr">
        <is>
          <t>Illawarra Grange</t>
        </is>
      </c>
      <c r="C740" s="15" t="n">
        <v>5</v>
      </c>
      <c r="D740" s="15" t="n">
        <v>6</v>
      </c>
      <c r="E740" s="14" t="inlineStr">
        <is>
          <t>Donatello</t>
        </is>
      </c>
      <c r="F740" s="43" t="inlineStr">
        <is>
          <t>Lay</t>
        </is>
      </c>
      <c r="G740" s="47" t="inlineStr">
        <is>
          <t>Lay</t>
        </is>
      </c>
      <c r="H740" s="41" t="n">
        <v>2.6</v>
      </c>
      <c r="I740" s="41" t="n">
        <v>2.12</v>
      </c>
      <c r="J740" s="16" t="n">
        <v>-0.0837</v>
      </c>
      <c r="K740" s="42" t="n">
        <v>1</v>
      </c>
      <c r="L740" s="15" t="n">
        <v>1</v>
      </c>
      <c r="M740" s="43" t="inlineStr">
        <is>
          <t>Loss</t>
        </is>
      </c>
      <c r="N740" s="17">
        <f>IF(M740="Win",IF(F740="Bet",(I740-1)*K740,K740),IF(M740="Loss",IF(F740="Bet",-K740,-(I740-1)*K740),IF(M740="Void",0,"")))</f>
        <v/>
      </c>
      <c r="O740" s="18">
        <f>IF(OR(M740="Win",M740="Loss"),IF(F740="Bet",K740,(I740-1)*K740),"")</f>
        <v/>
      </c>
    </row>
    <row r="741">
      <c r="A741" s="44" t="n">
        <v>46296</v>
      </c>
      <c r="B741" s="45" t="inlineStr">
        <is>
          <t>Illawarra Grange</t>
        </is>
      </c>
      <c r="C741" s="21" t="n">
        <v>8</v>
      </c>
      <c r="D741" s="21" t="n">
        <v>1</v>
      </c>
      <c r="E741" s="20" t="inlineStr">
        <is>
          <t>Los Padres</t>
        </is>
      </c>
      <c r="F741" s="52" t="inlineStr">
        <is>
          <t>Bet</t>
        </is>
      </c>
      <c r="G741" s="40" t="inlineStr">
        <is>
          <t>Bet</t>
        </is>
      </c>
      <c r="H741" s="48" t="n">
        <v>7.4</v>
      </c>
      <c r="I741" s="48" t="n">
        <v>9.5</v>
      </c>
      <c r="J741" s="22" t="n">
        <v>0.0305</v>
      </c>
      <c r="K741" s="49" t="n">
        <v>1</v>
      </c>
      <c r="L741" s="21" t="n">
        <v>3</v>
      </c>
      <c r="M741" s="46" t="inlineStr">
        <is>
          <t>Loss</t>
        </is>
      </c>
      <c r="N741" s="23">
        <f>IF(M741="Win",IF(F741="Bet",(I741-1)*K741,K741),IF(M741="Loss",IF(F741="Bet",-K741,-(I741-1)*K741),IF(M741="Void",0,"")))</f>
        <v/>
      </c>
      <c r="O741" s="24">
        <f>IF(OR(M741="Win",M741="Loss"),IF(F741="Bet",K741,(I741-1)*K741),"")</f>
        <v/>
      </c>
    </row>
    <row r="742">
      <c r="A742" s="37" t="n">
        <v>46296</v>
      </c>
      <c r="B742" s="38" t="inlineStr">
        <is>
          <t>Tamworth</t>
        </is>
      </c>
      <c r="C742" s="15" t="n">
        <v>6</v>
      </c>
      <c r="D742" s="15" t="n">
        <v>5</v>
      </c>
      <c r="E742" s="14" t="inlineStr">
        <is>
          <t>Samita</t>
        </is>
      </c>
      <c r="F742" s="39" t="inlineStr">
        <is>
          <t>Bet</t>
        </is>
      </c>
      <c r="G742" s="40" t="inlineStr">
        <is>
          <t>Bet</t>
        </is>
      </c>
      <c r="H742" s="41" t="n">
        <v>6.8</v>
      </c>
      <c r="I742" s="41" t="n">
        <v>9</v>
      </c>
      <c r="J742" s="16" t="n">
        <v>0.0222</v>
      </c>
      <c r="K742" s="42" t="n">
        <v>1</v>
      </c>
      <c r="L742" s="15" t="n">
        <v>10</v>
      </c>
      <c r="M742" s="43" t="inlineStr">
        <is>
          <t>Loss</t>
        </is>
      </c>
      <c r="N742" s="17">
        <f>IF(M742="Win",IF(F742="Bet",(I742-1)*K742,K742),IF(M742="Loss",IF(F742="Bet",-K742,-(I742-1)*K742),IF(M742="Void",0,"")))</f>
        <v/>
      </c>
      <c r="O742" s="18">
        <f>IF(OR(M742="Win",M742="Loss"),IF(F742="Bet",K742,(I742-1)*K742),"")</f>
        <v/>
      </c>
    </row>
    <row r="743">
      <c r="A743" s="44" t="n">
        <v>46296</v>
      </c>
      <c r="B743" s="45" t="inlineStr">
        <is>
          <t>Illawarra Grange</t>
        </is>
      </c>
      <c r="C743" s="21" t="n">
        <v>4</v>
      </c>
      <c r="D743" s="21" t="n">
        <v>3</v>
      </c>
      <c r="E743" s="20" t="inlineStr">
        <is>
          <t>Vatican</t>
        </is>
      </c>
      <c r="F743" s="46" t="inlineStr">
        <is>
          <t>Lay</t>
        </is>
      </c>
      <c r="G743" s="47" t="inlineStr">
        <is>
          <t>Lay</t>
        </is>
      </c>
      <c r="H743" s="48" t="n">
        <v>2.95</v>
      </c>
      <c r="I743" s="48" t="n">
        <v>1.65</v>
      </c>
      <c r="J743" s="22" t="n">
        <v>-0.1055</v>
      </c>
      <c r="K743" s="49" t="n">
        <v>1</v>
      </c>
      <c r="L743" s="21" t="n">
        <v>2</v>
      </c>
      <c r="M743" s="50" t="inlineStr">
        <is>
          <t>Win</t>
        </is>
      </c>
      <c r="N743" s="23">
        <f>IF(M743="Win",IF(F743="Bet",(I743-1)*K743,K743),IF(M743="Loss",IF(F743="Bet",-K743,-(I743-1)*K743),IF(M743="Void",0,"")))</f>
        <v/>
      </c>
      <c r="O743" s="24">
        <f>IF(OR(M743="Win",M743="Loss"),IF(F743="Bet",K743,(I743-1)*K743),"")</f>
        <v/>
      </c>
    </row>
    <row r="744">
      <c r="A744" s="37" t="n">
        <v>46296</v>
      </c>
      <c r="B744" s="38" t="inlineStr">
        <is>
          <t>Tamworth</t>
        </is>
      </c>
      <c r="C744" s="15" t="n">
        <v>2</v>
      </c>
      <c r="D744" s="15" t="n">
        <v>7</v>
      </c>
      <c r="E744" s="14" t="inlineStr">
        <is>
          <t>Gay Tarantella</t>
        </is>
      </c>
      <c r="F744" s="43" t="inlineStr">
        <is>
          <t>Lay</t>
        </is>
      </c>
      <c r="G744" s="47" t="inlineStr">
        <is>
          <t>Lay</t>
        </is>
      </c>
      <c r="H744" s="41" t="n">
        <v>6.8</v>
      </c>
      <c r="I744" s="41" t="n">
        <v>2.1</v>
      </c>
      <c r="J744" s="16" t="n">
        <v>-0.0621</v>
      </c>
      <c r="K744" s="42" t="n">
        <v>1</v>
      </c>
      <c r="L744" s="15" t="n">
        <v>1</v>
      </c>
      <c r="M744" s="43" t="inlineStr">
        <is>
          <t>Loss</t>
        </is>
      </c>
      <c r="N744" s="17">
        <f>IF(M744="Win",IF(F744="Bet",(I744-1)*K744,K744),IF(M744="Loss",IF(F744="Bet",-K744,-(I744-1)*K744),IF(M744="Void",0,"")))</f>
        <v/>
      </c>
      <c r="O744" s="18">
        <f>IF(OR(M744="Win",M744="Loss"),IF(F744="Bet",K744,(I744-1)*K744),"")</f>
        <v/>
      </c>
    </row>
    <row r="745">
      <c r="A745" s="44" t="n">
        <v>46296</v>
      </c>
      <c r="B745" s="45" t="inlineStr">
        <is>
          <t>Kalgoorlie</t>
        </is>
      </c>
      <c r="C745" s="21" t="n">
        <v>5</v>
      </c>
      <c r="D745" s="21" t="n">
        <v>10</v>
      </c>
      <c r="E745" s="20" t="inlineStr">
        <is>
          <t>Gav Has Spoken</t>
        </is>
      </c>
      <c r="F745" s="46" t="inlineStr">
        <is>
          <t>Lay</t>
        </is>
      </c>
      <c r="G745" s="47" t="inlineStr">
        <is>
          <t>Lay</t>
        </is>
      </c>
      <c r="H745" s="48" t="n">
        <v>5.9</v>
      </c>
      <c r="I745" s="48" t="n">
        <v>3.55</v>
      </c>
      <c r="J745" s="22" t="n">
        <v>-0.0683</v>
      </c>
      <c r="K745" s="49" t="n">
        <v>1</v>
      </c>
      <c r="L745" s="21" t="n">
        <v>3</v>
      </c>
      <c r="M745" s="50" t="inlineStr">
        <is>
          <t>Win</t>
        </is>
      </c>
      <c r="N745" s="23">
        <f>IF(M745="Win",IF(F745="Bet",(I745-1)*K745,K745),IF(M745="Loss",IF(F745="Bet",-K745,-(I745-1)*K745),IF(M745="Void",0,"")))</f>
        <v/>
      </c>
      <c r="O745" s="24">
        <f>IF(OR(M745="Win",M745="Loss"),IF(F745="Bet",K745,(I745-1)*K745),"")</f>
        <v/>
      </c>
    </row>
    <row r="746">
      <c r="A746" s="37" t="n">
        <v>46296</v>
      </c>
      <c r="B746" s="38" t="inlineStr">
        <is>
          <t>Warrnambool</t>
        </is>
      </c>
      <c r="C746" s="15" t="n">
        <v>7</v>
      </c>
      <c r="D746" s="15" t="n">
        <v>14</v>
      </c>
      <c r="E746" s="14" t="inlineStr">
        <is>
          <t>Just My Lot</t>
        </is>
      </c>
      <c r="F746" s="43" t="inlineStr">
        <is>
          <t>Lay</t>
        </is>
      </c>
      <c r="G746" s="47" t="inlineStr">
        <is>
          <t>Lay</t>
        </is>
      </c>
      <c r="H746" s="41" t="n">
        <v>7.5</v>
      </c>
      <c r="I746" s="41" t="n">
        <v>4.21</v>
      </c>
      <c r="J746" s="16" t="n">
        <v>-0.0672</v>
      </c>
      <c r="K746" s="42" t="n">
        <v>1</v>
      </c>
      <c r="L746" s="15" t="n">
        <v>2</v>
      </c>
      <c r="M746" s="51" t="inlineStr">
        <is>
          <t>Win</t>
        </is>
      </c>
      <c r="N746" s="17">
        <f>IF(M746="Win",IF(F746="Bet",(I746-1)*K746,K746),IF(M746="Loss",IF(F746="Bet",-K746,-(I746-1)*K746),IF(M746="Void",0,"")))</f>
        <v/>
      </c>
      <c r="O746" s="18">
        <f>IF(OR(M746="Win",M746="Loss"),IF(F746="Bet",K746,(I746-1)*K746),"")</f>
        <v/>
      </c>
    </row>
    <row r="747">
      <c r="A747" s="44" t="n">
        <v>46296</v>
      </c>
      <c r="B747" s="45" t="inlineStr">
        <is>
          <t>Warrnambool</t>
        </is>
      </c>
      <c r="C747" s="21" t="n">
        <v>5</v>
      </c>
      <c r="D747" s="21" t="n">
        <v>3</v>
      </c>
      <c r="E747" s="20" t="inlineStr">
        <is>
          <t>Celibate</t>
        </is>
      </c>
      <c r="F747" s="52" t="inlineStr">
        <is>
          <t>Bet</t>
        </is>
      </c>
      <c r="G747" s="53" t="inlineStr">
        <is>
          <t>Prime</t>
        </is>
      </c>
      <c r="H747" s="48" t="n">
        <v>2.9</v>
      </c>
      <c r="I747" s="48" t="n">
        <v>3.7</v>
      </c>
      <c r="J747" s="22" t="n">
        <v>0.0659</v>
      </c>
      <c r="K747" s="49" t="n">
        <v>1</v>
      </c>
      <c r="L747" s="21" t="n">
        <v>1</v>
      </c>
      <c r="M747" s="50" t="inlineStr">
        <is>
          <t>Win</t>
        </is>
      </c>
      <c r="N747" s="23">
        <f>IF(M747="Win",IF(F747="Bet",(I747-1)*K747,K747),IF(M747="Loss",IF(F747="Bet",-K747,-(I747-1)*K747),IF(M747="Void",0,"")))</f>
        <v/>
      </c>
      <c r="O747" s="24">
        <f>IF(OR(M747="Win",M747="Loss"),IF(F747="Bet",K747,(I747-1)*K747),"")</f>
        <v/>
      </c>
    </row>
    <row r="748">
      <c r="A748" s="37" t="n">
        <v>46296</v>
      </c>
      <c r="B748" s="38" t="inlineStr">
        <is>
          <t>Gatton</t>
        </is>
      </c>
      <c r="C748" s="15" t="n">
        <v>4</v>
      </c>
      <c r="D748" s="15" t="n">
        <v>4</v>
      </c>
      <c r="E748" s="14" t="inlineStr">
        <is>
          <t>Headline Legend</t>
        </is>
      </c>
      <c r="F748" s="39" t="inlineStr">
        <is>
          <t>Bet</t>
        </is>
      </c>
      <c r="G748" s="53" t="inlineStr">
        <is>
          <t>Prime</t>
        </is>
      </c>
      <c r="H748" s="41" t="n">
        <v>5</v>
      </c>
      <c r="I748" s="41" t="n">
        <v>13</v>
      </c>
      <c r="J748" s="16" t="n">
        <v>0.0445</v>
      </c>
      <c r="K748" s="42" t="n">
        <v>1</v>
      </c>
      <c r="L748" s="15" t="n">
        <v>9</v>
      </c>
      <c r="M748" s="43" t="inlineStr">
        <is>
          <t>Loss</t>
        </is>
      </c>
      <c r="N748" s="17">
        <f>IF(M748="Win",IF(F748="Bet",(I748-1)*K748,K748),IF(M748="Loss",IF(F748="Bet",-K748,-(I748-1)*K748),IF(M748="Void",0,"")))</f>
        <v/>
      </c>
      <c r="O748" s="18">
        <f>IF(OR(M748="Win",M748="Loss"),IF(F748="Bet",K748,(I748-1)*K748),"")</f>
        <v/>
      </c>
    </row>
    <row r="749">
      <c r="A749" s="44" t="n">
        <v>46296</v>
      </c>
      <c r="B749" s="45" t="inlineStr">
        <is>
          <t>Warrnambool</t>
        </is>
      </c>
      <c r="C749" s="21" t="n">
        <v>6</v>
      </c>
      <c r="D749" s="21" t="n">
        <v>4</v>
      </c>
      <c r="E749" s="20" t="inlineStr">
        <is>
          <t>Romantic Miss</t>
        </is>
      </c>
      <c r="F749" s="46" t="inlineStr">
        <is>
          <t>Lay</t>
        </is>
      </c>
      <c r="G749" s="47" t="inlineStr">
        <is>
          <t>Lay</t>
        </is>
      </c>
      <c r="H749" s="48" t="n">
        <v>4.5</v>
      </c>
      <c r="I749" s="48" t="n">
        <v>3.1</v>
      </c>
      <c r="J749" s="22" t="n">
        <v>-0.09719999999999999</v>
      </c>
      <c r="K749" s="49" t="n">
        <v>1</v>
      </c>
      <c r="L749" s="21" t="n">
        <v>1</v>
      </c>
      <c r="M749" s="46" t="inlineStr">
        <is>
          <t>Loss</t>
        </is>
      </c>
      <c r="N749" s="23">
        <f>IF(M749="Win",IF(F749="Bet",(I749-1)*K749,K749),IF(M749="Loss",IF(F749="Bet",-K749,-(I749-1)*K749),IF(M749="Void",0,"")))</f>
        <v/>
      </c>
      <c r="O749" s="24">
        <f>IF(OR(M749="Win",M749="Loss"),IF(F749="Bet",K749,(I749-1)*K749),"")</f>
        <v/>
      </c>
    </row>
    <row r="750">
      <c r="A750" s="37" t="n">
        <v>46296</v>
      </c>
      <c r="B750" s="38" t="inlineStr">
        <is>
          <t>Gatton</t>
        </is>
      </c>
      <c r="C750" s="15" t="n">
        <v>5</v>
      </c>
      <c r="D750" s="15" t="n">
        <v>1</v>
      </c>
      <c r="E750" s="14" t="inlineStr">
        <is>
          <t>Mr Hilton</t>
        </is>
      </c>
      <c r="F750" s="43" t="inlineStr">
        <is>
          <t>Lay</t>
        </is>
      </c>
      <c r="G750" s="47" t="inlineStr">
        <is>
          <t>Lay</t>
        </is>
      </c>
      <c r="H750" s="41" t="n">
        <v>2.6</v>
      </c>
      <c r="I750" s="41" t="n">
        <v>1.87</v>
      </c>
      <c r="J750" s="16" t="n">
        <v>-0.0974</v>
      </c>
      <c r="K750" s="42" t="n">
        <v>1</v>
      </c>
      <c r="L750" s="15" t="n">
        <v>3</v>
      </c>
      <c r="M750" s="51" t="inlineStr">
        <is>
          <t>Win</t>
        </is>
      </c>
      <c r="N750" s="17">
        <f>IF(M750="Win",IF(F750="Bet",(I750-1)*K750,K750),IF(M750="Loss",IF(F750="Bet",-K750,-(I750-1)*K750),IF(M750="Void",0,"")))</f>
        <v/>
      </c>
      <c r="O750" s="18">
        <f>IF(OR(M750="Win",M750="Loss"),IF(F750="Bet",K750,(I750-1)*K750),"")</f>
        <v/>
      </c>
    </row>
    <row r="751">
      <c r="A751" s="44" t="n">
        <v>46296</v>
      </c>
      <c r="B751" s="45" t="inlineStr">
        <is>
          <t>Tamworth</t>
        </is>
      </c>
      <c r="C751" s="21" t="n">
        <v>3</v>
      </c>
      <c r="D751" s="21" t="n">
        <v>3</v>
      </c>
      <c r="E751" s="20" t="inlineStr">
        <is>
          <t>Ominous</t>
        </is>
      </c>
      <c r="F751" s="46" t="inlineStr">
        <is>
          <t>Lay</t>
        </is>
      </c>
      <c r="G751" s="47" t="inlineStr">
        <is>
          <t>Lay</t>
        </is>
      </c>
      <c r="H751" s="48" t="n">
        <v>3.7</v>
      </c>
      <c r="I751" s="48" t="n">
        <v>2.34</v>
      </c>
      <c r="J751" s="22" t="n">
        <v>-0.06279999999999999</v>
      </c>
      <c r="K751" s="49" t="n">
        <v>1</v>
      </c>
      <c r="L751" s="21" t="n">
        <v>2</v>
      </c>
      <c r="M751" s="50" t="inlineStr">
        <is>
          <t>Win</t>
        </is>
      </c>
      <c r="N751" s="23">
        <f>IF(M751="Win",IF(F751="Bet",(I751-1)*K751,K751),IF(M751="Loss",IF(F751="Bet",-K751,-(I751-1)*K751),IF(M751="Void",0,"")))</f>
        <v/>
      </c>
      <c r="O751" s="24">
        <f>IF(OR(M751="Win",M751="Loss"),IF(F751="Bet",K751,(I751-1)*K751),"")</f>
        <v/>
      </c>
    </row>
    <row r="752">
      <c r="A752" s="37" t="n">
        <v>46296</v>
      </c>
      <c r="B752" s="38" t="inlineStr">
        <is>
          <t>Kalgoorlie</t>
        </is>
      </c>
      <c r="C752" s="15" t="n">
        <v>4</v>
      </c>
      <c r="D752" s="15" t="n">
        <v>2</v>
      </c>
      <c r="E752" s="14" t="inlineStr">
        <is>
          <t>Blood Brother</t>
        </is>
      </c>
      <c r="F752" s="43" t="inlineStr">
        <is>
          <t>Lay</t>
        </is>
      </c>
      <c r="G752" s="47" t="inlineStr">
        <is>
          <t>Lay</t>
        </is>
      </c>
      <c r="H752" s="41" t="n">
        <v>5.6</v>
      </c>
      <c r="I752" s="41" t="n">
        <v>3.27</v>
      </c>
      <c r="J752" s="16" t="n">
        <v>-0.0604</v>
      </c>
      <c r="K752" s="42" t="n">
        <v>1</v>
      </c>
      <c r="L752" s="15" t="n">
        <v>2</v>
      </c>
      <c r="M752" s="51" t="inlineStr">
        <is>
          <t>Win</t>
        </is>
      </c>
      <c r="N752" s="17">
        <f>IF(M752="Win",IF(F752="Bet",(I752-1)*K752,K752),IF(M752="Loss",IF(F752="Bet",-K752,-(I752-1)*K752),IF(M752="Void",0,"")))</f>
        <v/>
      </c>
      <c r="O752" s="18">
        <f>IF(OR(M752="Win",M752="Loss"),IF(F752="Bet",K752,(I752-1)*K752),"")</f>
        <v/>
      </c>
    </row>
    <row r="753">
      <c r="A753" s="44" t="n">
        <v>46296</v>
      </c>
      <c r="B753" s="45" t="inlineStr">
        <is>
          <t>Illawarra Grange</t>
        </is>
      </c>
      <c r="C753" s="21" t="n">
        <v>2</v>
      </c>
      <c r="D753" s="21" t="n">
        <v>6</v>
      </c>
      <c r="E753" s="20" t="inlineStr">
        <is>
          <t>Unhinged</t>
        </is>
      </c>
      <c r="F753" s="46" t="inlineStr">
        <is>
          <t>Lay</t>
        </is>
      </c>
      <c r="G753" s="47" t="inlineStr">
        <is>
          <t>Lay</t>
        </is>
      </c>
      <c r="H753" s="48" t="n">
        <v>2.7</v>
      </c>
      <c r="I753" s="48" t="n">
        <v>1.95</v>
      </c>
      <c r="J753" s="22" t="n">
        <v>-0.0625</v>
      </c>
      <c r="K753" s="49" t="n">
        <v>1</v>
      </c>
      <c r="L753" s="21" t="n">
        <v>1</v>
      </c>
      <c r="M753" s="46" t="inlineStr">
        <is>
          <t>Loss</t>
        </is>
      </c>
      <c r="N753" s="23">
        <f>IF(M753="Win",IF(F753="Bet",(I753-1)*K753,K753),IF(M753="Loss",IF(F753="Bet",-K753,-(I753-1)*K753),IF(M753="Void",0,"")))</f>
        <v/>
      </c>
      <c r="O753" s="24">
        <f>IF(OR(M753="Win",M753="Loss"),IF(F753="Bet",K753,(I753-1)*K753),"")</f>
        <v/>
      </c>
    </row>
    <row r="754">
      <c r="A754" s="37" t="n">
        <v>46296</v>
      </c>
      <c r="B754" s="38" t="inlineStr">
        <is>
          <t>Illawarra Grange</t>
        </is>
      </c>
      <c r="C754" s="15" t="n">
        <v>6</v>
      </c>
      <c r="D754" s="15" t="n">
        <v>2</v>
      </c>
      <c r="E754" s="14" t="inlineStr">
        <is>
          <t>Sonic Bender</t>
        </is>
      </c>
      <c r="F754" s="43" t="inlineStr">
        <is>
          <t>Lay</t>
        </is>
      </c>
      <c r="G754" s="47" t="inlineStr">
        <is>
          <t>Lay</t>
        </is>
      </c>
      <c r="H754" s="41" t="n">
        <v>4.4</v>
      </c>
      <c r="I754" s="41" t="n">
        <v>2.92</v>
      </c>
      <c r="J754" s="16" t="n">
        <v>-0.06569999999999999</v>
      </c>
      <c r="K754" s="42" t="n">
        <v>1</v>
      </c>
      <c r="L754" s="15" t="n">
        <v>4</v>
      </c>
      <c r="M754" s="51" t="inlineStr">
        <is>
          <t>Win</t>
        </is>
      </c>
      <c r="N754" s="17">
        <f>IF(M754="Win",IF(F754="Bet",(I754-1)*K754,K754),IF(M754="Loss",IF(F754="Bet",-K754,-(I754-1)*K754),IF(M754="Void",0,"")))</f>
        <v/>
      </c>
      <c r="O754" s="18">
        <f>IF(OR(M754="Win",M754="Loss"),IF(F754="Bet",K754,(I754-1)*K754),"")</f>
        <v/>
      </c>
    </row>
    <row r="755">
      <c r="A755" s="44" t="n">
        <v>46296</v>
      </c>
      <c r="B755" s="45" t="inlineStr">
        <is>
          <t>Illawarra Grange</t>
        </is>
      </c>
      <c r="C755" s="21" t="n">
        <v>1</v>
      </c>
      <c r="D755" s="21" t="n">
        <v>2</v>
      </c>
      <c r="E755" s="20" t="inlineStr">
        <is>
          <t>Creator Of World</t>
        </is>
      </c>
      <c r="F755" s="46" t="inlineStr">
        <is>
          <t>Lay</t>
        </is>
      </c>
      <c r="G755" s="47" t="inlineStr">
        <is>
          <t>Lay</t>
        </is>
      </c>
      <c r="H755" s="48" t="n">
        <v>4.4</v>
      </c>
      <c r="I755" s="48" t="n">
        <v>3.45</v>
      </c>
      <c r="J755" s="22" t="n">
        <v>-0.0645</v>
      </c>
      <c r="K755" s="49" t="n">
        <v>1</v>
      </c>
      <c r="L755" s="21" t="n">
        <v>1</v>
      </c>
      <c r="M755" s="46" t="inlineStr">
        <is>
          <t>Loss</t>
        </is>
      </c>
      <c r="N755" s="23">
        <f>IF(M755="Win",IF(F755="Bet",(I755-1)*K755,K755),IF(M755="Loss",IF(F755="Bet",-K755,-(I755-1)*K755),IF(M755="Void",0,"")))</f>
        <v/>
      </c>
      <c r="O755" s="24">
        <f>IF(OR(M755="Win",M755="Loss"),IF(F755="Bet",K755,(I755-1)*K755),"")</f>
        <v/>
      </c>
    </row>
    <row r="756">
      <c r="A756" s="37" t="n">
        <v>46296</v>
      </c>
      <c r="B756" s="38" t="inlineStr">
        <is>
          <t>Gatton</t>
        </is>
      </c>
      <c r="C756" s="15" t="n">
        <v>3</v>
      </c>
      <c r="D756" s="15" t="n">
        <v>2</v>
      </c>
      <c r="E756" s="14" t="inlineStr">
        <is>
          <t>Tara's Reward</t>
        </is>
      </c>
      <c r="F756" s="43" t="inlineStr">
        <is>
          <t>Lay</t>
        </is>
      </c>
      <c r="G756" s="47" t="inlineStr">
        <is>
          <t>Lay</t>
        </is>
      </c>
      <c r="H756" s="41" t="n">
        <v>2.75</v>
      </c>
      <c r="I756" s="41" t="n">
        <v>1.94</v>
      </c>
      <c r="J756" s="16" t="n">
        <v>-0.0633</v>
      </c>
      <c r="K756" s="42" t="n">
        <v>1</v>
      </c>
      <c r="L756" s="15" t="n">
        <v>1</v>
      </c>
      <c r="M756" s="43" t="inlineStr">
        <is>
          <t>Loss</t>
        </is>
      </c>
      <c r="N756" s="17">
        <f>IF(M756="Win",IF(F756="Bet",(I756-1)*K756,K756),IF(M756="Loss",IF(F756="Bet",-K756,-(I756-1)*K756),IF(M756="Void",0,"")))</f>
        <v/>
      </c>
      <c r="O756" s="18">
        <f>IF(OR(M756="Win",M756="Loss"),IF(F756="Bet",K756,(I756-1)*K756),"")</f>
        <v/>
      </c>
    </row>
    <row r="757">
      <c r="A757" s="44" t="n">
        <v>46296</v>
      </c>
      <c r="B757" s="45" t="inlineStr">
        <is>
          <t>Gatton</t>
        </is>
      </c>
      <c r="C757" s="21" t="n">
        <v>4</v>
      </c>
      <c r="D757" s="21" t="n">
        <v>7</v>
      </c>
      <c r="E757" s="20" t="inlineStr">
        <is>
          <t>Lord Protector</t>
        </is>
      </c>
      <c r="F757" s="46" t="inlineStr">
        <is>
          <t>Lay</t>
        </is>
      </c>
      <c r="G757" s="47" t="inlineStr">
        <is>
          <t>Lay</t>
        </is>
      </c>
      <c r="H757" s="48" t="n">
        <v>4.4</v>
      </c>
      <c r="I757" s="48" t="n">
        <v>2.68</v>
      </c>
      <c r="J757" s="22" t="n">
        <v>-0.0926</v>
      </c>
      <c r="K757" s="49" t="n">
        <v>1</v>
      </c>
      <c r="L757" s="21" t="n">
        <v>5</v>
      </c>
      <c r="M757" s="50" t="inlineStr">
        <is>
          <t>Win</t>
        </is>
      </c>
      <c r="N757" s="23">
        <f>IF(M757="Win",IF(F757="Bet",(I757-1)*K757,K757),IF(M757="Loss",IF(F757="Bet",-K757,-(I757-1)*K757),IF(M757="Void",0,"")))</f>
        <v/>
      </c>
      <c r="O757" s="24">
        <f>IF(OR(M757="Win",M757="Loss"),IF(F757="Bet",K757,(I757-1)*K757),"")</f>
        <v/>
      </c>
    </row>
    <row r="758">
      <c r="A758" s="37" t="n">
        <v>46296</v>
      </c>
      <c r="B758" s="38" t="inlineStr">
        <is>
          <t>Warrnambool</t>
        </is>
      </c>
      <c r="C758" s="15" t="n">
        <v>8</v>
      </c>
      <c r="D758" s="15" t="n">
        <v>2</v>
      </c>
      <c r="E758" s="14" t="inlineStr">
        <is>
          <t>Invisible Magic</t>
        </is>
      </c>
      <c r="F758" s="39" t="inlineStr">
        <is>
          <t>Bet</t>
        </is>
      </c>
      <c r="G758" s="53" t="inlineStr">
        <is>
          <t>Prime</t>
        </is>
      </c>
      <c r="H758" s="41" t="n">
        <v>2.8</v>
      </c>
      <c r="I758" s="41" t="n">
        <v>3.8</v>
      </c>
      <c r="J758" s="16" t="n">
        <v>0.0556</v>
      </c>
      <c r="K758" s="42" t="n">
        <v>1</v>
      </c>
      <c r="L758" s="15" t="n">
        <v>2</v>
      </c>
      <c r="M758" s="43" t="inlineStr">
        <is>
          <t>Loss</t>
        </is>
      </c>
      <c r="N758" s="17">
        <f>IF(M758="Win",IF(F758="Bet",(I758-1)*K758,K758),IF(M758="Loss",IF(F758="Bet",-K758,-(I758-1)*K758),IF(M758="Void",0,"")))</f>
        <v/>
      </c>
      <c r="O758" s="18">
        <f>IF(OR(M758="Win",M758="Loss"),IF(F758="Bet",K758,(I758-1)*K758),"")</f>
        <v/>
      </c>
    </row>
    <row r="759">
      <c r="A759" s="44" t="n">
        <v>46296</v>
      </c>
      <c r="B759" s="45" t="inlineStr">
        <is>
          <t>Kalgoorlie</t>
        </is>
      </c>
      <c r="C759" s="21" t="n">
        <v>1</v>
      </c>
      <c r="D759" s="21" t="n">
        <v>10</v>
      </c>
      <c r="E759" s="20" t="inlineStr">
        <is>
          <t>Filling With Water</t>
        </is>
      </c>
      <c r="F759" s="46" t="inlineStr">
        <is>
          <t>Lay</t>
        </is>
      </c>
      <c r="G759" s="47" t="inlineStr">
        <is>
          <t>Lay</t>
        </is>
      </c>
      <c r="H759" s="48" t="n">
        <v>11.2</v>
      </c>
      <c r="I759" s="48" t="n">
        <v>6.4</v>
      </c>
      <c r="J759" s="22" t="n">
        <v>-0.0623</v>
      </c>
      <c r="K759" s="49" t="n">
        <v>1</v>
      </c>
      <c r="L759" s="21" t="n">
        <v>8</v>
      </c>
      <c r="M759" s="50" t="inlineStr">
        <is>
          <t>Win</t>
        </is>
      </c>
      <c r="N759" s="23">
        <f>IF(M759="Win",IF(F759="Bet",(I759-1)*K759,K759),IF(M759="Loss",IF(F759="Bet",-K759,-(I759-1)*K759),IF(M759="Void",0,"")))</f>
        <v/>
      </c>
      <c r="O759" s="24">
        <f>IF(OR(M759="Win",M759="Loss"),IF(F759="Bet",K759,(I759-1)*K759),"")</f>
        <v/>
      </c>
    </row>
    <row r="760">
      <c r="A760" s="37" t="n">
        <v>46296</v>
      </c>
      <c r="B760" s="38" t="inlineStr">
        <is>
          <t>Tamworth</t>
        </is>
      </c>
      <c r="C760" s="15" t="n">
        <v>4</v>
      </c>
      <c r="D760" s="15" t="n">
        <v>3</v>
      </c>
      <c r="E760" s="14" t="inlineStr">
        <is>
          <t>Pensativa</t>
        </is>
      </c>
      <c r="F760" s="43" t="inlineStr">
        <is>
          <t>Lay</t>
        </is>
      </c>
      <c r="G760" s="47" t="inlineStr">
        <is>
          <t>Lay</t>
        </is>
      </c>
      <c r="H760" s="41" t="n">
        <v>2.3</v>
      </c>
      <c r="I760" s="41" t="n">
        <v>1.88</v>
      </c>
      <c r="J760" s="16" t="n">
        <v>-0.0842</v>
      </c>
      <c r="K760" s="42" t="n">
        <v>1</v>
      </c>
      <c r="L760" s="15" t="n">
        <v>2</v>
      </c>
      <c r="M760" s="51" t="inlineStr">
        <is>
          <t>Win</t>
        </is>
      </c>
      <c r="N760" s="17">
        <f>IF(M760="Win",IF(F760="Bet",(I760-1)*K760,K760),IF(M760="Loss",IF(F760="Bet",-K760,-(I760-1)*K760),IF(M760="Void",0,"")))</f>
        <v/>
      </c>
      <c r="O760" s="18">
        <f>IF(OR(M760="Win",M760="Loss"),IF(F760="Bet",K760,(I760-1)*K760),"")</f>
        <v/>
      </c>
    </row>
    <row r="761">
      <c r="A761" s="44" t="n">
        <v>46296</v>
      </c>
      <c r="B761" s="45" t="inlineStr">
        <is>
          <t>Kalgoorlie</t>
        </is>
      </c>
      <c r="C761" s="21" t="n">
        <v>2</v>
      </c>
      <c r="D761" s="21" t="n">
        <v>8</v>
      </c>
      <c r="E761" s="20" t="inlineStr">
        <is>
          <t>Run Rupert Run</t>
        </is>
      </c>
      <c r="F761" s="46" t="inlineStr">
        <is>
          <t>Lay</t>
        </is>
      </c>
      <c r="G761" s="47" t="inlineStr">
        <is>
          <t>Lay</t>
        </is>
      </c>
      <c r="H761" s="48" t="n">
        <v>4.3</v>
      </c>
      <c r="I761" s="48" t="n">
        <v>2.94</v>
      </c>
      <c r="J761" s="22" t="n">
        <v>-0.0765</v>
      </c>
      <c r="K761" s="49" t="n">
        <v>1</v>
      </c>
      <c r="L761" s="21" t="n">
        <v>2</v>
      </c>
      <c r="M761" s="50" t="inlineStr">
        <is>
          <t>Win</t>
        </is>
      </c>
      <c r="N761" s="23">
        <f>IF(M761="Win",IF(F761="Bet",(I761-1)*K761,K761),IF(M761="Loss",IF(F761="Bet",-K761,-(I761-1)*K761),IF(M761="Void",0,"")))</f>
        <v/>
      </c>
      <c r="O761" s="24">
        <f>IF(OR(M761="Win",M761="Loss"),IF(F761="Bet",K761,(I761-1)*K761),"")</f>
        <v/>
      </c>
    </row>
    <row r="762">
      <c r="A762" s="37" t="n">
        <v>46296</v>
      </c>
      <c r="B762" s="38" t="inlineStr">
        <is>
          <t>Illawarra Grange</t>
        </is>
      </c>
      <c r="C762" s="15" t="n">
        <v>7</v>
      </c>
      <c r="D762" s="15" t="n">
        <v>2</v>
      </c>
      <c r="E762" s="14" t="inlineStr">
        <is>
          <t>Maidoff</t>
        </is>
      </c>
      <c r="F762" s="43" t="inlineStr">
        <is>
          <t>Lay</t>
        </is>
      </c>
      <c r="G762" s="47" t="inlineStr">
        <is>
          <t>Lay</t>
        </is>
      </c>
      <c r="H762" s="41" t="n">
        <v>2.8</v>
      </c>
      <c r="I762" s="41" t="n">
        <v>2</v>
      </c>
      <c r="J762" s="16" t="n">
        <v>-0.0769</v>
      </c>
      <c r="K762" s="42" t="n">
        <v>1</v>
      </c>
      <c r="L762" s="15" t="n">
        <v>1</v>
      </c>
      <c r="M762" s="43" t="inlineStr">
        <is>
          <t>Loss</t>
        </is>
      </c>
      <c r="N762" s="17">
        <f>IF(M762="Win",IF(F762="Bet",(I762-1)*K762,K762),IF(M762="Loss",IF(F762="Bet",-K762,-(I762-1)*K762),IF(M762="Void",0,"")))</f>
        <v/>
      </c>
      <c r="O762" s="18">
        <f>IF(OR(M762="Win",M762="Loss"),IF(F762="Bet",K762,(I762-1)*K762),"")</f>
        <v/>
      </c>
    </row>
    <row r="763">
      <c r="A763" s="44" t="n">
        <v>46296</v>
      </c>
      <c r="B763" s="45" t="inlineStr">
        <is>
          <t>Kalgoorlie</t>
        </is>
      </c>
      <c r="C763" s="21" t="n">
        <v>2</v>
      </c>
      <c r="D763" s="21" t="n">
        <v>10</v>
      </c>
      <c r="E763" s="20" t="inlineStr">
        <is>
          <t>Budino</t>
        </is>
      </c>
      <c r="F763" s="52" t="inlineStr">
        <is>
          <t>Bet</t>
        </is>
      </c>
      <c r="G763" s="40" t="inlineStr">
        <is>
          <t>Bet</t>
        </is>
      </c>
      <c r="H763" s="48" t="n">
        <v>7.9</v>
      </c>
      <c r="I763" s="48" t="n">
        <v>9.5</v>
      </c>
      <c r="J763" s="22" t="n">
        <v>0.0208</v>
      </c>
      <c r="K763" s="49" t="n">
        <v>1</v>
      </c>
      <c r="L763" s="21" t="n">
        <v>8</v>
      </c>
      <c r="M763" s="46" t="inlineStr">
        <is>
          <t>Loss</t>
        </is>
      </c>
      <c r="N763" s="23">
        <f>IF(M763="Win",IF(F763="Bet",(I763-1)*K763,K763),IF(M763="Loss",IF(F763="Bet",-K763,-(I763-1)*K763),IF(M763="Void",0,"")))</f>
        <v/>
      </c>
      <c r="O763" s="24">
        <f>IF(OR(M763="Win",M763="Loss"),IF(F763="Bet",K763,(I763-1)*K763),"")</f>
        <v/>
      </c>
    </row>
    <row r="764">
      <c r="A764" s="37" t="n">
        <v>46296</v>
      </c>
      <c r="B764" s="38" t="inlineStr">
        <is>
          <t>Gatton</t>
        </is>
      </c>
      <c r="C764" s="15" t="n">
        <v>6</v>
      </c>
      <c r="D764" s="15" t="n">
        <v>2</v>
      </c>
      <c r="E764" s="14" t="inlineStr">
        <is>
          <t>Qickwit</t>
        </is>
      </c>
      <c r="F764" s="43" t="inlineStr">
        <is>
          <t>Lay</t>
        </is>
      </c>
      <c r="G764" s="47" t="inlineStr">
        <is>
          <t>Lay</t>
        </is>
      </c>
      <c r="H764" s="41" t="n">
        <v>4.1</v>
      </c>
      <c r="I764" s="41" t="n">
        <v>2.74</v>
      </c>
      <c r="J764" s="16" t="n">
        <v>-0.0653</v>
      </c>
      <c r="K764" s="42" t="n">
        <v>1</v>
      </c>
      <c r="L764" s="15" t="n">
        <v>2</v>
      </c>
      <c r="M764" s="51" t="inlineStr">
        <is>
          <t>Win</t>
        </is>
      </c>
      <c r="N764" s="17">
        <f>IF(M764="Win",IF(F764="Bet",(I764-1)*K764,K764),IF(M764="Loss",IF(F764="Bet",-K764,-(I764-1)*K764),IF(M764="Void",0,"")))</f>
        <v/>
      </c>
      <c r="O764" s="18">
        <f>IF(OR(M764="Win",M764="Loss"),IF(F764="Bet",K764,(I764-1)*K764),"")</f>
        <v/>
      </c>
    </row>
    <row r="765">
      <c r="A765" s="44" t="n">
        <v>46297</v>
      </c>
      <c r="B765" s="45" t="inlineStr">
        <is>
          <t>Sunshine Coast</t>
        </is>
      </c>
      <c r="C765" s="21" t="n">
        <v>2</v>
      </c>
      <c r="D765" s="21" t="n">
        <v>1</v>
      </c>
      <c r="E765" s="20" t="inlineStr">
        <is>
          <t>Taravia</t>
        </is>
      </c>
      <c r="F765" s="46" t="inlineStr">
        <is>
          <t>Lay</t>
        </is>
      </c>
      <c r="G765" s="47" t="inlineStr">
        <is>
          <t>Lay</t>
        </is>
      </c>
      <c r="H765" s="48" t="n">
        <v>2.25</v>
      </c>
      <c r="I765" s="48" t="n">
        <v>1.74</v>
      </c>
      <c r="J765" s="22" t="n">
        <v>-0.0696</v>
      </c>
      <c r="K765" s="49" t="n">
        <v>1</v>
      </c>
      <c r="L765" s="21" t="n"/>
      <c r="M765" s="55" t="inlineStr">
        <is>
          <t>Void</t>
        </is>
      </c>
      <c r="N765" s="23">
        <f>IF(M765="Win",IF(F765="Bet",(I765-1)*K765,K765),IF(M765="Loss",IF(F765="Bet",-K765,-(I765-1)*K765),IF(M765="Void",0,"")))</f>
        <v/>
      </c>
      <c r="O765" s="24">
        <f>IF(OR(M765="Win",M765="Loss"),IF(F765="Bet",K765,(I765-1)*K765),"")</f>
        <v/>
      </c>
    </row>
    <row r="766">
      <c r="A766" s="37" t="n">
        <v>46297</v>
      </c>
      <c r="B766" s="38" t="inlineStr">
        <is>
          <t>Dubbo</t>
        </is>
      </c>
      <c r="C766" s="15" t="n">
        <v>3</v>
      </c>
      <c r="D766" s="15" t="n">
        <v>6</v>
      </c>
      <c r="E766" s="14" t="inlineStr">
        <is>
          <t>Nimble Star</t>
        </is>
      </c>
      <c r="F766" s="43" t="inlineStr">
        <is>
          <t>Lay</t>
        </is>
      </c>
      <c r="G766" s="47" t="inlineStr">
        <is>
          <t>Lay</t>
        </is>
      </c>
      <c r="H766" s="41" t="n">
        <v>2.1</v>
      </c>
      <c r="I766" s="41" t="n">
        <v>1.8</v>
      </c>
      <c r="J766" s="16" t="n">
        <v>-0.0757</v>
      </c>
      <c r="K766" s="42" t="n">
        <v>1</v>
      </c>
      <c r="L766" s="15" t="n"/>
      <c r="M766" s="54" t="inlineStr">
        <is>
          <t>Pending</t>
        </is>
      </c>
      <c r="N766" s="17">
        <f>IF(M766="Win",IF(F766="Bet",(I766-1)*K766,K766),IF(M766="Loss",IF(F766="Bet",-K766,-(I766-1)*K766),IF(M766="Void",0,"")))</f>
        <v/>
      </c>
      <c r="O766" s="18">
        <f>IF(OR(M766="Win",M766="Loss"),IF(F766="Bet",K766,(I766-1)*K766),"")</f>
        <v/>
      </c>
    </row>
    <row r="767">
      <c r="A767" s="44" t="n">
        <v>46297</v>
      </c>
      <c r="B767" s="45" t="inlineStr">
        <is>
          <t>Moruya</t>
        </is>
      </c>
      <c r="C767" s="21" t="n">
        <v>2</v>
      </c>
      <c r="D767" s="21" t="n">
        <v>5</v>
      </c>
      <c r="E767" s="20" t="inlineStr">
        <is>
          <t>Star Of Lily</t>
        </is>
      </c>
      <c r="F767" s="46" t="inlineStr">
        <is>
          <t>Lay</t>
        </is>
      </c>
      <c r="G767" s="47" t="inlineStr">
        <is>
          <t>Lay</t>
        </is>
      </c>
      <c r="H767" s="48" t="n">
        <v>2.4</v>
      </c>
      <c r="I767" s="48" t="n">
        <v>1.8</v>
      </c>
      <c r="J767" s="22" t="n">
        <v>-0.063</v>
      </c>
      <c r="K767" s="49" t="n">
        <v>1</v>
      </c>
      <c r="L767" s="21" t="n"/>
      <c r="M767" s="55" t="inlineStr">
        <is>
          <t>Pending</t>
        </is>
      </c>
      <c r="N767" s="23">
        <f>IF(M767="Win",IF(F767="Bet",(I767-1)*K767,K767),IF(M767="Loss",IF(F767="Bet",-K767,-(I767-1)*K767),IF(M767="Void",0,"")))</f>
        <v/>
      </c>
      <c r="O767" s="24">
        <f>IF(OR(M767="Win",M767="Loss"),IF(F767="Bet",K767,(I767-1)*K767),"")</f>
        <v/>
      </c>
    </row>
    <row r="768">
      <c r="A768" s="37" t="n">
        <v>46297</v>
      </c>
      <c r="B768" s="38" t="inlineStr">
        <is>
          <t>Cranbourne</t>
        </is>
      </c>
      <c r="C768" s="15" t="n">
        <v>5</v>
      </c>
      <c r="D768" s="15" t="n">
        <v>2</v>
      </c>
      <c r="E768" s="14" t="inlineStr">
        <is>
          <t>Milos Filos</t>
        </is>
      </c>
      <c r="F768" s="39" t="inlineStr">
        <is>
          <t>Bet</t>
        </is>
      </c>
      <c r="G768" s="40" t="inlineStr">
        <is>
          <t>Bet</t>
        </is>
      </c>
      <c r="H768" s="41" t="n">
        <v>6.8</v>
      </c>
      <c r="I768" s="41" t="n">
        <v>8.5</v>
      </c>
      <c r="J768" s="16" t="n">
        <v>0.0299</v>
      </c>
      <c r="K768" s="42" t="n">
        <v>1</v>
      </c>
      <c r="L768" s="15" t="n"/>
      <c r="M768" s="54" t="inlineStr">
        <is>
          <t>Void</t>
        </is>
      </c>
      <c r="N768" s="17">
        <f>IF(M768="Win",IF(F768="Bet",(I768-1)*K768,K768),IF(M768="Loss",IF(F768="Bet",-K768,-(I768-1)*K768),IF(M768="Void",0,"")))</f>
        <v/>
      </c>
      <c r="O768" s="18">
        <f>IF(OR(M768="Win",M768="Loss"),IF(F768="Bet",K768,(I768-1)*K768),"")</f>
        <v/>
      </c>
    </row>
    <row r="769">
      <c r="A769" s="44" t="n">
        <v>46297</v>
      </c>
      <c r="B769" s="45" t="inlineStr">
        <is>
          <t>Launceston</t>
        </is>
      </c>
      <c r="C769" s="21" t="n">
        <v>8</v>
      </c>
      <c r="D769" s="21" t="n">
        <v>2</v>
      </c>
      <c r="E769" s="20" t="inlineStr">
        <is>
          <t>Eaglefurther</t>
        </is>
      </c>
      <c r="F769" s="46" t="inlineStr">
        <is>
          <t>Lay</t>
        </is>
      </c>
      <c r="G769" s="47" t="inlineStr">
        <is>
          <t>Lay</t>
        </is>
      </c>
      <c r="H769" s="48" t="n">
        <v>4.5</v>
      </c>
      <c r="I769" s="48" t="n">
        <v>3.5</v>
      </c>
      <c r="J769" s="22" t="n">
        <v>-0.0625</v>
      </c>
      <c r="K769" s="49" t="n">
        <v>1</v>
      </c>
      <c r="L769" s="21" t="n"/>
      <c r="M769" s="55" t="inlineStr">
        <is>
          <t>Pending</t>
        </is>
      </c>
      <c r="N769" s="23">
        <f>IF(M769="Win",IF(F769="Bet",(I769-1)*K769,K769),IF(M769="Loss",IF(F769="Bet",-K769,-(I769-1)*K769),IF(M769="Void",0,"")))</f>
        <v/>
      </c>
      <c r="O769" s="24">
        <f>IF(OR(M769="Win",M769="Loss"),IF(F769="Bet",K769,(I769-1)*K769),"")</f>
        <v/>
      </c>
    </row>
    <row r="770">
      <c r="A770" s="37" t="n">
        <v>46297</v>
      </c>
      <c r="B770" s="38" t="inlineStr">
        <is>
          <t>Launceston</t>
        </is>
      </c>
      <c r="C770" s="15" t="n">
        <v>7</v>
      </c>
      <c r="D770" s="15" t="n">
        <v>1</v>
      </c>
      <c r="E770" s="14" t="inlineStr">
        <is>
          <t>Bailed</t>
        </is>
      </c>
      <c r="F770" s="43" t="inlineStr">
        <is>
          <t>Lay</t>
        </is>
      </c>
      <c r="G770" s="47" t="inlineStr">
        <is>
          <t>Lay</t>
        </is>
      </c>
      <c r="H770" s="41" t="n">
        <v>3.4</v>
      </c>
      <c r="I770" s="41" t="n">
        <v>2.5</v>
      </c>
      <c r="J770" s="16" t="n">
        <v>-0.06270000000000001</v>
      </c>
      <c r="K770" s="42" t="n">
        <v>1</v>
      </c>
      <c r="L770" s="15" t="n"/>
      <c r="M770" s="54" t="inlineStr">
        <is>
          <t>Pending</t>
        </is>
      </c>
      <c r="N770" s="17">
        <f>IF(M770="Win",IF(F770="Bet",(I770-1)*K770,K770),IF(M770="Loss",IF(F770="Bet",-K770,-(I770-1)*K770),IF(M770="Void",0,"")))</f>
        <v/>
      </c>
      <c r="O770" s="18">
        <f>IF(OR(M770="Win",M770="Loss"),IF(F770="Bet",K770,(I770-1)*K770),"")</f>
        <v/>
      </c>
    </row>
    <row r="771">
      <c r="A771" s="44" t="n">
        <v>46297</v>
      </c>
      <c r="B771" s="45" t="inlineStr">
        <is>
          <t>Sunshine Coast</t>
        </is>
      </c>
      <c r="C771" s="21" t="n">
        <v>5</v>
      </c>
      <c r="D771" s="21" t="n">
        <v>8</v>
      </c>
      <c r="E771" s="20" t="inlineStr">
        <is>
          <t>Gambler</t>
        </is>
      </c>
      <c r="F771" s="46" t="inlineStr">
        <is>
          <t>Lay</t>
        </is>
      </c>
      <c r="G771" s="47" t="inlineStr">
        <is>
          <t>Lay</t>
        </is>
      </c>
      <c r="H771" s="48" t="n">
        <v>3.1</v>
      </c>
      <c r="I771" s="48" t="n">
        <v>2.34</v>
      </c>
      <c r="J771" s="22" t="n">
        <v>-0.0843</v>
      </c>
      <c r="K771" s="49" t="n">
        <v>1</v>
      </c>
      <c r="L771" s="21" t="n"/>
      <c r="M771" s="55" t="inlineStr">
        <is>
          <t>Pending</t>
        </is>
      </c>
      <c r="N771" s="23">
        <f>IF(M771="Win",IF(F771="Bet",(I771-1)*K771,K771),IF(M771="Loss",IF(F771="Bet",-K771,-(I771-1)*K771),IF(M771="Void",0,"")))</f>
        <v/>
      </c>
      <c r="O771" s="24">
        <f>IF(OR(M771="Win",M771="Loss"),IF(F771="Bet",K771,(I771-1)*K771),"")</f>
        <v/>
      </c>
    </row>
    <row r="772">
      <c r="A772" s="37" t="n">
        <v>46297</v>
      </c>
      <c r="B772" s="38" t="inlineStr">
        <is>
          <t>Sunshine Coast</t>
        </is>
      </c>
      <c r="C772" s="15" t="n">
        <v>1</v>
      </c>
      <c r="D772" s="15" t="n">
        <v>2</v>
      </c>
      <c r="E772" s="14" t="inlineStr">
        <is>
          <t>Indamouse</t>
        </is>
      </c>
      <c r="F772" s="43" t="inlineStr">
        <is>
          <t>Lay</t>
        </is>
      </c>
      <c r="G772" s="47" t="inlineStr">
        <is>
          <t>Lay</t>
        </is>
      </c>
      <c r="H772" s="41" t="n">
        <v>2.4</v>
      </c>
      <c r="I772" s="41" t="n">
        <v>1.95</v>
      </c>
      <c r="J772" s="16" t="n">
        <v>-0.0697</v>
      </c>
      <c r="K772" s="42" t="n">
        <v>1</v>
      </c>
      <c r="L772" s="15" t="n"/>
      <c r="M772" s="54" t="inlineStr">
        <is>
          <t>Pending</t>
        </is>
      </c>
      <c r="N772" s="17">
        <f>IF(M772="Win",IF(F772="Bet",(I772-1)*K772,K772),IF(M772="Loss",IF(F772="Bet",-K772,-(I772-1)*K772),IF(M772="Void",0,"")))</f>
        <v/>
      </c>
      <c r="O772" s="18">
        <f>IF(OR(M772="Win",M772="Loss"),IF(F772="Bet",K772,(I772-1)*K772),"")</f>
        <v/>
      </c>
    </row>
    <row r="773">
      <c r="A773" s="44" t="n">
        <v>46297</v>
      </c>
      <c r="B773" s="45" t="inlineStr">
        <is>
          <t>Launceston</t>
        </is>
      </c>
      <c r="C773" s="21" t="n">
        <v>2</v>
      </c>
      <c r="D773" s="21" t="n">
        <v>6</v>
      </c>
      <c r="E773" s="20" t="inlineStr">
        <is>
          <t>Fluffy's Girl</t>
        </is>
      </c>
      <c r="F773" s="52" t="inlineStr">
        <is>
          <t>Bet</t>
        </is>
      </c>
      <c r="G773" s="40" t="inlineStr">
        <is>
          <t>Bet</t>
        </is>
      </c>
      <c r="H773" s="48" t="n">
        <v>4.9</v>
      </c>
      <c r="I773" s="48" t="n">
        <v>6</v>
      </c>
      <c r="J773" s="22" t="n">
        <v>0.0212</v>
      </c>
      <c r="K773" s="49" t="n">
        <v>1</v>
      </c>
      <c r="L773" s="21" t="n"/>
      <c r="M773" s="55" t="inlineStr">
        <is>
          <t>Pending</t>
        </is>
      </c>
      <c r="N773" s="23">
        <f>IF(M773="Win",IF(F773="Bet",(I773-1)*K773,K773),IF(M773="Loss",IF(F773="Bet",-K773,-(I773-1)*K773),IF(M773="Void",0,"")))</f>
        <v/>
      </c>
      <c r="O773" s="24">
        <f>IF(OR(M773="Win",M773="Loss"),IF(F773="Bet",K773,(I773-1)*K773),"")</f>
        <v/>
      </c>
    </row>
    <row r="774">
      <c r="A774" s="37" t="n">
        <v>46297</v>
      </c>
      <c r="B774" s="38" t="inlineStr">
        <is>
          <t>Dubbo</t>
        </is>
      </c>
      <c r="C774" s="15" t="n">
        <v>1</v>
      </c>
      <c r="D774" s="15" t="n">
        <v>3</v>
      </c>
      <c r="E774" s="14" t="inlineStr">
        <is>
          <t>Panelli</t>
        </is>
      </c>
      <c r="F774" s="43" t="inlineStr">
        <is>
          <t>Lay</t>
        </is>
      </c>
      <c r="G774" s="47" t="inlineStr">
        <is>
          <t>Lay</t>
        </is>
      </c>
      <c r="H774" s="41" t="n">
        <v>4</v>
      </c>
      <c r="I774" s="41" t="n">
        <v>3</v>
      </c>
      <c r="J774" s="16" t="n">
        <v>-0.0605</v>
      </c>
      <c r="K774" s="42" t="n">
        <v>1</v>
      </c>
      <c r="L774" s="15" t="n"/>
      <c r="M774" s="54" t="inlineStr">
        <is>
          <t>Pending</t>
        </is>
      </c>
      <c r="N774" s="17">
        <f>IF(M774="Win",IF(F774="Bet",(I774-1)*K774,K774),IF(M774="Loss",IF(F774="Bet",-K774,-(I774-1)*K774),IF(M774="Void",0,"")))</f>
        <v/>
      </c>
      <c r="O774" s="18">
        <f>IF(OR(M774="Win",M774="Loss"),IF(F774="Bet",K774,(I774-1)*K774),"")</f>
        <v/>
      </c>
    </row>
    <row r="775">
      <c r="A775" s="44" t="n">
        <v>46297</v>
      </c>
      <c r="B775" s="45" t="inlineStr">
        <is>
          <t>Moruya</t>
        </is>
      </c>
      <c r="C775" s="21" t="n">
        <v>6</v>
      </c>
      <c r="D775" s="21" t="n">
        <v>11</v>
      </c>
      <c r="E775" s="20" t="inlineStr">
        <is>
          <t>Let's Go Again</t>
        </is>
      </c>
      <c r="F775" s="46" t="inlineStr">
        <is>
          <t>Lay</t>
        </is>
      </c>
      <c r="G775" s="47" t="inlineStr">
        <is>
          <t>Lay</t>
        </is>
      </c>
      <c r="H775" s="48" t="n">
        <v>4.9</v>
      </c>
      <c r="I775" s="48" t="n">
        <v>3.2</v>
      </c>
      <c r="J775" s="22" t="n">
        <v>-0.1099</v>
      </c>
      <c r="K775" s="49" t="n">
        <v>1</v>
      </c>
      <c r="L775" s="21" t="n"/>
      <c r="M775" s="55" t="inlineStr">
        <is>
          <t>Pending</t>
        </is>
      </c>
      <c r="N775" s="23">
        <f>IF(M775="Win",IF(F775="Bet",(I775-1)*K775,K775),IF(M775="Loss",IF(F775="Bet",-K775,-(I775-1)*K775),IF(M775="Void",0,"")))</f>
        <v/>
      </c>
      <c r="O775" s="24">
        <f>IF(OR(M775="Win",M775="Loss"),IF(F775="Bet",K775,(I775-1)*K775),"")</f>
        <v/>
      </c>
    </row>
    <row r="776">
      <c r="A776" s="37" t="n">
        <v>46297</v>
      </c>
      <c r="B776" s="38" t="inlineStr">
        <is>
          <t>Launceston</t>
        </is>
      </c>
      <c r="C776" s="15" t="n">
        <v>6</v>
      </c>
      <c r="D776" s="15" t="n">
        <v>3</v>
      </c>
      <c r="E776" s="14" t="inlineStr">
        <is>
          <t>Prince Of Khatun</t>
        </is>
      </c>
      <c r="F776" s="43" t="inlineStr">
        <is>
          <t>Lay</t>
        </is>
      </c>
      <c r="G776" s="47" t="inlineStr">
        <is>
          <t>Lay</t>
        </is>
      </c>
      <c r="H776" s="41" t="n">
        <v>3</v>
      </c>
      <c r="I776" s="41" t="n">
        <v>2.36</v>
      </c>
      <c r="J776" s="16" t="n">
        <v>-0.08740000000000001</v>
      </c>
      <c r="K776" s="42" t="n">
        <v>1</v>
      </c>
      <c r="L776" s="15" t="n"/>
      <c r="M776" s="54" t="inlineStr">
        <is>
          <t>Pending</t>
        </is>
      </c>
      <c r="N776" s="17">
        <f>IF(M776="Win",IF(F776="Bet",(I776-1)*K776,K776),IF(M776="Loss",IF(F776="Bet",-K776,-(I776-1)*K776),IF(M776="Void",0,"")))</f>
        <v/>
      </c>
      <c r="O776" s="18">
        <f>IF(OR(M776="Win",M776="Loss"),IF(F776="Bet",K776,(I776-1)*K776),"")</f>
        <v/>
      </c>
    </row>
    <row r="777">
      <c r="A777" s="44" t="n">
        <v>46297</v>
      </c>
      <c r="B777" s="45" t="inlineStr">
        <is>
          <t>Cranbourne</t>
        </is>
      </c>
      <c r="C777" s="21" t="n">
        <v>2</v>
      </c>
      <c r="D777" s="21" t="n">
        <v>4</v>
      </c>
      <c r="E777" s="20" t="inlineStr">
        <is>
          <t>Valaroso</t>
        </is>
      </c>
      <c r="F777" s="46" t="inlineStr">
        <is>
          <t>Lay</t>
        </is>
      </c>
      <c r="G777" s="47" t="inlineStr">
        <is>
          <t>Lay</t>
        </is>
      </c>
      <c r="H777" s="48" t="n">
        <v>3.7</v>
      </c>
      <c r="I777" s="48" t="n">
        <v>2.96</v>
      </c>
      <c r="J777" s="22" t="n">
        <v>-0.0668</v>
      </c>
      <c r="K777" s="49" t="n">
        <v>1</v>
      </c>
      <c r="L777" s="21" t="n"/>
      <c r="M777" s="55" t="inlineStr">
        <is>
          <t>Void</t>
        </is>
      </c>
      <c r="N777" s="23">
        <f>IF(M777="Win",IF(F777="Bet",(I777-1)*K777,K777),IF(M777="Loss",IF(F777="Bet",-K777,-(I777-1)*K777),IF(M777="Void",0,"")))</f>
        <v/>
      </c>
      <c r="O777" s="24">
        <f>IF(OR(M777="Win",M777="Loss"),IF(F777="Bet",K777,(I777-1)*K777),"")</f>
        <v/>
      </c>
    </row>
    <row r="778">
      <c r="A778" s="37" t="n">
        <v>46297</v>
      </c>
      <c r="B778" s="38" t="inlineStr">
        <is>
          <t>Sunshine Coast</t>
        </is>
      </c>
      <c r="C778" s="15" t="n">
        <v>5</v>
      </c>
      <c r="D778" s="15" t="n">
        <v>3</v>
      </c>
      <c r="E778" s="14" t="inlineStr">
        <is>
          <t>Shako</t>
        </is>
      </c>
      <c r="F778" s="39" t="inlineStr">
        <is>
          <t>Bet</t>
        </is>
      </c>
      <c r="G778" s="40" t="inlineStr">
        <is>
          <t>Bet</t>
        </is>
      </c>
      <c r="H778" s="41" t="n">
        <v>4.7</v>
      </c>
      <c r="I778" s="41" t="n">
        <v>5.5</v>
      </c>
      <c r="J778" s="16" t="n">
        <v>0.0293</v>
      </c>
      <c r="K778" s="42" t="n">
        <v>1</v>
      </c>
      <c r="L778" s="15" t="n"/>
      <c r="M778" s="54" t="inlineStr">
        <is>
          <t>Pending</t>
        </is>
      </c>
      <c r="N778" s="17">
        <f>IF(M778="Win",IF(F778="Bet",(I778-1)*K778,K778),IF(M778="Loss",IF(F778="Bet",-K778,-(I778-1)*K778),IF(M778="Void",0,"")))</f>
        <v/>
      </c>
      <c r="O778" s="18">
        <f>IF(OR(M778="Win",M778="Loss"),IF(F778="Bet",K778,(I778-1)*K778),"")</f>
        <v/>
      </c>
    </row>
    <row r="779">
      <c r="A779" s="44" t="n">
        <v>46297</v>
      </c>
      <c r="B779" s="45" t="inlineStr">
        <is>
          <t>Sunshine Coast</t>
        </is>
      </c>
      <c r="C779" s="21" t="n">
        <v>5</v>
      </c>
      <c r="D779" s="21" t="n">
        <v>5</v>
      </c>
      <c r="E779" s="20" t="inlineStr">
        <is>
          <t>Chalice Well</t>
        </is>
      </c>
      <c r="F779" s="52" t="inlineStr">
        <is>
          <t>Bet</t>
        </is>
      </c>
      <c r="G779" s="40" t="inlineStr">
        <is>
          <t>Bet</t>
        </is>
      </c>
      <c r="H779" s="48" t="n">
        <v>5</v>
      </c>
      <c r="I779" s="48" t="n">
        <v>6</v>
      </c>
      <c r="J779" s="22" t="n">
        <v>0.0353</v>
      </c>
      <c r="K779" s="49" t="n">
        <v>1</v>
      </c>
      <c r="L779" s="21" t="n"/>
      <c r="M779" s="55" t="inlineStr">
        <is>
          <t>Pending</t>
        </is>
      </c>
      <c r="N779" s="23">
        <f>IF(M779="Win",IF(F779="Bet",(I779-1)*K779,K779),IF(M779="Loss",IF(F779="Bet",-K779,-(I779-1)*K779),IF(M779="Void",0,"")))</f>
        <v/>
      </c>
      <c r="O779" s="24">
        <f>IF(OR(M779="Win",M779="Loss"),IF(F779="Bet",K779,(I779-1)*K779),"")</f>
        <v/>
      </c>
    </row>
    <row r="780">
      <c r="A780" s="37" t="n">
        <v>46297</v>
      </c>
      <c r="B780" s="38" t="inlineStr">
        <is>
          <t>Moruya</t>
        </is>
      </c>
      <c r="C780" s="15" t="n">
        <v>8</v>
      </c>
      <c r="D780" s="15" t="n">
        <v>3</v>
      </c>
      <c r="E780" s="14" t="inlineStr">
        <is>
          <t>Kool Kade</t>
        </is>
      </c>
      <c r="F780" s="43" t="inlineStr">
        <is>
          <t>Lay</t>
        </is>
      </c>
      <c r="G780" s="47" t="inlineStr">
        <is>
          <t>Lay</t>
        </is>
      </c>
      <c r="H780" s="41" t="n">
        <v>3.9</v>
      </c>
      <c r="I780" s="41" t="n">
        <v>2.64</v>
      </c>
      <c r="J780" s="16" t="n">
        <v>-0.0858</v>
      </c>
      <c r="K780" s="42" t="n">
        <v>1</v>
      </c>
      <c r="L780" s="15" t="n"/>
      <c r="M780" s="54" t="inlineStr">
        <is>
          <t>Pending</t>
        </is>
      </c>
      <c r="N780" s="17">
        <f>IF(M780="Win",IF(F780="Bet",(I780-1)*K780,K780),IF(M780="Loss",IF(F780="Bet",-K780,-(I780-1)*K780),IF(M780="Void",0,"")))</f>
        <v/>
      </c>
      <c r="O780" s="18">
        <f>IF(OR(M780="Win",M780="Loss"),IF(F780="Bet",K780,(I780-1)*K780),"")</f>
        <v/>
      </c>
    </row>
    <row r="781">
      <c r="A781" s="44" t="n">
        <v>46297</v>
      </c>
      <c r="B781" s="45" t="inlineStr">
        <is>
          <t>Cranbourne</t>
        </is>
      </c>
      <c r="C781" s="21" t="n">
        <v>6</v>
      </c>
      <c r="D781" s="21" t="n">
        <v>8</v>
      </c>
      <c r="E781" s="20" t="inlineStr">
        <is>
          <t>Killenaule</t>
        </is>
      </c>
      <c r="F781" s="46" t="inlineStr">
        <is>
          <t>Lay</t>
        </is>
      </c>
      <c r="G781" s="47" t="inlineStr">
        <is>
          <t>Lay</t>
        </is>
      </c>
      <c r="H781" s="48" t="n">
        <v>4.5</v>
      </c>
      <c r="I781" s="48" t="n">
        <v>3.5</v>
      </c>
      <c r="J781" s="22" t="n">
        <v>-0.0615</v>
      </c>
      <c r="K781" s="49" t="n">
        <v>1</v>
      </c>
      <c r="L781" s="21" t="n"/>
      <c r="M781" s="55" t="inlineStr">
        <is>
          <t>Void</t>
        </is>
      </c>
      <c r="N781" s="23">
        <f>IF(M781="Win",IF(F781="Bet",(I781-1)*K781,K781),IF(M781="Loss",IF(F781="Bet",-K781,-(I781-1)*K781),IF(M781="Void",0,"")))</f>
        <v/>
      </c>
      <c r="O781" s="24">
        <f>IF(OR(M781="Win",M781="Loss"),IF(F781="Bet",K781,(I781-1)*K781),"")</f>
        <v/>
      </c>
    </row>
    <row r="782">
      <c r="A782" s="37" t="n">
        <v>46297</v>
      </c>
      <c r="B782" s="38" t="inlineStr">
        <is>
          <t>Moruya</t>
        </is>
      </c>
      <c r="C782" s="15" t="n">
        <v>1</v>
      </c>
      <c r="D782" s="15" t="n">
        <v>1</v>
      </c>
      <c r="E782" s="14" t="inlineStr">
        <is>
          <t>Hellfighter</t>
        </is>
      </c>
      <c r="F782" s="43" t="inlineStr">
        <is>
          <t>Lay</t>
        </is>
      </c>
      <c r="G782" s="47" t="inlineStr">
        <is>
          <t>Lay</t>
        </is>
      </c>
      <c r="H782" s="41" t="n">
        <v>2.05</v>
      </c>
      <c r="I782" s="41" t="n">
        <v>1.84</v>
      </c>
      <c r="J782" s="16" t="n">
        <v>-0.0607</v>
      </c>
      <c r="K782" s="42" t="n">
        <v>1</v>
      </c>
      <c r="L782" s="15" t="n"/>
      <c r="M782" s="54" t="inlineStr">
        <is>
          <t>Pending</t>
        </is>
      </c>
      <c r="N782" s="17">
        <f>IF(M782="Win",IF(F782="Bet",(I782-1)*K782,K782),IF(M782="Loss",IF(F782="Bet",-K782,-(I782-1)*K782),IF(M782="Void",0,"")))</f>
        <v/>
      </c>
      <c r="O782" s="18">
        <f>IF(OR(M782="Win",M782="Loss"),IF(F782="Bet",K782,(I782-1)*K782),"")</f>
        <v/>
      </c>
    </row>
    <row r="783">
      <c r="A783" s="44" t="n">
        <v>46297</v>
      </c>
      <c r="B783" s="45" t="inlineStr">
        <is>
          <t>Sunshine Coast</t>
        </is>
      </c>
      <c r="C783" s="21" t="n">
        <v>3</v>
      </c>
      <c r="D783" s="21" t="n">
        <v>2</v>
      </c>
      <c r="E783" s="20" t="inlineStr">
        <is>
          <t>Castaway</t>
        </is>
      </c>
      <c r="F783" s="46" t="inlineStr">
        <is>
          <t>Lay</t>
        </is>
      </c>
      <c r="G783" s="47" t="inlineStr">
        <is>
          <t>Lay</t>
        </is>
      </c>
      <c r="H783" s="48" t="n">
        <v>7.9</v>
      </c>
      <c r="I783" s="48" t="n">
        <v>5.2</v>
      </c>
      <c r="J783" s="22" t="n">
        <v>-0.0623</v>
      </c>
      <c r="K783" s="49" t="n">
        <v>1</v>
      </c>
      <c r="L783" s="21" t="n"/>
      <c r="M783" s="55" t="inlineStr">
        <is>
          <t>Pending</t>
        </is>
      </c>
      <c r="N783" s="23">
        <f>IF(M783="Win",IF(F783="Bet",(I783-1)*K783,K783),IF(M783="Loss",IF(F783="Bet",-K783,-(I783-1)*K783),IF(M783="Void",0,"")))</f>
        <v/>
      </c>
      <c r="O783" s="24">
        <f>IF(OR(M783="Win",M783="Loss"),IF(F783="Bet",K783,(I783-1)*K783),"")</f>
        <v/>
      </c>
    </row>
    <row r="784">
      <c r="A784" s="37" t="n">
        <v>46297</v>
      </c>
      <c r="B784" s="38" t="inlineStr">
        <is>
          <t>Sunshine Coast</t>
        </is>
      </c>
      <c r="C784" s="15" t="n">
        <v>2</v>
      </c>
      <c r="D784" s="15" t="n">
        <v>4</v>
      </c>
      <c r="E784" s="14" t="inlineStr">
        <is>
          <t>Miss Dynamo</t>
        </is>
      </c>
      <c r="F784" s="39" t="inlineStr">
        <is>
          <t>Bet</t>
        </is>
      </c>
      <c r="G784" s="40" t="inlineStr">
        <is>
          <t>Bet</t>
        </is>
      </c>
      <c r="H784" s="41" t="n">
        <v>2.5</v>
      </c>
      <c r="I784" s="41" t="n">
        <v>2.7</v>
      </c>
      <c r="J784" s="16" t="n">
        <v>0.0314</v>
      </c>
      <c r="K784" s="42" t="n">
        <v>1</v>
      </c>
      <c r="L784" s="15" t="n"/>
      <c r="M784" s="54" t="inlineStr">
        <is>
          <t>Pending</t>
        </is>
      </c>
      <c r="N784" s="17">
        <f>IF(M784="Win",IF(F784="Bet",(I784-1)*K784,K784),IF(M784="Loss",IF(F784="Bet",-K784,-(I784-1)*K784),IF(M784="Void",0,"")))</f>
        <v/>
      </c>
      <c r="O784" s="18">
        <f>IF(OR(M784="Win",M784="Loss"),IF(F784="Bet",K784,(I784-1)*K784),"")</f>
        <v/>
      </c>
    </row>
    <row r="785">
      <c r="A785" s="44" t="n">
        <v>46297</v>
      </c>
      <c r="B785" s="45" t="inlineStr">
        <is>
          <t>Dubbo</t>
        </is>
      </c>
      <c r="C785" s="21" t="n">
        <v>7</v>
      </c>
      <c r="D785" s="21" t="n">
        <v>11</v>
      </c>
      <c r="E785" s="20" t="inlineStr">
        <is>
          <t>Supreme Style</t>
        </is>
      </c>
      <c r="F785" s="46" t="inlineStr">
        <is>
          <t>Lay</t>
        </is>
      </c>
      <c r="G785" s="47" t="inlineStr">
        <is>
          <t>Lay</t>
        </is>
      </c>
      <c r="H785" s="48" t="n">
        <v>4.1</v>
      </c>
      <c r="I785" s="48" t="n">
        <v>3.15</v>
      </c>
      <c r="J785" s="22" t="n">
        <v>-0.07099999999999999</v>
      </c>
      <c r="K785" s="49" t="n">
        <v>1</v>
      </c>
      <c r="L785" s="21" t="n"/>
      <c r="M785" s="55" t="inlineStr">
        <is>
          <t>Pending</t>
        </is>
      </c>
      <c r="N785" s="23">
        <f>IF(M785="Win",IF(F785="Bet",(I785-1)*K785,K785),IF(M785="Loss",IF(F785="Bet",-K785,-(I785-1)*K785),IF(M785="Void",0,"")))</f>
        <v/>
      </c>
      <c r="O785" s="24">
        <f>IF(OR(M785="Win",M785="Loss"),IF(F785="Bet",K785,(I785-1)*K785),"")</f>
        <v/>
      </c>
    </row>
    <row r="786">
      <c r="A786" s="37" t="n">
        <v>46297</v>
      </c>
      <c r="B786" s="38" t="inlineStr">
        <is>
          <t>Launceston</t>
        </is>
      </c>
      <c r="C786" s="15" t="n">
        <v>4</v>
      </c>
      <c r="D786" s="15" t="n">
        <v>3</v>
      </c>
      <c r="E786" s="14" t="inlineStr">
        <is>
          <t>Thickskinned</t>
        </is>
      </c>
      <c r="F786" s="39" t="inlineStr">
        <is>
          <t>Bet</t>
        </is>
      </c>
      <c r="G786" s="53" t="inlineStr">
        <is>
          <t>Prime</t>
        </is>
      </c>
      <c r="H786" s="41" t="n">
        <v>2</v>
      </c>
      <c r="I786" s="41" t="n">
        <v>2.45</v>
      </c>
      <c r="J786" s="16" t="n">
        <v>0.0948</v>
      </c>
      <c r="K786" s="42" t="n">
        <v>1</v>
      </c>
      <c r="L786" s="15" t="n"/>
      <c r="M786" s="54" t="inlineStr">
        <is>
          <t>Pending</t>
        </is>
      </c>
      <c r="N786" s="17">
        <f>IF(M786="Win",IF(F786="Bet",(I786-1)*K786,K786),IF(M786="Loss",IF(F786="Bet",-K786,-(I786-1)*K786),IF(M786="Void",0,"")))</f>
        <v/>
      </c>
      <c r="O786" s="18">
        <f>IF(OR(M786="Win",M786="Loss"),IF(F786="Bet",K786,(I786-1)*K786),"")</f>
        <v/>
      </c>
    </row>
    <row r="787">
      <c r="A787" s="44" t="n">
        <v>46297</v>
      </c>
      <c r="B787" s="45" t="inlineStr">
        <is>
          <t>Rockhampton</t>
        </is>
      </c>
      <c r="C787" s="21" t="n">
        <v>7</v>
      </c>
      <c r="D787" s="21" t="n">
        <v>11</v>
      </c>
      <c r="E787" s="20" t="inlineStr">
        <is>
          <t>Remember The Boys</t>
        </is>
      </c>
      <c r="F787" s="46" t="inlineStr">
        <is>
          <t>Lay</t>
        </is>
      </c>
      <c r="G787" s="47" t="inlineStr">
        <is>
          <t>Lay</t>
        </is>
      </c>
      <c r="H787" s="48" t="n">
        <v>4.6</v>
      </c>
      <c r="I787" s="48" t="n">
        <v>2.88</v>
      </c>
      <c r="J787" s="22" t="n">
        <v>-0.0624</v>
      </c>
      <c r="K787" s="49" t="n">
        <v>1</v>
      </c>
      <c r="L787" s="21" t="n"/>
      <c r="M787" s="55" t="inlineStr">
        <is>
          <t>Pending</t>
        </is>
      </c>
      <c r="N787" s="23">
        <f>IF(M787="Win",IF(F787="Bet",(I787-1)*K787,K787),IF(M787="Loss",IF(F787="Bet",-K787,-(I787-1)*K787),IF(M787="Void",0,"")))</f>
        <v/>
      </c>
      <c r="O787" s="24">
        <f>IF(OR(M787="Win",M787="Loss"),IF(F787="Bet",K787,(I787-1)*K787),"")</f>
        <v/>
      </c>
    </row>
    <row r="788">
      <c r="A788" s="37" t="n">
        <v>46297</v>
      </c>
      <c r="B788" s="38" t="inlineStr">
        <is>
          <t>Rockhampton</t>
        </is>
      </c>
      <c r="C788" s="15" t="n">
        <v>2</v>
      </c>
      <c r="D788" s="15" t="n">
        <v>6</v>
      </c>
      <c r="E788" s="14" t="inlineStr">
        <is>
          <t>August Joe</t>
        </is>
      </c>
      <c r="F788" s="39" t="inlineStr">
        <is>
          <t>Bet</t>
        </is>
      </c>
      <c r="G788" s="40" t="inlineStr">
        <is>
          <t>Bet</t>
        </is>
      </c>
      <c r="H788" s="41" t="n">
        <v>6.2</v>
      </c>
      <c r="I788" s="41" t="n">
        <v>8.5</v>
      </c>
      <c r="J788" s="16" t="n">
        <v>0.0442</v>
      </c>
      <c r="K788" s="42" t="n">
        <v>1</v>
      </c>
      <c r="L788" s="15" t="n"/>
      <c r="M788" s="54" t="inlineStr">
        <is>
          <t>Pending</t>
        </is>
      </c>
      <c r="N788" s="17">
        <f>IF(M788="Win",IF(F788="Bet",(I788-1)*K788,K788),IF(M788="Loss",IF(F788="Bet",-K788,-(I788-1)*K788),IF(M788="Void",0,"")))</f>
        <v/>
      </c>
      <c r="O788" s="18">
        <f>IF(OR(M788="Win",M788="Loss"),IF(F788="Bet",K788,(I788-1)*K788),"")</f>
        <v/>
      </c>
    </row>
    <row r="789">
      <c r="A789" s="44" t="n">
        <v>46297</v>
      </c>
      <c r="B789" s="45" t="inlineStr">
        <is>
          <t>Rockhampton</t>
        </is>
      </c>
      <c r="C789" s="21" t="n">
        <v>4</v>
      </c>
      <c r="D789" s="21" t="n">
        <v>15</v>
      </c>
      <c r="E789" s="20" t="inlineStr">
        <is>
          <t>Varejao</t>
        </is>
      </c>
      <c r="F789" s="52" t="inlineStr">
        <is>
          <t>Bet</t>
        </is>
      </c>
      <c r="G789" s="40" t="inlineStr">
        <is>
          <t>Bet</t>
        </is>
      </c>
      <c r="H789" s="48" t="n">
        <v>6.8</v>
      </c>
      <c r="I789" s="48" t="n">
        <v>8</v>
      </c>
      <c r="J789" s="22" t="n">
        <v>0.0222</v>
      </c>
      <c r="K789" s="49" t="n">
        <v>1</v>
      </c>
      <c r="L789" s="21" t="n"/>
      <c r="M789" s="55" t="inlineStr">
        <is>
          <t>Pending</t>
        </is>
      </c>
      <c r="N789" s="23">
        <f>IF(M789="Win",IF(F789="Bet",(I789-1)*K789,K789),IF(M789="Loss",IF(F789="Bet",-K789,-(I789-1)*K789),IF(M789="Void",0,"")))</f>
        <v/>
      </c>
      <c r="O789" s="24">
        <f>IF(OR(M789="Win",M789="Loss"),IF(F789="Bet",K789,(I789-1)*K789),"")</f>
        <v/>
      </c>
    </row>
    <row r="790">
      <c r="A790" s="37" t="n">
        <v>46297</v>
      </c>
      <c r="B790" s="38" t="inlineStr">
        <is>
          <t>Rockhampton</t>
        </is>
      </c>
      <c r="C790" s="15" t="n">
        <v>1</v>
      </c>
      <c r="D790" s="15" t="n">
        <v>3</v>
      </c>
      <c r="E790" s="14" t="inlineStr">
        <is>
          <t>Red Scentsation</t>
        </is>
      </c>
      <c r="F790" s="39" t="inlineStr">
        <is>
          <t>Bet</t>
        </is>
      </c>
      <c r="G790" s="40" t="inlineStr">
        <is>
          <t>Bet</t>
        </is>
      </c>
      <c r="H790" s="41" t="n">
        <v>2.05</v>
      </c>
      <c r="I790" s="41" t="n">
        <v>2.15</v>
      </c>
      <c r="J790" s="16" t="n">
        <v>0.0232</v>
      </c>
      <c r="K790" s="42" t="n">
        <v>1</v>
      </c>
      <c r="L790" s="15" t="n"/>
      <c r="M790" s="54" t="inlineStr">
        <is>
          <t>Pending</t>
        </is>
      </c>
      <c r="N790" s="17">
        <f>IF(M790="Win",IF(F790="Bet",(I790-1)*K790,K790),IF(M790="Loss",IF(F790="Bet",-K790,-(I790-1)*K790),IF(M790="Void",0,"")))</f>
        <v/>
      </c>
      <c r="O790" s="18">
        <f>IF(OR(M790="Win",M790="Loss"),IF(F790="Bet",K790,(I790-1)*K790),"")</f>
        <v/>
      </c>
    </row>
    <row r="792" ht="24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57" t="inlineStr">
        <is>
          <t>Total</t>
        </is>
      </c>
      <c r="N792" s="58">
        <f>SUM(N6:N790)</f>
        <v/>
      </c>
      <c r="O792" s="59">
        <f>SUM(O6:O790)</f>
        <v/>
      </c>
    </row>
  </sheetData>
  <autoFilter ref="A5:O790"/>
  <conditionalFormatting sqref="N6:N790">
    <cfRule type="cellIs" priority="1" operator="greaterThan" dxfId="1">
      <formula>0.0001</formula>
    </cfRule>
    <cfRule type="cellIs" priority="2" operator="lessThan" dxfId="2">
      <formula>-0.0001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6FD6"/>
    <outlinePr summaryBelow="1" summaryRight="1"/>
    <pageSetUpPr/>
  </sheetPr>
  <dimension ref="A1:O28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9" customWidth="1" min="3" max="3"/>
    <col width="8" customWidth="1" min="4" max="4"/>
    <col width="24" customWidth="1" min="5" max="5"/>
    <col width="9" customWidth="1" min="6" max="6"/>
    <col width="16" customWidth="1" min="7" max="7"/>
    <col width="12" customWidth="1" min="8" max="8"/>
    <col width="12" customWidth="1" min="9" max="9"/>
    <col width="11" customWidth="1" min="10" max="10"/>
    <col width="13" customWidth="1" min="11" max="11"/>
    <col width="12" customWidth="1" min="12" max="12"/>
    <col width="12" customWidth="1" min="13" max="13"/>
    <col width="14" customWidth="1" min="14" max="14"/>
    <col width="14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2" t="inlineStr">
        <is>
          <t>Bets</t>
        </is>
      </c>
    </row>
    <row r="3" ht="3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3" t="inlineStr">
        <is>
          <t>Every bet, 11 Sep to 2 Oct 2026</t>
        </is>
      </c>
    </row>
    <row r="4" ht="22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24" customHeight="1">
      <c r="A5" s="13" t="inlineStr">
        <is>
          <t>Date</t>
        </is>
      </c>
      <c r="B5" s="26" t="inlineStr">
        <is>
          <t>Track</t>
        </is>
      </c>
      <c r="C5" s="13" t="inlineStr">
        <is>
          <t>Race</t>
        </is>
      </c>
      <c r="D5" s="13" t="inlineStr">
        <is>
          <t>No.</t>
        </is>
      </c>
      <c r="E5" s="26" t="inlineStr">
        <is>
          <t>Horse</t>
        </is>
      </c>
      <c r="F5" s="13" t="inlineStr">
        <is>
          <t>Call</t>
        </is>
      </c>
      <c r="G5" s="26" t="inlineStr">
        <is>
          <t>Tag</t>
        </is>
      </c>
      <c r="H5" s="13" t="inlineStr">
        <is>
          <t>Rated $</t>
        </is>
      </c>
      <c r="I5" s="13" t="inlineStr">
        <is>
          <t>Price $</t>
        </is>
      </c>
      <c r="J5" s="13" t="inlineStr">
        <is>
          <t>Edge</t>
        </is>
      </c>
      <c r="K5" s="13" t="inlineStr">
        <is>
          <t>Stake (u)</t>
        </is>
      </c>
      <c r="L5" s="13" t="inlineStr">
        <is>
          <t>Finish</t>
        </is>
      </c>
      <c r="M5" s="13" t="inlineStr">
        <is>
          <t>Result</t>
        </is>
      </c>
      <c r="N5" s="13" t="inlineStr">
        <is>
          <t>Profit (u)</t>
        </is>
      </c>
      <c r="O5" s="13" t="inlineStr">
        <is>
          <t>At risk (u)</t>
        </is>
      </c>
    </row>
    <row r="6">
      <c r="A6" s="37" t="n">
        <v>46276</v>
      </c>
      <c r="B6" s="38" t="inlineStr">
        <is>
          <t>Geelong</t>
        </is>
      </c>
      <c r="C6" s="15" t="n">
        <v>2</v>
      </c>
      <c r="D6" s="15" t="n">
        <v>5</v>
      </c>
      <c r="E6" s="14" t="inlineStr">
        <is>
          <t>Vespasian</t>
        </is>
      </c>
      <c r="F6" s="39" t="inlineStr">
        <is>
          <t>Bet</t>
        </is>
      </c>
      <c r="G6" s="40" t="inlineStr">
        <is>
          <t>Bet</t>
        </is>
      </c>
      <c r="H6" s="41" t="n">
        <v>6.3</v>
      </c>
      <c r="I6" s="41" t="n">
        <v>9.800000000000001</v>
      </c>
      <c r="J6" s="16" t="n">
        <v>0.0253</v>
      </c>
      <c r="K6" s="42" t="n">
        <v>1</v>
      </c>
      <c r="L6" s="15" t="n">
        <v>2</v>
      </c>
      <c r="M6" s="43" t="inlineStr">
        <is>
          <t>Loss</t>
        </is>
      </c>
      <c r="N6" s="17">
        <f>IF(M6="Win",IF(F6="Bet",(I6-1)*K6,K6),IF(M6="Loss",IF(F6="Bet",-K6,-(I6-1)*K6),IF(M6="Void",0,"")))</f>
        <v/>
      </c>
      <c r="O6" s="18">
        <f>IF(OR(M6="Win",M6="Loss"),IF(F6="Bet",K6,(I6-1)*K6),"")</f>
        <v/>
      </c>
    </row>
    <row r="7">
      <c r="A7" s="44" t="n">
        <v>46276</v>
      </c>
      <c r="B7" s="45" t="inlineStr">
        <is>
          <t>Bordertown</t>
        </is>
      </c>
      <c r="C7" s="21" t="n">
        <v>3</v>
      </c>
      <c r="D7" s="21" t="n">
        <v>6</v>
      </c>
      <c r="E7" s="20" t="inlineStr">
        <is>
          <t>Splash Of White</t>
        </is>
      </c>
      <c r="F7" s="52" t="inlineStr">
        <is>
          <t>Bet</t>
        </is>
      </c>
      <c r="G7" s="40" t="inlineStr">
        <is>
          <t>Bet</t>
        </is>
      </c>
      <c r="H7" s="48" t="n">
        <v>7.6</v>
      </c>
      <c r="I7" s="48" t="n">
        <v>9.5</v>
      </c>
      <c r="J7" s="22" t="n">
        <v>0.0258</v>
      </c>
      <c r="K7" s="49" t="n">
        <v>1</v>
      </c>
      <c r="L7" s="21" t="n">
        <v>6</v>
      </c>
      <c r="M7" s="46" t="inlineStr">
        <is>
          <t>Loss</t>
        </is>
      </c>
      <c r="N7" s="23">
        <f>IF(M7="Win",IF(F7="Bet",(I7-1)*K7,K7),IF(M7="Loss",IF(F7="Bet",-K7,-(I7-1)*K7),IF(M7="Void",0,"")))</f>
        <v/>
      </c>
      <c r="O7" s="24">
        <f>IF(OR(M7="Win",M7="Loss"),IF(F7="Bet",K7,(I7-1)*K7),"")</f>
        <v/>
      </c>
    </row>
    <row r="8">
      <c r="A8" s="37" t="n">
        <v>46276</v>
      </c>
      <c r="B8" s="38" t="inlineStr">
        <is>
          <t>Tuncurry</t>
        </is>
      </c>
      <c r="C8" s="15" t="n">
        <v>7</v>
      </c>
      <c r="D8" s="15" t="n">
        <v>1</v>
      </c>
      <c r="E8" s="14" t="inlineStr">
        <is>
          <t>It's A Knockout</t>
        </is>
      </c>
      <c r="F8" s="39" t="inlineStr">
        <is>
          <t>Bet</t>
        </is>
      </c>
      <c r="G8" s="40" t="inlineStr">
        <is>
          <t>Bet</t>
        </is>
      </c>
      <c r="H8" s="41" t="n">
        <v>6.5</v>
      </c>
      <c r="I8" s="41" t="n">
        <v>8.5</v>
      </c>
      <c r="J8" s="16" t="n">
        <v>0.0354</v>
      </c>
      <c r="K8" s="42" t="n">
        <v>1</v>
      </c>
      <c r="L8" s="15" t="n">
        <v>5</v>
      </c>
      <c r="M8" s="43" t="inlineStr">
        <is>
          <t>Loss</t>
        </is>
      </c>
      <c r="N8" s="17">
        <f>IF(M8="Win",IF(F8="Bet",(I8-1)*K8,K8),IF(M8="Loss",IF(F8="Bet",-K8,-(I8-1)*K8),IF(M8="Void",0,"")))</f>
        <v/>
      </c>
      <c r="O8" s="18">
        <f>IF(OR(M8="Win",M8="Loss"),IF(F8="Bet",K8,(I8-1)*K8),"")</f>
        <v/>
      </c>
    </row>
    <row r="9">
      <c r="A9" s="44" t="n">
        <v>46276</v>
      </c>
      <c r="B9" s="45" t="inlineStr">
        <is>
          <t>Sunshine Coast</t>
        </is>
      </c>
      <c r="C9" s="21" t="n">
        <v>1</v>
      </c>
      <c r="D9" s="21" t="n">
        <v>1</v>
      </c>
      <c r="E9" s="20" t="inlineStr">
        <is>
          <t>Sealord</t>
        </is>
      </c>
      <c r="F9" s="52" t="inlineStr">
        <is>
          <t>Bet</t>
        </is>
      </c>
      <c r="G9" s="53" t="inlineStr">
        <is>
          <t>Prime</t>
        </is>
      </c>
      <c r="H9" s="48" t="n">
        <v>3.3</v>
      </c>
      <c r="I9" s="48" t="n">
        <v>4.2</v>
      </c>
      <c r="J9" s="22" t="n">
        <v>0.0617</v>
      </c>
      <c r="K9" s="49" t="n">
        <v>1</v>
      </c>
      <c r="L9" s="21" t="n">
        <v>4</v>
      </c>
      <c r="M9" s="46" t="inlineStr">
        <is>
          <t>Loss</t>
        </is>
      </c>
      <c r="N9" s="23">
        <f>IF(M9="Win",IF(F9="Bet",(I9-1)*K9,K9),IF(M9="Loss",IF(F9="Bet",-K9,-(I9-1)*K9),IF(M9="Void",0,"")))</f>
        <v/>
      </c>
      <c r="O9" s="24">
        <f>IF(OR(M9="Win",M9="Loss"),IF(F9="Bet",K9,(I9-1)*K9),"")</f>
        <v/>
      </c>
    </row>
    <row r="10">
      <c r="A10" s="37" t="n">
        <v>46276</v>
      </c>
      <c r="B10" s="38" t="inlineStr">
        <is>
          <t>Sunshine Coast</t>
        </is>
      </c>
      <c r="C10" s="15" t="n">
        <v>8</v>
      </c>
      <c r="D10" s="15" t="n">
        <v>5</v>
      </c>
      <c r="E10" s="14" t="inlineStr">
        <is>
          <t>Brass Band</t>
        </is>
      </c>
      <c r="F10" s="39" t="inlineStr">
        <is>
          <t>Bet</t>
        </is>
      </c>
      <c r="G10" s="40" t="inlineStr">
        <is>
          <t>Bet</t>
        </is>
      </c>
      <c r="H10" s="41" t="n">
        <v>4.8</v>
      </c>
      <c r="I10" s="41" t="n">
        <v>6</v>
      </c>
      <c r="J10" s="16" t="n">
        <v>0.0432</v>
      </c>
      <c r="K10" s="42" t="n">
        <v>1</v>
      </c>
      <c r="L10" s="15" t="n">
        <v>3</v>
      </c>
      <c r="M10" s="43" t="inlineStr">
        <is>
          <t>Loss</t>
        </is>
      </c>
      <c r="N10" s="17">
        <f>IF(M10="Win",IF(F10="Bet",(I10-1)*K10,K10),IF(M10="Loss",IF(F10="Bet",-K10,-(I10-1)*K10),IF(M10="Void",0,"")))</f>
        <v/>
      </c>
      <c r="O10" s="18">
        <f>IF(OR(M10="Win",M10="Loss"),IF(F10="Bet",K10,(I10-1)*K10),"")</f>
        <v/>
      </c>
    </row>
    <row r="11">
      <c r="A11" s="44" t="n">
        <v>46277</v>
      </c>
      <c r="B11" s="45" t="inlineStr">
        <is>
          <t>Gold Coast</t>
        </is>
      </c>
      <c r="C11" s="21" t="n">
        <v>8</v>
      </c>
      <c r="D11" s="21" t="n">
        <v>5</v>
      </c>
      <c r="E11" s="20" t="inlineStr">
        <is>
          <t>Lumens Lenny</t>
        </is>
      </c>
      <c r="F11" s="52" t="inlineStr">
        <is>
          <t>Bet</t>
        </is>
      </c>
      <c r="G11" s="40" t="inlineStr">
        <is>
          <t>Bet</t>
        </is>
      </c>
      <c r="H11" s="48" t="n">
        <v>5</v>
      </c>
      <c r="I11" s="48" t="n">
        <v>6.2</v>
      </c>
      <c r="J11" s="22" t="n">
        <v>0.0338</v>
      </c>
      <c r="K11" s="49" t="n">
        <v>1</v>
      </c>
      <c r="L11" s="21" t="n">
        <v>1</v>
      </c>
      <c r="M11" s="50" t="inlineStr">
        <is>
          <t>Win</t>
        </is>
      </c>
      <c r="N11" s="23">
        <f>IF(M11="Win",IF(F11="Bet",(I11-1)*K11,K11),IF(M11="Loss",IF(F11="Bet",-K11,-(I11-1)*K11),IF(M11="Void",0,"")))</f>
        <v/>
      </c>
      <c r="O11" s="24">
        <f>IF(OR(M11="Win",M11="Loss"),IF(F11="Bet",K11,(I11-1)*K11),"")</f>
        <v/>
      </c>
    </row>
    <row r="12">
      <c r="A12" s="37" t="n">
        <v>46277</v>
      </c>
      <c r="B12" s="38" t="inlineStr">
        <is>
          <t>Flemington</t>
        </is>
      </c>
      <c r="C12" s="15" t="n">
        <v>3</v>
      </c>
      <c r="D12" s="15" t="n">
        <v>9</v>
      </c>
      <c r="E12" s="14" t="inlineStr">
        <is>
          <t>Lucky Brook</t>
        </is>
      </c>
      <c r="F12" s="39" t="inlineStr">
        <is>
          <t>Bet</t>
        </is>
      </c>
      <c r="G12" s="40" t="inlineStr">
        <is>
          <t>Bet</t>
        </is>
      </c>
      <c r="H12" s="41" t="n">
        <v>5.8</v>
      </c>
      <c r="I12" s="41" t="n">
        <v>7.5</v>
      </c>
      <c r="J12" s="16" t="n">
        <v>0.0382</v>
      </c>
      <c r="K12" s="42" t="n">
        <v>1</v>
      </c>
      <c r="L12" s="15" t="n">
        <v>8</v>
      </c>
      <c r="M12" s="43" t="inlineStr">
        <is>
          <t>Loss</t>
        </is>
      </c>
      <c r="N12" s="17">
        <f>IF(M12="Win",IF(F12="Bet",(I12-1)*K12,K12),IF(M12="Loss",IF(F12="Bet",-K12,-(I12-1)*K12),IF(M12="Void",0,"")))</f>
        <v/>
      </c>
      <c r="O12" s="18">
        <f>IF(OR(M12="Win",M12="Loss"),IF(F12="Bet",K12,(I12-1)*K12),"")</f>
        <v/>
      </c>
    </row>
    <row r="13">
      <c r="A13" s="44" t="n">
        <v>46277</v>
      </c>
      <c r="B13" s="45" t="inlineStr">
        <is>
          <t>Flemington</t>
        </is>
      </c>
      <c r="C13" s="21" t="n">
        <v>6</v>
      </c>
      <c r="D13" s="21" t="n">
        <v>1</v>
      </c>
      <c r="E13" s="20" t="inlineStr">
        <is>
          <t>Cafe Millenium</t>
        </is>
      </c>
      <c r="F13" s="52" t="inlineStr">
        <is>
          <t>Bet</t>
        </is>
      </c>
      <c r="G13" s="40" t="inlineStr">
        <is>
          <t>Bet</t>
        </is>
      </c>
      <c r="H13" s="48" t="n">
        <v>5.5</v>
      </c>
      <c r="I13" s="48" t="n">
        <v>8.199999999999999</v>
      </c>
      <c r="J13" s="22" t="n">
        <v>0.0489</v>
      </c>
      <c r="K13" s="49" t="n">
        <v>1</v>
      </c>
      <c r="L13" s="21" t="n">
        <v>3</v>
      </c>
      <c r="M13" s="46" t="inlineStr">
        <is>
          <t>Loss</t>
        </is>
      </c>
      <c r="N13" s="23">
        <f>IF(M13="Win",IF(F13="Bet",(I13-1)*K13,K13),IF(M13="Loss",IF(F13="Bet",-K13,-(I13-1)*K13),IF(M13="Void",0,"")))</f>
        <v/>
      </c>
      <c r="O13" s="24">
        <f>IF(OR(M13="Win",M13="Loss"),IF(F13="Bet",K13,(I13-1)*K13),"")</f>
        <v/>
      </c>
    </row>
    <row r="14">
      <c r="A14" s="37" t="n">
        <v>46277</v>
      </c>
      <c r="B14" s="38" t="inlineStr">
        <is>
          <t>Rosehill</t>
        </is>
      </c>
      <c r="C14" s="15" t="n">
        <v>2</v>
      </c>
      <c r="D14" s="15" t="n">
        <v>7</v>
      </c>
      <c r="E14" s="14" t="inlineStr">
        <is>
          <t>Formal</t>
        </is>
      </c>
      <c r="F14" s="39" t="inlineStr">
        <is>
          <t>Bet</t>
        </is>
      </c>
      <c r="G14" s="40" t="inlineStr">
        <is>
          <t>Bet</t>
        </is>
      </c>
      <c r="H14" s="41" t="n">
        <v>6.3</v>
      </c>
      <c r="I14" s="41" t="n">
        <v>9.68</v>
      </c>
      <c r="J14" s="16" t="n">
        <v>0.0348</v>
      </c>
      <c r="K14" s="42" t="n">
        <v>1</v>
      </c>
      <c r="L14" s="15" t="n">
        <v>1</v>
      </c>
      <c r="M14" s="51" t="inlineStr">
        <is>
          <t>Win</t>
        </is>
      </c>
      <c r="N14" s="17">
        <f>IF(M14="Win",IF(F14="Bet",(I14-1)*K14,K14),IF(M14="Loss",IF(F14="Bet",-K14,-(I14-1)*K14),IF(M14="Void",0,"")))</f>
        <v/>
      </c>
      <c r="O14" s="18">
        <f>IF(OR(M14="Win",M14="Loss"),IF(F14="Bet",K14,(I14-1)*K14),"")</f>
        <v/>
      </c>
    </row>
    <row r="15">
      <c r="A15" s="44" t="n">
        <v>46277</v>
      </c>
      <c r="B15" s="45" t="inlineStr">
        <is>
          <t>Rosehill</t>
        </is>
      </c>
      <c r="C15" s="21" t="n">
        <v>3</v>
      </c>
      <c r="D15" s="21" t="n">
        <v>4</v>
      </c>
      <c r="E15" s="20" t="inlineStr">
        <is>
          <t>Golden Century</t>
        </is>
      </c>
      <c r="F15" s="52" t="inlineStr">
        <is>
          <t>Bet</t>
        </is>
      </c>
      <c r="G15" s="53" t="inlineStr">
        <is>
          <t>Prime</t>
        </is>
      </c>
      <c r="H15" s="48" t="n">
        <v>3.3</v>
      </c>
      <c r="I15" s="48" t="n">
        <v>5.13</v>
      </c>
      <c r="J15" s="22" t="n">
        <v>0.0958</v>
      </c>
      <c r="K15" s="49" t="n">
        <v>1</v>
      </c>
      <c r="L15" s="21" t="n">
        <v>4</v>
      </c>
      <c r="M15" s="46" t="inlineStr">
        <is>
          <t>Loss</t>
        </is>
      </c>
      <c r="N15" s="23">
        <f>IF(M15="Win",IF(F15="Bet",(I15-1)*K15,K15),IF(M15="Loss",IF(F15="Bet",-K15,-(I15-1)*K15),IF(M15="Void",0,"")))</f>
        <v/>
      </c>
      <c r="O15" s="24">
        <f>IF(OR(M15="Win",M15="Loss"),IF(F15="Bet",K15,(I15-1)*K15),"")</f>
        <v/>
      </c>
    </row>
    <row r="16">
      <c r="A16" s="37" t="n">
        <v>46277</v>
      </c>
      <c r="B16" s="38" t="inlineStr">
        <is>
          <t>Rosehill</t>
        </is>
      </c>
      <c r="C16" s="15" t="n">
        <v>7</v>
      </c>
      <c r="D16" s="15" t="n">
        <v>2</v>
      </c>
      <c r="E16" s="14" t="inlineStr">
        <is>
          <t>Lazzura</t>
        </is>
      </c>
      <c r="F16" s="39" t="inlineStr">
        <is>
          <t>Bet</t>
        </is>
      </c>
      <c r="G16" s="53" t="inlineStr">
        <is>
          <t>Prime</t>
        </is>
      </c>
      <c r="H16" s="41" t="n">
        <v>2.55</v>
      </c>
      <c r="I16" s="41" t="n">
        <v>3.25</v>
      </c>
      <c r="J16" s="16" t="n">
        <v>0.0597</v>
      </c>
      <c r="K16" s="42" t="n">
        <v>1</v>
      </c>
      <c r="L16" s="15" t="n">
        <v>3</v>
      </c>
      <c r="M16" s="43" t="inlineStr">
        <is>
          <t>Loss</t>
        </is>
      </c>
      <c r="N16" s="17">
        <f>IF(M16="Win",IF(F16="Bet",(I16-1)*K16,K16),IF(M16="Loss",IF(F16="Bet",-K16,-(I16-1)*K16),IF(M16="Void",0,"")))</f>
        <v/>
      </c>
      <c r="O16" s="18">
        <f>IF(OR(M16="Win",M16="Loss"),IF(F16="Bet",K16,(I16-1)*K16),"")</f>
        <v/>
      </c>
    </row>
    <row r="17">
      <c r="A17" s="44" t="n">
        <v>46277</v>
      </c>
      <c r="B17" s="45" t="inlineStr">
        <is>
          <t>Doomben</t>
        </is>
      </c>
      <c r="C17" s="21" t="n">
        <v>3</v>
      </c>
      <c r="D17" s="21" t="n">
        <v>4</v>
      </c>
      <c r="E17" s="20" t="inlineStr">
        <is>
          <t>Perfect Play</t>
        </is>
      </c>
      <c r="F17" s="52" t="inlineStr">
        <is>
          <t>Bet</t>
        </is>
      </c>
      <c r="G17" s="40" t="inlineStr">
        <is>
          <t>Bet</t>
        </is>
      </c>
      <c r="H17" s="48" t="n">
        <v>4.7</v>
      </c>
      <c r="I17" s="48" t="n">
        <v>5.72</v>
      </c>
      <c r="J17" s="22" t="n">
        <v>0.0319</v>
      </c>
      <c r="K17" s="49" t="n">
        <v>1</v>
      </c>
      <c r="L17" s="21" t="n">
        <v>4</v>
      </c>
      <c r="M17" s="46" t="inlineStr">
        <is>
          <t>Loss</t>
        </is>
      </c>
      <c r="N17" s="23">
        <f>IF(M17="Win",IF(F17="Bet",(I17-1)*K17,K17),IF(M17="Loss",IF(F17="Bet",-K17,-(I17-1)*K17),IF(M17="Void",0,"")))</f>
        <v/>
      </c>
      <c r="O17" s="24">
        <f>IF(OR(M17="Win",M17="Loss"),IF(F17="Bet",K17,(I17-1)*K17),"")</f>
        <v/>
      </c>
    </row>
    <row r="18">
      <c r="A18" s="37" t="n">
        <v>46277</v>
      </c>
      <c r="B18" s="38" t="inlineStr">
        <is>
          <t>Doomben</t>
        </is>
      </c>
      <c r="C18" s="15" t="n">
        <v>5</v>
      </c>
      <c r="D18" s="15" t="n">
        <v>1</v>
      </c>
      <c r="E18" s="14" t="inlineStr">
        <is>
          <t>Mean Approach</t>
        </is>
      </c>
      <c r="F18" s="39" t="inlineStr">
        <is>
          <t>Bet</t>
        </is>
      </c>
      <c r="G18" s="40" t="inlineStr">
        <is>
          <t>Bet</t>
        </is>
      </c>
      <c r="H18" s="41" t="n">
        <v>5.4</v>
      </c>
      <c r="I18" s="41" t="n">
        <v>7.53</v>
      </c>
      <c r="J18" s="16" t="n">
        <v>0.0306</v>
      </c>
      <c r="K18" s="42" t="n">
        <v>1</v>
      </c>
      <c r="L18" s="15" t="n">
        <v>2</v>
      </c>
      <c r="M18" s="43" t="inlineStr">
        <is>
          <t>Loss</t>
        </is>
      </c>
      <c r="N18" s="17">
        <f>IF(M18="Win",IF(F18="Bet",(I18-1)*K18,K18),IF(M18="Loss",IF(F18="Bet",-K18,-(I18-1)*K18),IF(M18="Void",0,"")))</f>
        <v/>
      </c>
      <c r="O18" s="18">
        <f>IF(OR(M18="Win",M18="Loss"),IF(F18="Bet",K18,(I18-1)*K18),"")</f>
        <v/>
      </c>
    </row>
    <row r="19">
      <c r="A19" s="44" t="n">
        <v>46277</v>
      </c>
      <c r="B19" s="45" t="inlineStr">
        <is>
          <t>Doomben</t>
        </is>
      </c>
      <c r="C19" s="21" t="n">
        <v>10</v>
      </c>
      <c r="D19" s="21" t="n">
        <v>3</v>
      </c>
      <c r="E19" s="20" t="inlineStr">
        <is>
          <t>Cherry Rose</t>
        </is>
      </c>
      <c r="F19" s="52" t="inlineStr">
        <is>
          <t>Bet</t>
        </is>
      </c>
      <c r="G19" s="40" t="inlineStr">
        <is>
          <t>Bet</t>
        </is>
      </c>
      <c r="H19" s="48" t="n">
        <v>5.9</v>
      </c>
      <c r="I19" s="48" t="n">
        <v>7.5</v>
      </c>
      <c r="J19" s="22" t="n">
        <v>0.037</v>
      </c>
      <c r="K19" s="49" t="n">
        <v>1</v>
      </c>
      <c r="L19" s="21" t="n">
        <v>9</v>
      </c>
      <c r="M19" s="46" t="inlineStr">
        <is>
          <t>Loss</t>
        </is>
      </c>
      <c r="N19" s="23">
        <f>IF(M19="Win",IF(F19="Bet",(I19-1)*K19,K19),IF(M19="Loss",IF(F19="Bet",-K19,-(I19-1)*K19),IF(M19="Void",0,"")))</f>
        <v/>
      </c>
      <c r="O19" s="24">
        <f>IF(OR(M19="Win",M19="Loss"),IF(F19="Bet",K19,(I19-1)*K19),"")</f>
        <v/>
      </c>
    </row>
    <row r="20">
      <c r="A20" s="37" t="n">
        <v>46277</v>
      </c>
      <c r="B20" s="38" t="inlineStr">
        <is>
          <t>Morphettville</t>
        </is>
      </c>
      <c r="C20" s="15" t="n">
        <v>7</v>
      </c>
      <c r="D20" s="15" t="n">
        <v>3</v>
      </c>
      <c r="E20" s="14" t="inlineStr">
        <is>
          <t>Watchme Win</t>
        </is>
      </c>
      <c r="F20" s="39" t="inlineStr">
        <is>
          <t>Bet</t>
        </is>
      </c>
      <c r="G20" s="40" t="inlineStr">
        <is>
          <t>Bet</t>
        </is>
      </c>
      <c r="H20" s="41" t="n">
        <v>3.8</v>
      </c>
      <c r="I20" s="41" t="n">
        <v>4.2</v>
      </c>
      <c r="J20" s="16" t="n">
        <v>0.025</v>
      </c>
      <c r="K20" s="42" t="n">
        <v>1</v>
      </c>
      <c r="L20" s="15" t="n">
        <v>4</v>
      </c>
      <c r="M20" s="43" t="inlineStr">
        <is>
          <t>Loss</t>
        </is>
      </c>
      <c r="N20" s="17">
        <f>IF(M20="Win",IF(F20="Bet",(I20-1)*K20,K20),IF(M20="Loss",IF(F20="Bet",-K20,-(I20-1)*K20),IF(M20="Void",0,"")))</f>
        <v/>
      </c>
      <c r="O20" s="18">
        <f>IF(OR(M20="Win",M20="Loss"),IF(F20="Bet",K20,(I20-1)*K20),"")</f>
        <v/>
      </c>
    </row>
    <row r="21">
      <c r="A21" s="44" t="n">
        <v>46277</v>
      </c>
      <c r="B21" s="45" t="inlineStr">
        <is>
          <t>Mackay</t>
        </is>
      </c>
      <c r="C21" s="21" t="n">
        <v>5</v>
      </c>
      <c r="D21" s="21" t="n">
        <v>2</v>
      </c>
      <c r="E21" s="20" t="inlineStr">
        <is>
          <t>Batemans Bay</t>
        </is>
      </c>
      <c r="F21" s="52" t="inlineStr">
        <is>
          <t>Bet</t>
        </is>
      </c>
      <c r="G21" s="40" t="inlineStr">
        <is>
          <t>Bet</t>
        </is>
      </c>
      <c r="H21" s="48" t="n">
        <v>3.8</v>
      </c>
      <c r="I21" s="48" t="n">
        <v>5.4</v>
      </c>
      <c r="J21" s="22" t="n">
        <v>0.0332</v>
      </c>
      <c r="K21" s="49" t="n">
        <v>1</v>
      </c>
      <c r="L21" s="21" t="n">
        <v>3</v>
      </c>
      <c r="M21" s="46" t="inlineStr">
        <is>
          <t>Loss</t>
        </is>
      </c>
      <c r="N21" s="23">
        <f>IF(M21="Win",IF(F21="Bet",(I21-1)*K21,K21),IF(M21="Loss",IF(F21="Bet",-K21,-(I21-1)*K21),IF(M21="Void",0,"")))</f>
        <v/>
      </c>
      <c r="O21" s="24">
        <f>IF(OR(M21="Win",M21="Loss"),IF(F21="Bet",K21,(I21-1)*K21),"")</f>
        <v/>
      </c>
    </row>
    <row r="22">
      <c r="A22" s="37" t="n">
        <v>46277</v>
      </c>
      <c r="B22" s="38" t="inlineStr">
        <is>
          <t>Griffith</t>
        </is>
      </c>
      <c r="C22" s="15" t="n">
        <v>5</v>
      </c>
      <c r="D22" s="15" t="n">
        <v>4</v>
      </c>
      <c r="E22" s="14" t="inlineStr">
        <is>
          <t>Copperfield</t>
        </is>
      </c>
      <c r="F22" s="39" t="inlineStr">
        <is>
          <t>Bet</t>
        </is>
      </c>
      <c r="G22" s="40" t="inlineStr">
        <is>
          <t>Bet</t>
        </is>
      </c>
      <c r="H22" s="41" t="n">
        <v>6.1</v>
      </c>
      <c r="I22" s="41" t="n">
        <v>9.91</v>
      </c>
      <c r="J22" s="16" t="n">
        <v>0.0388</v>
      </c>
      <c r="K22" s="42" t="n">
        <v>1</v>
      </c>
      <c r="L22" s="15" t="n">
        <v>4</v>
      </c>
      <c r="M22" s="43" t="inlineStr">
        <is>
          <t>Loss</t>
        </is>
      </c>
      <c r="N22" s="17">
        <f>IF(M22="Win",IF(F22="Bet",(I22-1)*K22,K22),IF(M22="Loss",IF(F22="Bet",-K22,-(I22-1)*K22),IF(M22="Void",0,"")))</f>
        <v/>
      </c>
      <c r="O22" s="18">
        <f>IF(OR(M22="Win",M22="Loss"),IF(F22="Bet",K22,(I22-1)*K22),"")</f>
        <v/>
      </c>
    </row>
    <row r="23">
      <c r="A23" s="44" t="n">
        <v>46277</v>
      </c>
      <c r="B23" s="45" t="inlineStr">
        <is>
          <t>Thangool</t>
        </is>
      </c>
      <c r="C23" s="21" t="n">
        <v>2</v>
      </c>
      <c r="D23" s="21" t="n">
        <v>1</v>
      </c>
      <c r="E23" s="20" t="inlineStr">
        <is>
          <t>Lunar Eight</t>
        </is>
      </c>
      <c r="F23" s="52" t="inlineStr">
        <is>
          <t>Bet</t>
        </is>
      </c>
      <c r="G23" s="40" t="inlineStr">
        <is>
          <t>Bet</t>
        </is>
      </c>
      <c r="H23" s="48" t="n">
        <v>2.85</v>
      </c>
      <c r="I23" s="48" t="n">
        <v>3.6</v>
      </c>
      <c r="J23" s="22" t="n">
        <v>0.0414</v>
      </c>
      <c r="K23" s="49" t="n">
        <v>1</v>
      </c>
      <c r="L23" s="21" t="n">
        <v>3</v>
      </c>
      <c r="M23" s="46" t="inlineStr">
        <is>
          <t>Loss</t>
        </is>
      </c>
      <c r="N23" s="23">
        <f>IF(M23="Win",IF(F23="Bet",(I23-1)*K23,K23),IF(M23="Loss",IF(F23="Bet",-K23,-(I23-1)*K23),IF(M23="Void",0,"")))</f>
        <v/>
      </c>
      <c r="O23" s="24">
        <f>IF(OR(M23="Win",M23="Loss"),IF(F23="Bet",K23,(I23-1)*K23),"")</f>
        <v/>
      </c>
    </row>
    <row r="24">
      <c r="A24" s="37" t="n">
        <v>46277</v>
      </c>
      <c r="B24" s="38" t="inlineStr">
        <is>
          <t>Thangool</t>
        </is>
      </c>
      <c r="C24" s="15" t="n">
        <v>4</v>
      </c>
      <c r="D24" s="15" t="n">
        <v>2</v>
      </c>
      <c r="E24" s="14" t="inlineStr">
        <is>
          <t>Good Lieutenant</t>
        </is>
      </c>
      <c r="F24" s="39" t="inlineStr">
        <is>
          <t>Bet</t>
        </is>
      </c>
      <c r="G24" s="40" t="inlineStr">
        <is>
          <t>Bet</t>
        </is>
      </c>
      <c r="H24" s="41" t="n">
        <v>5.5</v>
      </c>
      <c r="I24" s="41" t="n">
        <v>7</v>
      </c>
      <c r="J24" s="16" t="n">
        <v>0.0378</v>
      </c>
      <c r="K24" s="42" t="n">
        <v>1</v>
      </c>
      <c r="L24" s="15" t="n">
        <v>7</v>
      </c>
      <c r="M24" s="43" t="inlineStr">
        <is>
          <t>Loss</t>
        </is>
      </c>
      <c r="N24" s="17">
        <f>IF(M24="Win",IF(F24="Bet",(I24-1)*K24,K24),IF(M24="Loss",IF(F24="Bet",-K24,-(I24-1)*K24),IF(M24="Void",0,"")))</f>
        <v/>
      </c>
      <c r="O24" s="18">
        <f>IF(OR(M24="Win",M24="Loss"),IF(F24="Bet",K24,(I24-1)*K24),"")</f>
        <v/>
      </c>
    </row>
    <row r="25">
      <c r="A25" s="44" t="n">
        <v>46277</v>
      </c>
      <c r="B25" s="45" t="inlineStr">
        <is>
          <t>Belmont</t>
        </is>
      </c>
      <c r="C25" s="21" t="n">
        <v>7</v>
      </c>
      <c r="D25" s="21" t="n">
        <v>1</v>
      </c>
      <c r="E25" s="20" t="inlineStr">
        <is>
          <t>Snowdome</t>
        </is>
      </c>
      <c r="F25" s="52" t="inlineStr">
        <is>
          <t>Bet</t>
        </is>
      </c>
      <c r="G25" s="53" t="inlineStr">
        <is>
          <t>Prime</t>
        </is>
      </c>
      <c r="H25" s="48" t="n">
        <v>3.5</v>
      </c>
      <c r="I25" s="48" t="n">
        <v>4.5</v>
      </c>
      <c r="J25" s="22" t="n">
        <v>0.0617</v>
      </c>
      <c r="K25" s="49" t="n">
        <v>1</v>
      </c>
      <c r="L25" s="21" t="n">
        <v>9</v>
      </c>
      <c r="M25" s="46" t="inlineStr">
        <is>
          <t>Loss</t>
        </is>
      </c>
      <c r="N25" s="23">
        <f>IF(M25="Win",IF(F25="Bet",(I25-1)*K25,K25),IF(M25="Loss",IF(F25="Bet",-K25,-(I25-1)*K25),IF(M25="Void",0,"")))</f>
        <v/>
      </c>
      <c r="O25" s="24">
        <f>IF(OR(M25="Win",M25="Loss"),IF(F25="Bet",K25,(I25-1)*K25),"")</f>
        <v/>
      </c>
    </row>
    <row r="26">
      <c r="A26" s="37" t="n">
        <v>46277</v>
      </c>
      <c r="B26" s="38" t="inlineStr">
        <is>
          <t>Belmont</t>
        </is>
      </c>
      <c r="C26" s="15" t="n">
        <v>8</v>
      </c>
      <c r="D26" s="15" t="n">
        <v>4</v>
      </c>
      <c r="E26" s="14" t="inlineStr">
        <is>
          <t>Swingman</t>
        </is>
      </c>
      <c r="F26" s="39" t="inlineStr">
        <is>
          <t>Bet</t>
        </is>
      </c>
      <c r="G26" s="40" t="inlineStr">
        <is>
          <t>Bet</t>
        </is>
      </c>
      <c r="H26" s="41" t="n">
        <v>4.5</v>
      </c>
      <c r="I26" s="41" t="n">
        <v>5.5</v>
      </c>
      <c r="J26" s="16" t="n">
        <v>0.04</v>
      </c>
      <c r="K26" s="42" t="n">
        <v>1</v>
      </c>
      <c r="L26" s="15" t="n">
        <v>12</v>
      </c>
      <c r="M26" s="43" t="inlineStr">
        <is>
          <t>Loss</t>
        </is>
      </c>
      <c r="N26" s="17">
        <f>IF(M26="Win",IF(F26="Bet",(I26-1)*K26,K26),IF(M26="Loss",IF(F26="Bet",-K26,-(I26-1)*K26),IF(M26="Void",0,"")))</f>
        <v/>
      </c>
      <c r="O26" s="18">
        <f>IF(OR(M26="Win",M26="Loss"),IF(F26="Bet",K26,(I26-1)*K26),"")</f>
        <v/>
      </c>
    </row>
    <row r="27">
      <c r="A27" s="44" t="n">
        <v>46277</v>
      </c>
      <c r="B27" s="45" t="inlineStr">
        <is>
          <t>Alice Springs</t>
        </is>
      </c>
      <c r="C27" s="21" t="n">
        <v>3</v>
      </c>
      <c r="D27" s="21" t="n">
        <v>2</v>
      </c>
      <c r="E27" s="20" t="inlineStr">
        <is>
          <t>Luskin Hero</t>
        </is>
      </c>
      <c r="F27" s="52" t="inlineStr">
        <is>
          <t>Bet</t>
        </is>
      </c>
      <c r="G27" s="53" t="inlineStr">
        <is>
          <t>Prime</t>
        </is>
      </c>
      <c r="H27" s="48" t="n">
        <v>4.9</v>
      </c>
      <c r="I27" s="48" t="n">
        <v>8.039999999999999</v>
      </c>
      <c r="J27" s="22" t="n">
        <v>0.0625</v>
      </c>
      <c r="K27" s="49" t="n">
        <v>1</v>
      </c>
      <c r="L27" s="21" t="n">
        <v>4</v>
      </c>
      <c r="M27" s="46" t="inlineStr">
        <is>
          <t>Loss</t>
        </is>
      </c>
      <c r="N27" s="23">
        <f>IF(M27="Win",IF(F27="Bet",(I27-1)*K27,K27),IF(M27="Loss",IF(F27="Bet",-K27,-(I27-1)*K27),IF(M27="Void",0,"")))</f>
        <v/>
      </c>
      <c r="O27" s="24">
        <f>IF(OR(M27="Win",M27="Loss"),IF(F27="Bet",K27,(I27-1)*K27),"")</f>
        <v/>
      </c>
    </row>
    <row r="28">
      <c r="A28" s="37" t="n">
        <v>46277</v>
      </c>
      <c r="B28" s="38" t="inlineStr">
        <is>
          <t>Alice Springs</t>
        </is>
      </c>
      <c r="C28" s="15" t="n">
        <v>5</v>
      </c>
      <c r="D28" s="15" t="n">
        <v>1</v>
      </c>
      <c r="E28" s="14" t="inlineStr">
        <is>
          <t>Laws Wars</t>
        </is>
      </c>
      <c r="F28" s="39" t="inlineStr">
        <is>
          <t>Bet</t>
        </is>
      </c>
      <c r="G28" s="40" t="inlineStr">
        <is>
          <t>Bet</t>
        </is>
      </c>
      <c r="H28" s="41" t="n">
        <v>3.7</v>
      </c>
      <c r="I28" s="41" t="n">
        <v>5.19</v>
      </c>
      <c r="J28" s="16" t="n">
        <v>0.0331</v>
      </c>
      <c r="K28" s="42" t="n">
        <v>1</v>
      </c>
      <c r="L28" s="15" t="n">
        <v>2</v>
      </c>
      <c r="M28" s="43" t="inlineStr">
        <is>
          <t>Loss</t>
        </is>
      </c>
      <c r="N28" s="17">
        <f>IF(M28="Win",IF(F28="Bet",(I28-1)*K28,K28),IF(M28="Loss",IF(F28="Bet",-K28,-(I28-1)*K28),IF(M28="Void",0,"")))</f>
        <v/>
      </c>
      <c r="O28" s="18">
        <f>IF(OR(M28="Win",M28="Loss"),IF(F28="Bet",K28,(I28-1)*K28),"")</f>
        <v/>
      </c>
    </row>
    <row r="29">
      <c r="A29" s="44" t="n">
        <v>46277</v>
      </c>
      <c r="B29" s="45" t="inlineStr">
        <is>
          <t>Carnarvon</t>
        </is>
      </c>
      <c r="C29" s="21" t="n">
        <v>1</v>
      </c>
      <c r="D29" s="21" t="n">
        <v>1</v>
      </c>
      <c r="E29" s="20" t="inlineStr">
        <is>
          <t>Another Nephew</t>
        </is>
      </c>
      <c r="F29" s="52" t="inlineStr">
        <is>
          <t>Bet</t>
        </is>
      </c>
      <c r="G29" s="40" t="inlineStr">
        <is>
          <t>Bet</t>
        </is>
      </c>
      <c r="H29" s="48" t="n">
        <v>3.3</v>
      </c>
      <c r="I29" s="48" t="n">
        <v>4.06</v>
      </c>
      <c r="J29" s="22" t="n">
        <v>0.039</v>
      </c>
      <c r="K29" s="49" t="n">
        <v>1</v>
      </c>
      <c r="L29" s="21" t="n">
        <v>1</v>
      </c>
      <c r="M29" s="50" t="inlineStr">
        <is>
          <t>Win</t>
        </is>
      </c>
      <c r="N29" s="23">
        <f>IF(M29="Win",IF(F29="Bet",(I29-1)*K29,K29),IF(M29="Loss",IF(F29="Bet",-K29,-(I29-1)*K29),IF(M29="Void",0,"")))</f>
        <v/>
      </c>
      <c r="O29" s="24">
        <f>IF(OR(M29="Win",M29="Loss"),IF(F29="Bet",K29,(I29-1)*K29),"")</f>
        <v/>
      </c>
    </row>
    <row r="30">
      <c r="A30" s="37" t="n">
        <v>46277</v>
      </c>
      <c r="B30" s="38" t="inlineStr">
        <is>
          <t>Toowoomba</t>
        </is>
      </c>
      <c r="C30" s="15" t="n">
        <v>6</v>
      </c>
      <c r="D30" s="15" t="n">
        <v>8</v>
      </c>
      <c r="E30" s="14" t="inlineStr">
        <is>
          <t>Shrimpton</t>
        </is>
      </c>
      <c r="F30" s="39" t="inlineStr">
        <is>
          <t>Bet</t>
        </is>
      </c>
      <c r="G30" s="40" t="inlineStr">
        <is>
          <t>Bet</t>
        </is>
      </c>
      <c r="H30" s="41" t="n">
        <v>4.4</v>
      </c>
      <c r="I30" s="41" t="n">
        <v>5.4</v>
      </c>
      <c r="J30" s="16" t="n">
        <v>0.0291</v>
      </c>
      <c r="K30" s="42" t="n">
        <v>1</v>
      </c>
      <c r="L30" s="15" t="n">
        <v>1</v>
      </c>
      <c r="M30" s="51" t="inlineStr">
        <is>
          <t>Win</t>
        </is>
      </c>
      <c r="N30" s="17">
        <f>IF(M30="Win",IF(F30="Bet",(I30-1)*K30,K30),IF(M30="Loss",IF(F30="Bet",-K30,-(I30-1)*K30),IF(M30="Void",0,"")))</f>
        <v/>
      </c>
      <c r="O30" s="18">
        <f>IF(OR(M30="Win",M30="Loss"),IF(F30="Bet",K30,(I30-1)*K30),"")</f>
        <v/>
      </c>
    </row>
    <row r="31">
      <c r="A31" s="44" t="n">
        <v>46277</v>
      </c>
      <c r="B31" s="45" t="inlineStr">
        <is>
          <t>Flemington</t>
        </is>
      </c>
      <c r="C31" s="21" t="n">
        <v>2</v>
      </c>
      <c r="D31" s="21" t="n">
        <v>5</v>
      </c>
      <c r="E31" s="20" t="inlineStr">
        <is>
          <t>Lara Antipova</t>
        </is>
      </c>
      <c r="F31" s="52" t="inlineStr">
        <is>
          <t>Bet</t>
        </is>
      </c>
      <c r="G31" s="53" t="inlineStr">
        <is>
          <t>Prime</t>
        </is>
      </c>
      <c r="H31" s="48" t="n">
        <v>6.4</v>
      </c>
      <c r="I31" s="48" t="n">
        <v>9.92</v>
      </c>
      <c r="J31" s="22" t="n">
        <v>0.0501</v>
      </c>
      <c r="K31" s="49" t="n">
        <v>1</v>
      </c>
      <c r="L31" s="21" t="n">
        <v>1</v>
      </c>
      <c r="M31" s="50" t="inlineStr">
        <is>
          <t>Win</t>
        </is>
      </c>
      <c r="N31" s="23">
        <f>IF(M31="Win",IF(F31="Bet",(I31-1)*K31,K31),IF(M31="Loss",IF(F31="Bet",-K31,-(I31-1)*K31),IF(M31="Void",0,"")))</f>
        <v/>
      </c>
      <c r="O31" s="24">
        <f>IF(OR(M31="Win",M31="Loss"),IF(F31="Bet",K31,(I31-1)*K31),"")</f>
        <v/>
      </c>
    </row>
    <row r="32">
      <c r="A32" s="37" t="n">
        <v>46277</v>
      </c>
      <c r="B32" s="38" t="inlineStr">
        <is>
          <t>Mackay</t>
        </is>
      </c>
      <c r="C32" s="15" t="n">
        <v>2</v>
      </c>
      <c r="D32" s="15" t="n">
        <v>4</v>
      </c>
      <c r="E32" s="14" t="inlineStr">
        <is>
          <t>Elegant Venus</t>
        </is>
      </c>
      <c r="F32" s="39" t="inlineStr">
        <is>
          <t>Bet</t>
        </is>
      </c>
      <c r="G32" s="40" t="inlineStr">
        <is>
          <t>Bet</t>
        </is>
      </c>
      <c r="H32" s="41" t="n">
        <v>3</v>
      </c>
      <c r="I32" s="41" t="n">
        <v>3.46</v>
      </c>
      <c r="J32" s="16" t="n">
        <v>0.0257</v>
      </c>
      <c r="K32" s="42" t="n">
        <v>1</v>
      </c>
      <c r="L32" s="15" t="n">
        <v>1</v>
      </c>
      <c r="M32" s="51" t="inlineStr">
        <is>
          <t>Win</t>
        </is>
      </c>
      <c r="N32" s="17">
        <f>IF(M32="Win",IF(F32="Bet",(I32-1)*K32,K32),IF(M32="Loss",IF(F32="Bet",-K32,-(I32-1)*K32),IF(M32="Void",0,"")))</f>
        <v/>
      </c>
      <c r="O32" s="18">
        <f>IF(OR(M32="Win",M32="Loss"),IF(F32="Bet",K32,(I32-1)*K32),"")</f>
        <v/>
      </c>
    </row>
    <row r="33">
      <c r="A33" s="44" t="n">
        <v>46277</v>
      </c>
      <c r="B33" s="45" t="inlineStr">
        <is>
          <t>Alice Springs</t>
        </is>
      </c>
      <c r="C33" s="21" t="n">
        <v>2</v>
      </c>
      <c r="D33" s="21" t="n">
        <v>2</v>
      </c>
      <c r="E33" s="20" t="inlineStr">
        <is>
          <t>Grinzinger Lass</t>
        </is>
      </c>
      <c r="F33" s="52" t="inlineStr">
        <is>
          <t>Bet</t>
        </is>
      </c>
      <c r="G33" s="40" t="inlineStr">
        <is>
          <t>Bet</t>
        </is>
      </c>
      <c r="H33" s="48" t="n">
        <v>4.2</v>
      </c>
      <c r="I33" s="48" t="n">
        <v>5.22</v>
      </c>
      <c r="J33" s="22" t="n">
        <v>0.0321</v>
      </c>
      <c r="K33" s="49" t="n">
        <v>1</v>
      </c>
      <c r="L33" s="21" t="n">
        <v>4</v>
      </c>
      <c r="M33" s="46" t="inlineStr">
        <is>
          <t>Loss</t>
        </is>
      </c>
      <c r="N33" s="23">
        <f>IF(M33="Win",IF(F33="Bet",(I33-1)*K33,K33),IF(M33="Loss",IF(F33="Bet",-K33,-(I33-1)*K33),IF(M33="Void",0,"")))</f>
        <v/>
      </c>
      <c r="O33" s="24">
        <f>IF(OR(M33="Win",M33="Loss"),IF(F33="Bet",K33,(I33-1)*K33),"")</f>
        <v/>
      </c>
    </row>
    <row r="34">
      <c r="A34" s="37" t="n">
        <v>46278</v>
      </c>
      <c r="B34" s="38" t="inlineStr">
        <is>
          <t>Sale</t>
        </is>
      </c>
      <c r="C34" s="15" t="n">
        <v>6</v>
      </c>
      <c r="D34" s="15" t="n">
        <v>4</v>
      </c>
      <c r="E34" s="14" t="inlineStr">
        <is>
          <t>Exfortythree</t>
        </is>
      </c>
      <c r="F34" s="39" t="inlineStr">
        <is>
          <t>Bet</t>
        </is>
      </c>
      <c r="G34" s="40" t="inlineStr">
        <is>
          <t>Bet</t>
        </is>
      </c>
      <c r="H34" s="41" t="n">
        <v>4.3</v>
      </c>
      <c r="I34" s="41" t="n">
        <v>5</v>
      </c>
      <c r="J34" s="16" t="n">
        <v>0.0351</v>
      </c>
      <c r="K34" s="42" t="n">
        <v>1</v>
      </c>
      <c r="L34" s="15" t="n">
        <v>5</v>
      </c>
      <c r="M34" s="43" t="inlineStr">
        <is>
          <t>Loss</t>
        </is>
      </c>
      <c r="N34" s="17">
        <f>IF(M34="Win",IF(F34="Bet",(I34-1)*K34,K34),IF(M34="Loss",IF(F34="Bet",-K34,-(I34-1)*K34),IF(M34="Void",0,"")))</f>
        <v/>
      </c>
      <c r="O34" s="18">
        <f>IF(OR(M34="Win",M34="Loss"),IF(F34="Bet",K34,(I34-1)*K34),"")</f>
        <v/>
      </c>
    </row>
    <row r="35">
      <c r="A35" s="44" t="n">
        <v>46278</v>
      </c>
      <c r="B35" s="45" t="inlineStr">
        <is>
          <t>Coffs Harbour</t>
        </is>
      </c>
      <c r="C35" s="21" t="n">
        <v>5</v>
      </c>
      <c r="D35" s="21" t="n">
        <v>2</v>
      </c>
      <c r="E35" s="20" t="inlineStr">
        <is>
          <t>Sukhbir</t>
        </is>
      </c>
      <c r="F35" s="52" t="inlineStr">
        <is>
          <t>Bet</t>
        </is>
      </c>
      <c r="G35" s="40" t="inlineStr">
        <is>
          <t>Bet</t>
        </is>
      </c>
      <c r="H35" s="48" t="n">
        <v>6.8</v>
      </c>
      <c r="I35" s="48" t="n">
        <v>8.5</v>
      </c>
      <c r="J35" s="22" t="n">
        <v>0.0284</v>
      </c>
      <c r="K35" s="49" t="n">
        <v>1</v>
      </c>
      <c r="L35" s="21" t="n">
        <v>5</v>
      </c>
      <c r="M35" s="46" t="inlineStr">
        <is>
          <t>Loss</t>
        </is>
      </c>
      <c r="N35" s="23">
        <f>IF(M35="Win",IF(F35="Bet",(I35-1)*K35,K35),IF(M35="Loss",IF(F35="Bet",-K35,-(I35-1)*K35),IF(M35="Void",0,"")))</f>
        <v/>
      </c>
      <c r="O35" s="24">
        <f>IF(OR(M35="Win",M35="Loss"),IF(F35="Bet",K35,(I35-1)*K35),"")</f>
        <v/>
      </c>
    </row>
    <row r="36">
      <c r="A36" s="37" t="n">
        <v>46278</v>
      </c>
      <c r="B36" s="38" t="inlineStr">
        <is>
          <t>Coffs Harbour</t>
        </is>
      </c>
      <c r="C36" s="15" t="n">
        <v>6</v>
      </c>
      <c r="D36" s="15" t="n">
        <v>1</v>
      </c>
      <c r="E36" s="14" t="inlineStr">
        <is>
          <t>Cool Fizz</t>
        </is>
      </c>
      <c r="F36" s="39" t="inlineStr">
        <is>
          <t>Bet</t>
        </is>
      </c>
      <c r="G36" s="40" t="inlineStr">
        <is>
          <t>Bet</t>
        </is>
      </c>
      <c r="H36" s="41" t="n">
        <v>6.1</v>
      </c>
      <c r="I36" s="41" t="n">
        <v>8</v>
      </c>
      <c r="J36" s="16" t="n">
        <v>0.0386</v>
      </c>
      <c r="K36" s="42" t="n">
        <v>1</v>
      </c>
      <c r="L36" s="15" t="n">
        <v>8</v>
      </c>
      <c r="M36" s="43" t="inlineStr">
        <is>
          <t>Loss</t>
        </is>
      </c>
      <c r="N36" s="17">
        <f>IF(M36="Win",IF(F36="Bet",(I36-1)*K36,K36),IF(M36="Loss",IF(F36="Bet",-K36,-(I36-1)*K36),IF(M36="Void",0,"")))</f>
        <v/>
      </c>
      <c r="O36" s="18">
        <f>IF(OR(M36="Win",M36="Loss"),IF(F36="Bet",K36,(I36-1)*K36),"")</f>
        <v/>
      </c>
    </row>
    <row r="37">
      <c r="A37" s="44" t="n">
        <v>46278</v>
      </c>
      <c r="B37" s="45" t="inlineStr">
        <is>
          <t>Kilmore</t>
        </is>
      </c>
      <c r="C37" s="21" t="n">
        <v>4</v>
      </c>
      <c r="D37" s="21" t="n">
        <v>6</v>
      </c>
      <c r="E37" s="20" t="inlineStr">
        <is>
          <t>Mishima</t>
        </is>
      </c>
      <c r="F37" s="52" t="inlineStr">
        <is>
          <t>Bet</t>
        </is>
      </c>
      <c r="G37" s="40" t="inlineStr">
        <is>
          <t>Bet</t>
        </is>
      </c>
      <c r="H37" s="48" t="n">
        <v>4.8</v>
      </c>
      <c r="I37" s="48" t="n">
        <v>6.8</v>
      </c>
      <c r="J37" s="22" t="n">
        <v>0.0402</v>
      </c>
      <c r="K37" s="49" t="n">
        <v>1</v>
      </c>
      <c r="L37" s="21" t="n">
        <v>2</v>
      </c>
      <c r="M37" s="46" t="inlineStr">
        <is>
          <t>Loss</t>
        </is>
      </c>
      <c r="N37" s="23">
        <f>IF(M37="Win",IF(F37="Bet",(I37-1)*K37,K37),IF(M37="Loss",IF(F37="Bet",-K37,-(I37-1)*K37),IF(M37="Void",0,"")))</f>
        <v/>
      </c>
      <c r="O37" s="24">
        <f>IF(OR(M37="Win",M37="Loss"),IF(F37="Bet",K37,(I37-1)*K37),"")</f>
        <v/>
      </c>
    </row>
    <row r="38">
      <c r="A38" s="37" t="n">
        <v>46278</v>
      </c>
      <c r="B38" s="38" t="inlineStr">
        <is>
          <t>Bathurst</t>
        </is>
      </c>
      <c r="C38" s="15" t="n">
        <v>3</v>
      </c>
      <c r="D38" s="15" t="n">
        <v>1</v>
      </c>
      <c r="E38" s="14" t="inlineStr">
        <is>
          <t>Jazz All Knight</t>
        </is>
      </c>
      <c r="F38" s="39" t="inlineStr">
        <is>
          <t>Bet</t>
        </is>
      </c>
      <c r="G38" s="53" t="inlineStr">
        <is>
          <t>Prime</t>
        </is>
      </c>
      <c r="H38" s="41" t="n">
        <v>5.4</v>
      </c>
      <c r="I38" s="41" t="n">
        <v>7.5</v>
      </c>
      <c r="J38" s="16" t="n">
        <v>0.052</v>
      </c>
      <c r="K38" s="42" t="n">
        <v>1</v>
      </c>
      <c r="L38" s="15" t="n">
        <v>3</v>
      </c>
      <c r="M38" s="43" t="inlineStr">
        <is>
          <t>Loss</t>
        </is>
      </c>
      <c r="N38" s="17">
        <f>IF(M38="Win",IF(F38="Bet",(I38-1)*K38,K38),IF(M38="Loss",IF(F38="Bet",-K38,-(I38-1)*K38),IF(M38="Void",0,"")))</f>
        <v/>
      </c>
      <c r="O38" s="18">
        <f>IF(OR(M38="Win",M38="Loss"),IF(F38="Bet",K38,(I38-1)*K38),"")</f>
        <v/>
      </c>
    </row>
    <row r="39">
      <c r="A39" s="44" t="n">
        <v>46278</v>
      </c>
      <c r="B39" s="45" t="inlineStr">
        <is>
          <t>Bathurst</t>
        </is>
      </c>
      <c r="C39" s="21" t="n">
        <v>3</v>
      </c>
      <c r="D39" s="21" t="n">
        <v>2</v>
      </c>
      <c r="E39" s="20" t="inlineStr">
        <is>
          <t>Honey Slider</t>
        </is>
      </c>
      <c r="F39" s="52" t="inlineStr">
        <is>
          <t>Bet</t>
        </is>
      </c>
      <c r="G39" s="40" t="inlineStr">
        <is>
          <t>Bet</t>
        </is>
      </c>
      <c r="H39" s="48" t="n">
        <v>5.6</v>
      </c>
      <c r="I39" s="48" t="n">
        <v>8</v>
      </c>
      <c r="J39" s="22" t="n">
        <v>0.0252</v>
      </c>
      <c r="K39" s="49" t="n">
        <v>1</v>
      </c>
      <c r="L39" s="21" t="n">
        <v>4</v>
      </c>
      <c r="M39" s="46" t="inlineStr">
        <is>
          <t>Loss</t>
        </is>
      </c>
      <c r="N39" s="23">
        <f>IF(M39="Win",IF(F39="Bet",(I39-1)*K39,K39),IF(M39="Loss",IF(F39="Bet",-K39,-(I39-1)*K39),IF(M39="Void",0,"")))</f>
        <v/>
      </c>
      <c r="O39" s="24">
        <f>IF(OR(M39="Win",M39="Loss"),IF(F39="Bet",K39,(I39-1)*K39),"")</f>
        <v/>
      </c>
    </row>
    <row r="40">
      <c r="A40" s="37" t="n">
        <v>46278</v>
      </c>
      <c r="B40" s="38" t="inlineStr">
        <is>
          <t>Northam</t>
        </is>
      </c>
      <c r="C40" s="15" t="n">
        <v>1</v>
      </c>
      <c r="D40" s="15" t="n">
        <v>1</v>
      </c>
      <c r="E40" s="14" t="inlineStr">
        <is>
          <t>Who's Bent</t>
        </is>
      </c>
      <c r="F40" s="39" t="inlineStr">
        <is>
          <t>Bet</t>
        </is>
      </c>
      <c r="G40" s="40" t="inlineStr">
        <is>
          <t>Bet</t>
        </is>
      </c>
      <c r="H40" s="41" t="n">
        <v>3.5</v>
      </c>
      <c r="I40" s="41" t="n">
        <v>4.2</v>
      </c>
      <c r="J40" s="16" t="n">
        <v>0.0477</v>
      </c>
      <c r="K40" s="42" t="n">
        <v>1</v>
      </c>
      <c r="L40" s="15" t="n">
        <v>1</v>
      </c>
      <c r="M40" s="51" t="inlineStr">
        <is>
          <t>Win</t>
        </is>
      </c>
      <c r="N40" s="17">
        <f>IF(M40="Win",IF(F40="Bet",(I40-1)*K40,K40),IF(M40="Loss",IF(F40="Bet",-K40,-(I40-1)*K40),IF(M40="Void",0,"")))</f>
        <v/>
      </c>
      <c r="O40" s="18">
        <f>IF(OR(M40="Win",M40="Loss"),IF(F40="Bet",K40,(I40-1)*K40),"")</f>
        <v/>
      </c>
    </row>
    <row r="41">
      <c r="A41" s="44" t="n">
        <v>46278</v>
      </c>
      <c r="B41" s="45" t="inlineStr">
        <is>
          <t>Bathurst</t>
        </is>
      </c>
      <c r="C41" s="21" t="n">
        <v>7</v>
      </c>
      <c r="D41" s="21" t="n">
        <v>2</v>
      </c>
      <c r="E41" s="20" t="inlineStr">
        <is>
          <t>Fearn Trick</t>
        </is>
      </c>
      <c r="F41" s="52" t="inlineStr">
        <is>
          <t>Bet</t>
        </is>
      </c>
      <c r="G41" s="40" t="inlineStr">
        <is>
          <t>Bet</t>
        </is>
      </c>
      <c r="H41" s="48" t="n">
        <v>7.5</v>
      </c>
      <c r="I41" s="48" t="n">
        <v>9.5</v>
      </c>
      <c r="J41" s="22" t="n">
        <v>0.0279</v>
      </c>
      <c r="K41" s="49" t="n">
        <v>1</v>
      </c>
      <c r="L41" s="21" t="n"/>
      <c r="M41" s="55" t="inlineStr">
        <is>
          <t>Void</t>
        </is>
      </c>
      <c r="N41" s="23">
        <f>IF(M41="Win",IF(F41="Bet",(I41-1)*K41,K41),IF(M41="Loss",IF(F41="Bet",-K41,-(I41-1)*K41),IF(M41="Void",0,"")))</f>
        <v/>
      </c>
      <c r="O41" s="24">
        <f>IF(OR(M41="Win",M41="Loss"),IF(F41="Bet",K41,(I41-1)*K41),"")</f>
        <v/>
      </c>
    </row>
    <row r="42">
      <c r="A42" s="37" t="n">
        <v>46279</v>
      </c>
      <c r="B42" s="38" t="inlineStr">
        <is>
          <t>Tamworth</t>
        </is>
      </c>
      <c r="C42" s="15" t="n">
        <v>4</v>
      </c>
      <c r="D42" s="15" t="n">
        <v>2</v>
      </c>
      <c r="E42" s="14" t="inlineStr">
        <is>
          <t>Mongolian Master</t>
        </is>
      </c>
      <c r="F42" s="39" t="inlineStr">
        <is>
          <t>Bet</t>
        </is>
      </c>
      <c r="G42" s="40" t="inlineStr">
        <is>
          <t>Bet</t>
        </is>
      </c>
      <c r="H42" s="41" t="n">
        <v>6.9</v>
      </c>
      <c r="I42" s="41" t="n">
        <v>9.6</v>
      </c>
      <c r="J42" s="16" t="n">
        <v>0.0335</v>
      </c>
      <c r="K42" s="42" t="n">
        <v>1</v>
      </c>
      <c r="L42" s="15" t="n">
        <v>3</v>
      </c>
      <c r="M42" s="43" t="inlineStr">
        <is>
          <t>Loss</t>
        </is>
      </c>
      <c r="N42" s="17">
        <f>IF(M42="Win",IF(F42="Bet",(I42-1)*K42,K42),IF(M42="Loss",IF(F42="Bet",-K42,-(I42-1)*K42),IF(M42="Void",0,"")))</f>
        <v/>
      </c>
      <c r="O42" s="18">
        <f>IF(OR(M42="Win",M42="Loss"),IF(F42="Bet",K42,(I42-1)*K42),"")</f>
        <v/>
      </c>
    </row>
    <row r="43">
      <c r="A43" s="44" t="n">
        <v>46279</v>
      </c>
      <c r="B43" s="45" t="inlineStr">
        <is>
          <t>Tamworth</t>
        </is>
      </c>
      <c r="C43" s="21" t="n">
        <v>6</v>
      </c>
      <c r="D43" s="21" t="n">
        <v>2</v>
      </c>
      <c r="E43" s="20" t="inlineStr">
        <is>
          <t>He's My Warrior</t>
        </is>
      </c>
      <c r="F43" s="52" t="inlineStr">
        <is>
          <t>Bet</t>
        </is>
      </c>
      <c r="G43" s="40" t="inlineStr">
        <is>
          <t>Bet</t>
        </is>
      </c>
      <c r="H43" s="48" t="n">
        <v>6.5</v>
      </c>
      <c r="I43" s="48" t="n">
        <v>8</v>
      </c>
      <c r="J43" s="22" t="n">
        <v>0.0286</v>
      </c>
      <c r="K43" s="49" t="n">
        <v>1</v>
      </c>
      <c r="L43" s="21" t="n">
        <v>6</v>
      </c>
      <c r="M43" s="46" t="inlineStr">
        <is>
          <t>Loss</t>
        </is>
      </c>
      <c r="N43" s="23">
        <f>IF(M43="Win",IF(F43="Bet",(I43-1)*K43,K43),IF(M43="Loss",IF(F43="Bet",-K43,-(I43-1)*K43),IF(M43="Void",0,"")))</f>
        <v/>
      </c>
      <c r="O43" s="24">
        <f>IF(OR(M43="Win",M43="Loss"),IF(F43="Bet",K43,(I43-1)*K43),"")</f>
        <v/>
      </c>
    </row>
    <row r="44">
      <c r="A44" s="37" t="n">
        <v>46279</v>
      </c>
      <c r="B44" s="38" t="inlineStr">
        <is>
          <t>Corowa</t>
        </is>
      </c>
      <c r="C44" s="15" t="n">
        <v>3</v>
      </c>
      <c r="D44" s="15" t="n">
        <v>2</v>
      </c>
      <c r="E44" s="14" t="inlineStr">
        <is>
          <t>Canny Hell</t>
        </is>
      </c>
      <c r="F44" s="39" t="inlineStr">
        <is>
          <t>Bet</t>
        </is>
      </c>
      <c r="G44" s="53" t="inlineStr">
        <is>
          <t>Prime</t>
        </is>
      </c>
      <c r="H44" s="41" t="n">
        <v>2.55</v>
      </c>
      <c r="I44" s="41" t="n">
        <v>3.95</v>
      </c>
      <c r="J44" s="16" t="n">
        <v>0.07920000000000001</v>
      </c>
      <c r="K44" s="42" t="n">
        <v>1</v>
      </c>
      <c r="L44" s="15" t="n">
        <v>2</v>
      </c>
      <c r="M44" s="43" t="inlineStr">
        <is>
          <t>Loss</t>
        </is>
      </c>
      <c r="N44" s="17">
        <f>IF(M44="Win",IF(F44="Bet",(I44-1)*K44,K44),IF(M44="Loss",IF(F44="Bet",-K44,-(I44-1)*K44),IF(M44="Void",0,"")))</f>
        <v/>
      </c>
      <c r="O44" s="18">
        <f>IF(OR(M44="Win",M44="Loss"),IF(F44="Bet",K44,(I44-1)*K44),"")</f>
        <v/>
      </c>
    </row>
    <row r="45">
      <c r="A45" s="44" t="n">
        <v>46280</v>
      </c>
      <c r="B45" s="45" t="inlineStr">
        <is>
          <t>Moruya</t>
        </is>
      </c>
      <c r="C45" s="21" t="n">
        <v>5</v>
      </c>
      <c r="D45" s="21" t="n">
        <v>2</v>
      </c>
      <c r="E45" s="20" t="inlineStr">
        <is>
          <t>Nights Inferno</t>
        </is>
      </c>
      <c r="F45" s="52" t="inlineStr">
        <is>
          <t>Bet</t>
        </is>
      </c>
      <c r="G45" s="40" t="inlineStr">
        <is>
          <t>Bet</t>
        </is>
      </c>
      <c r="H45" s="48" t="n">
        <v>5.5</v>
      </c>
      <c r="I45" s="48" t="n">
        <v>6.8</v>
      </c>
      <c r="J45" s="22" t="n">
        <v>0.0271</v>
      </c>
      <c r="K45" s="49" t="n">
        <v>1</v>
      </c>
      <c r="L45" s="21" t="n">
        <v>4</v>
      </c>
      <c r="M45" s="46" t="inlineStr">
        <is>
          <t>Loss</t>
        </is>
      </c>
      <c r="N45" s="23">
        <f>IF(M45="Win",IF(F45="Bet",(I45-1)*K45,K45),IF(M45="Loss",IF(F45="Bet",-K45,-(I45-1)*K45),IF(M45="Void",0,"")))</f>
        <v/>
      </c>
      <c r="O45" s="24">
        <f>IF(OR(M45="Win",M45="Loss"),IF(F45="Bet",K45,(I45-1)*K45),"")</f>
        <v/>
      </c>
    </row>
    <row r="46">
      <c r="A46" s="37" t="n">
        <v>46280</v>
      </c>
      <c r="B46" s="38" t="inlineStr">
        <is>
          <t>Bowen</t>
        </is>
      </c>
      <c r="C46" s="15" t="n">
        <v>1</v>
      </c>
      <c r="D46" s="15" t="n">
        <v>4</v>
      </c>
      <c r="E46" s="14" t="inlineStr">
        <is>
          <t>Missile Baby</t>
        </is>
      </c>
      <c r="F46" s="39" t="inlineStr">
        <is>
          <t>Bet</t>
        </is>
      </c>
      <c r="G46" s="53" t="inlineStr">
        <is>
          <t>Prime</t>
        </is>
      </c>
      <c r="H46" s="41" t="n">
        <v>4.1</v>
      </c>
      <c r="I46" s="41" t="n">
        <v>6.22</v>
      </c>
      <c r="J46" s="16" t="n">
        <v>0.06469999999999999</v>
      </c>
      <c r="K46" s="42" t="n">
        <v>1</v>
      </c>
      <c r="L46" s="15" t="n">
        <v>3</v>
      </c>
      <c r="M46" s="43" t="inlineStr">
        <is>
          <t>Loss</t>
        </is>
      </c>
      <c r="N46" s="17">
        <f>IF(M46="Win",IF(F46="Bet",(I46-1)*K46,K46),IF(M46="Loss",IF(F46="Bet",-K46,-(I46-1)*K46),IF(M46="Void",0,"")))</f>
        <v/>
      </c>
      <c r="O46" s="18">
        <f>IF(OR(M46="Win",M46="Loss"),IF(F46="Bet",K46,(I46-1)*K46),"")</f>
        <v/>
      </c>
    </row>
    <row r="47">
      <c r="A47" s="44" t="n">
        <v>46281</v>
      </c>
      <c r="B47" s="45" t="inlineStr">
        <is>
          <t>Doomben</t>
        </is>
      </c>
      <c r="C47" s="21" t="n">
        <v>1</v>
      </c>
      <c r="D47" s="21" t="n">
        <v>1</v>
      </c>
      <c r="E47" s="20" t="inlineStr">
        <is>
          <t>Bacetti</t>
        </is>
      </c>
      <c r="F47" s="52" t="inlineStr">
        <is>
          <t>Bet</t>
        </is>
      </c>
      <c r="G47" s="40" t="inlineStr">
        <is>
          <t>Bet</t>
        </is>
      </c>
      <c r="H47" s="48" t="n">
        <v>6.1</v>
      </c>
      <c r="I47" s="48" t="n">
        <v>9.539999999999999</v>
      </c>
      <c r="J47" s="22" t="n">
        <v>0.0296</v>
      </c>
      <c r="K47" s="49" t="n">
        <v>1</v>
      </c>
      <c r="L47" s="21" t="n">
        <v>3</v>
      </c>
      <c r="M47" s="46" t="inlineStr">
        <is>
          <t>Loss</t>
        </is>
      </c>
      <c r="N47" s="23">
        <f>IF(M47="Win",IF(F47="Bet",(I47-1)*K47,K47),IF(M47="Loss",IF(F47="Bet",-K47,-(I47-1)*K47),IF(M47="Void",0,"")))</f>
        <v/>
      </c>
      <c r="O47" s="24">
        <f>IF(OR(M47="Win",M47="Loss"),IF(F47="Bet",K47,(I47-1)*K47),"")</f>
        <v/>
      </c>
    </row>
    <row r="48">
      <c r="A48" s="37" t="n">
        <v>46281</v>
      </c>
      <c r="B48" s="38" t="inlineStr">
        <is>
          <t>Caulfield Heath</t>
        </is>
      </c>
      <c r="C48" s="15" t="n">
        <v>4</v>
      </c>
      <c r="D48" s="15" t="n">
        <v>13</v>
      </c>
      <c r="E48" s="14" t="inlineStr">
        <is>
          <t>Tuzemak</t>
        </is>
      </c>
      <c r="F48" s="39" t="inlineStr">
        <is>
          <t>Bet</t>
        </is>
      </c>
      <c r="G48" s="40" t="inlineStr">
        <is>
          <t>Bet</t>
        </is>
      </c>
      <c r="H48" s="41" t="n">
        <v>9.699999999999999</v>
      </c>
      <c r="I48" s="41" t="n">
        <v>17</v>
      </c>
      <c r="J48" s="16" t="n">
        <v>0.026</v>
      </c>
      <c r="K48" s="42" t="n">
        <v>1</v>
      </c>
      <c r="L48" s="15" t="n">
        <v>6</v>
      </c>
      <c r="M48" s="43" t="inlineStr">
        <is>
          <t>Loss</t>
        </is>
      </c>
      <c r="N48" s="17">
        <f>IF(M48="Win",IF(F48="Bet",(I48-1)*K48,K48),IF(M48="Loss",IF(F48="Bet",-K48,-(I48-1)*K48),IF(M48="Void",0,"")))</f>
        <v/>
      </c>
      <c r="O48" s="18">
        <f>IF(OR(M48="Win",M48="Loss"),IF(F48="Bet",K48,(I48-1)*K48),"")</f>
        <v/>
      </c>
    </row>
    <row r="49">
      <c r="A49" s="44" t="n">
        <v>46281</v>
      </c>
      <c r="B49" s="45" t="inlineStr">
        <is>
          <t>Caulfield Heath</t>
        </is>
      </c>
      <c r="C49" s="21" t="n">
        <v>2</v>
      </c>
      <c r="D49" s="21" t="n">
        <v>4</v>
      </c>
      <c r="E49" s="20" t="inlineStr">
        <is>
          <t>All Business</t>
        </is>
      </c>
      <c r="F49" s="52" t="inlineStr">
        <is>
          <t>Bet</t>
        </is>
      </c>
      <c r="G49" s="40" t="inlineStr">
        <is>
          <t>Bet</t>
        </is>
      </c>
      <c r="H49" s="48" t="n">
        <v>6</v>
      </c>
      <c r="I49" s="48" t="n">
        <v>7.5</v>
      </c>
      <c r="J49" s="22" t="n">
        <v>0.0335</v>
      </c>
      <c r="K49" s="49" t="n">
        <v>1</v>
      </c>
      <c r="L49" s="21" t="n">
        <v>1</v>
      </c>
      <c r="M49" s="50" t="inlineStr">
        <is>
          <t>Win</t>
        </is>
      </c>
      <c r="N49" s="23">
        <f>IF(M49="Win",IF(F49="Bet",(I49-1)*K49,K49),IF(M49="Loss",IF(F49="Bet",-K49,-(I49-1)*K49),IF(M49="Void",0,"")))</f>
        <v/>
      </c>
      <c r="O49" s="24">
        <f>IF(OR(M49="Win",M49="Loss"),IF(F49="Bet",K49,(I49-1)*K49),"")</f>
        <v/>
      </c>
    </row>
    <row r="50">
      <c r="A50" s="37" t="n">
        <v>46281</v>
      </c>
      <c r="B50" s="38" t="inlineStr">
        <is>
          <t>Belmont</t>
        </is>
      </c>
      <c r="C50" s="15" t="n">
        <v>2</v>
      </c>
      <c r="D50" s="15" t="n">
        <v>1</v>
      </c>
      <c r="E50" s="14" t="inlineStr">
        <is>
          <t>Rocking In Vegas</t>
        </is>
      </c>
      <c r="F50" s="39" t="inlineStr">
        <is>
          <t>Bet</t>
        </is>
      </c>
      <c r="G50" s="53" t="inlineStr">
        <is>
          <t>Prime</t>
        </is>
      </c>
      <c r="H50" s="41" t="n">
        <v>4.6</v>
      </c>
      <c r="I50" s="41" t="n">
        <v>14.5</v>
      </c>
      <c r="J50" s="16" t="n">
        <v>0.1018</v>
      </c>
      <c r="K50" s="42" t="n">
        <v>1</v>
      </c>
      <c r="L50" s="15" t="n">
        <v>3</v>
      </c>
      <c r="M50" s="43" t="inlineStr">
        <is>
          <t>Loss</t>
        </is>
      </c>
      <c r="N50" s="17">
        <f>IF(M50="Win",IF(F50="Bet",(I50-1)*K50,K50),IF(M50="Loss",IF(F50="Bet",-K50,-(I50-1)*K50),IF(M50="Void",0,"")))</f>
        <v/>
      </c>
      <c r="O50" s="18">
        <f>IF(OR(M50="Win",M50="Loss"),IF(F50="Bet",K50,(I50-1)*K50),"")</f>
        <v/>
      </c>
    </row>
    <row r="51">
      <c r="A51" s="44" t="n">
        <v>46281</v>
      </c>
      <c r="B51" s="45" t="inlineStr">
        <is>
          <t>Belmont</t>
        </is>
      </c>
      <c r="C51" s="21" t="n">
        <v>3</v>
      </c>
      <c r="D51" s="21" t="n">
        <v>4</v>
      </c>
      <c r="E51" s="20" t="inlineStr">
        <is>
          <t>Wiluna Lass</t>
        </is>
      </c>
      <c r="F51" s="52" t="inlineStr">
        <is>
          <t>Bet</t>
        </is>
      </c>
      <c r="G51" s="40" t="inlineStr">
        <is>
          <t>Bet</t>
        </is>
      </c>
      <c r="H51" s="48" t="n">
        <v>4.3</v>
      </c>
      <c r="I51" s="48" t="n">
        <v>5.5</v>
      </c>
      <c r="J51" s="22" t="n">
        <v>0.0264</v>
      </c>
      <c r="K51" s="49" t="n">
        <v>1</v>
      </c>
      <c r="L51" s="21" t="n">
        <v>1</v>
      </c>
      <c r="M51" s="50" t="inlineStr">
        <is>
          <t>Win</t>
        </is>
      </c>
      <c r="N51" s="23">
        <f>IF(M51="Win",IF(F51="Bet",(I51-1)*K51,K51),IF(M51="Loss",IF(F51="Bet",-K51,-(I51-1)*K51),IF(M51="Void",0,"")))</f>
        <v/>
      </c>
      <c r="O51" s="24">
        <f>IF(OR(M51="Win",M51="Loss"),IF(F51="Bet",K51,(I51-1)*K51),"")</f>
        <v/>
      </c>
    </row>
    <row r="52">
      <c r="A52" s="37" t="n">
        <v>46281</v>
      </c>
      <c r="B52" s="38" t="inlineStr">
        <is>
          <t>Launceston</t>
        </is>
      </c>
      <c r="C52" s="15" t="n">
        <v>2</v>
      </c>
      <c r="D52" s="15" t="n">
        <v>3</v>
      </c>
      <c r="E52" s="14" t="inlineStr">
        <is>
          <t>Lin Thizzy</t>
        </is>
      </c>
      <c r="F52" s="39" t="inlineStr">
        <is>
          <t>Bet</t>
        </is>
      </c>
      <c r="G52" s="40" t="inlineStr">
        <is>
          <t>Bet</t>
        </is>
      </c>
      <c r="H52" s="41" t="n">
        <v>3.4</v>
      </c>
      <c r="I52" s="41" t="n">
        <v>8.6</v>
      </c>
      <c r="J52" s="16" t="n">
        <v>0.0414</v>
      </c>
      <c r="K52" s="42" t="n">
        <v>1</v>
      </c>
      <c r="L52" s="15" t="n">
        <v>1</v>
      </c>
      <c r="M52" s="51" t="inlineStr">
        <is>
          <t>Win</t>
        </is>
      </c>
      <c r="N52" s="17">
        <f>IF(M52="Win",IF(F52="Bet",(I52-1)*K52,K52),IF(M52="Loss",IF(F52="Bet",-K52,-(I52-1)*K52),IF(M52="Void",0,"")))</f>
        <v/>
      </c>
      <c r="O52" s="18">
        <f>IF(OR(M52="Win",M52="Loss"),IF(F52="Bet",K52,(I52-1)*K52),"")</f>
        <v/>
      </c>
    </row>
    <row r="53">
      <c r="A53" s="44" t="n">
        <v>46281</v>
      </c>
      <c r="B53" s="45" t="inlineStr">
        <is>
          <t>Canterbury</t>
        </is>
      </c>
      <c r="C53" s="21" t="n">
        <v>2</v>
      </c>
      <c r="D53" s="21" t="n">
        <v>6</v>
      </c>
      <c r="E53" s="20" t="inlineStr">
        <is>
          <t>Saffron Veil</t>
        </is>
      </c>
      <c r="F53" s="52" t="inlineStr">
        <is>
          <t>Bet</t>
        </is>
      </c>
      <c r="G53" s="40" t="inlineStr">
        <is>
          <t>Bet</t>
        </is>
      </c>
      <c r="H53" s="48" t="n">
        <v>1.8</v>
      </c>
      <c r="I53" s="48" t="n">
        <v>2.1</v>
      </c>
      <c r="J53" s="22" t="n">
        <v>0.0407</v>
      </c>
      <c r="K53" s="49" t="n">
        <v>1</v>
      </c>
      <c r="L53" s="21" t="n">
        <v>1</v>
      </c>
      <c r="M53" s="50" t="inlineStr">
        <is>
          <t>Win</t>
        </is>
      </c>
      <c r="N53" s="23">
        <f>IF(M53="Win",IF(F53="Bet",(I53-1)*K53,K53),IF(M53="Loss",IF(F53="Bet",-K53,-(I53-1)*K53),IF(M53="Void",0,"")))</f>
        <v/>
      </c>
      <c r="O53" s="24">
        <f>IF(OR(M53="Win",M53="Loss"),IF(F53="Bet",K53,(I53-1)*K53),"")</f>
        <v/>
      </c>
    </row>
    <row r="54">
      <c r="A54" s="37" t="n">
        <v>46281</v>
      </c>
      <c r="B54" s="38" t="inlineStr">
        <is>
          <t>Balaklava</t>
        </is>
      </c>
      <c r="C54" s="15" t="n">
        <v>9</v>
      </c>
      <c r="D54" s="15" t="n">
        <v>1</v>
      </c>
      <c r="E54" s="14" t="inlineStr">
        <is>
          <t>Air Assault</t>
        </is>
      </c>
      <c r="F54" s="39" t="inlineStr">
        <is>
          <t>Bet</t>
        </is>
      </c>
      <c r="G54" s="53" t="inlineStr">
        <is>
          <t>Prime</t>
        </is>
      </c>
      <c r="H54" s="41" t="n">
        <v>4.8</v>
      </c>
      <c r="I54" s="41" t="n">
        <v>10.35</v>
      </c>
      <c r="J54" s="16" t="n">
        <v>0.0524</v>
      </c>
      <c r="K54" s="42" t="n">
        <v>1</v>
      </c>
      <c r="L54" s="15" t="n">
        <v>2</v>
      </c>
      <c r="M54" s="43" t="inlineStr">
        <is>
          <t>Loss</t>
        </is>
      </c>
      <c r="N54" s="17">
        <f>IF(M54="Win",IF(F54="Bet",(I54-1)*K54,K54),IF(M54="Loss",IF(F54="Bet",-K54,-(I54-1)*K54),IF(M54="Void",0,"")))</f>
        <v/>
      </c>
      <c r="O54" s="18">
        <f>IF(OR(M54="Win",M54="Loss"),IF(F54="Bet",K54,(I54-1)*K54),"")</f>
        <v/>
      </c>
    </row>
    <row r="55">
      <c r="A55" s="44" t="n">
        <v>46281</v>
      </c>
      <c r="B55" s="45" t="inlineStr">
        <is>
          <t>Balaklava</t>
        </is>
      </c>
      <c r="C55" s="21" t="n">
        <v>1</v>
      </c>
      <c r="D55" s="21" t="n">
        <v>5</v>
      </c>
      <c r="E55" s="20" t="inlineStr">
        <is>
          <t>Leading Ride</t>
        </is>
      </c>
      <c r="F55" s="52" t="inlineStr">
        <is>
          <t>Bet</t>
        </is>
      </c>
      <c r="G55" s="40" t="inlineStr">
        <is>
          <t>Bet</t>
        </is>
      </c>
      <c r="H55" s="48" t="n">
        <v>4.6</v>
      </c>
      <c r="I55" s="48" t="n">
        <v>10.98</v>
      </c>
      <c r="J55" s="22" t="n">
        <v>0.037</v>
      </c>
      <c r="K55" s="49" t="n">
        <v>1</v>
      </c>
      <c r="L55" s="21" t="n">
        <v>3</v>
      </c>
      <c r="M55" s="46" t="inlineStr">
        <is>
          <t>Loss</t>
        </is>
      </c>
      <c r="N55" s="23">
        <f>IF(M55="Win",IF(F55="Bet",(I55-1)*K55,K55),IF(M55="Loss",IF(F55="Bet",-K55,-(I55-1)*K55),IF(M55="Void",0,"")))</f>
        <v/>
      </c>
      <c r="O55" s="24">
        <f>IF(OR(M55="Win",M55="Loss"),IF(F55="Bet",K55,(I55-1)*K55),"")</f>
        <v/>
      </c>
    </row>
    <row r="56">
      <c r="A56" s="37" t="n">
        <v>46281</v>
      </c>
      <c r="B56" s="38" t="inlineStr">
        <is>
          <t>Caulfield Heath</t>
        </is>
      </c>
      <c r="C56" s="15" t="n">
        <v>2</v>
      </c>
      <c r="D56" s="15" t="n">
        <v>2</v>
      </c>
      <c r="E56" s="14" t="inlineStr">
        <is>
          <t>Lake Vostok</t>
        </is>
      </c>
      <c r="F56" s="39" t="inlineStr">
        <is>
          <t>Bet</t>
        </is>
      </c>
      <c r="G56" s="40" t="inlineStr">
        <is>
          <t>Bet</t>
        </is>
      </c>
      <c r="H56" s="41" t="n">
        <v>5.6</v>
      </c>
      <c r="I56" s="41" t="n">
        <v>7</v>
      </c>
      <c r="J56" s="16" t="n">
        <v>0.0355</v>
      </c>
      <c r="K56" s="42" t="n">
        <v>1</v>
      </c>
      <c r="L56" s="15" t="n"/>
      <c r="M56" s="54" t="inlineStr">
        <is>
          <t>Void</t>
        </is>
      </c>
      <c r="N56" s="17">
        <f>IF(M56="Win",IF(F56="Bet",(I56-1)*K56,K56),IF(M56="Loss",IF(F56="Bet",-K56,-(I56-1)*K56),IF(M56="Void",0,"")))</f>
        <v/>
      </c>
      <c r="O56" s="18">
        <f>IF(OR(M56="Win",M56="Loss"),IF(F56="Bet",K56,(I56-1)*K56),"")</f>
        <v/>
      </c>
    </row>
    <row r="57">
      <c r="A57" s="44" t="n">
        <v>46281</v>
      </c>
      <c r="B57" s="45" t="inlineStr">
        <is>
          <t>Caulfield Heath</t>
        </is>
      </c>
      <c r="C57" s="21" t="n">
        <v>1</v>
      </c>
      <c r="D57" s="21" t="n">
        <v>1</v>
      </c>
      <c r="E57" s="20" t="inlineStr">
        <is>
          <t>Corviglia</t>
        </is>
      </c>
      <c r="F57" s="52" t="inlineStr">
        <is>
          <t>Bet</t>
        </is>
      </c>
      <c r="G57" s="53" t="inlineStr">
        <is>
          <t>Prime</t>
        </is>
      </c>
      <c r="H57" s="48" t="n">
        <v>5.3</v>
      </c>
      <c r="I57" s="48" t="n">
        <v>9.359999999999999</v>
      </c>
      <c r="J57" s="22" t="n">
        <v>0.065</v>
      </c>
      <c r="K57" s="49" t="n">
        <v>1</v>
      </c>
      <c r="L57" s="21" t="n">
        <v>2</v>
      </c>
      <c r="M57" s="46" t="inlineStr">
        <is>
          <t>Loss</t>
        </is>
      </c>
      <c r="N57" s="23">
        <f>IF(M57="Win",IF(F57="Bet",(I57-1)*K57,K57),IF(M57="Loss",IF(F57="Bet",-K57,-(I57-1)*K57),IF(M57="Void",0,"")))</f>
        <v/>
      </c>
      <c r="O57" s="24">
        <f>IF(OR(M57="Win",M57="Loss"),IF(F57="Bet",K57,(I57-1)*K57),"")</f>
        <v/>
      </c>
    </row>
    <row r="58">
      <c r="A58" s="37" t="n">
        <v>46281</v>
      </c>
      <c r="B58" s="38" t="inlineStr">
        <is>
          <t>Balaklava</t>
        </is>
      </c>
      <c r="C58" s="15" t="n">
        <v>1</v>
      </c>
      <c r="D58" s="15" t="n">
        <v>1</v>
      </c>
      <c r="E58" s="14" t="inlineStr">
        <is>
          <t>Sidebar</t>
        </is>
      </c>
      <c r="F58" s="39" t="inlineStr">
        <is>
          <t>Bet</t>
        </is>
      </c>
      <c r="G58" s="40" t="inlineStr">
        <is>
          <t>Bet</t>
        </is>
      </c>
      <c r="H58" s="41" t="n">
        <v>5.9</v>
      </c>
      <c r="I58" s="41" t="n">
        <v>10.5</v>
      </c>
      <c r="J58" s="16" t="n">
        <v>0.0262</v>
      </c>
      <c r="K58" s="42" t="n">
        <v>1</v>
      </c>
      <c r="L58" s="15" t="n">
        <v>4</v>
      </c>
      <c r="M58" s="43" t="inlineStr">
        <is>
          <t>Loss</t>
        </is>
      </c>
      <c r="N58" s="17">
        <f>IF(M58="Win",IF(F58="Bet",(I58-1)*K58,K58),IF(M58="Loss",IF(F58="Bet",-K58,-(I58-1)*K58),IF(M58="Void",0,"")))</f>
        <v/>
      </c>
      <c r="O58" s="18">
        <f>IF(OR(M58="Win",M58="Loss"),IF(F58="Bet",K58,(I58-1)*K58),"")</f>
        <v/>
      </c>
    </row>
    <row r="59">
      <c r="A59" s="44" t="n">
        <v>46281</v>
      </c>
      <c r="B59" s="45" t="inlineStr">
        <is>
          <t>Doomben</t>
        </is>
      </c>
      <c r="C59" s="21" t="n">
        <v>3</v>
      </c>
      <c r="D59" s="21" t="n">
        <v>9</v>
      </c>
      <c r="E59" s="20" t="inlineStr">
        <is>
          <t>Flaressence</t>
        </is>
      </c>
      <c r="F59" s="52" t="inlineStr">
        <is>
          <t>Bet</t>
        </is>
      </c>
      <c r="G59" s="40" t="inlineStr">
        <is>
          <t>Bet</t>
        </is>
      </c>
      <c r="H59" s="48" t="n">
        <v>3.9</v>
      </c>
      <c r="I59" s="48" t="n">
        <v>6</v>
      </c>
      <c r="J59" s="22" t="n">
        <v>0.0388</v>
      </c>
      <c r="K59" s="49" t="n">
        <v>1</v>
      </c>
      <c r="L59" s="21" t="n">
        <v>2</v>
      </c>
      <c r="M59" s="46" t="inlineStr">
        <is>
          <t>Loss</t>
        </is>
      </c>
      <c r="N59" s="23">
        <f>IF(M59="Win",IF(F59="Bet",(I59-1)*K59,K59),IF(M59="Loss",IF(F59="Bet",-K59,-(I59-1)*K59),IF(M59="Void",0,"")))</f>
        <v/>
      </c>
      <c r="O59" s="24">
        <f>IF(OR(M59="Win",M59="Loss"),IF(F59="Bet",K59,(I59-1)*K59),"")</f>
        <v/>
      </c>
    </row>
    <row r="60">
      <c r="A60" s="37" t="n">
        <v>46281</v>
      </c>
      <c r="B60" s="38" t="inlineStr">
        <is>
          <t>Caulfield Heath</t>
        </is>
      </c>
      <c r="C60" s="15" t="n">
        <v>7</v>
      </c>
      <c r="D60" s="15" t="n">
        <v>4</v>
      </c>
      <c r="E60" s="14" t="inlineStr">
        <is>
          <t>Rhapsody Chic</t>
        </is>
      </c>
      <c r="F60" s="39" t="inlineStr">
        <is>
          <t>Bet</t>
        </is>
      </c>
      <c r="G60" s="40" t="inlineStr">
        <is>
          <t>Bet</t>
        </is>
      </c>
      <c r="H60" s="41" t="n">
        <v>11.7</v>
      </c>
      <c r="I60" s="41" t="n">
        <v>31</v>
      </c>
      <c r="J60" s="16" t="n">
        <v>0.0264</v>
      </c>
      <c r="K60" s="42" t="n">
        <v>1</v>
      </c>
      <c r="L60" s="15" t="n">
        <v>8</v>
      </c>
      <c r="M60" s="43" t="inlineStr">
        <is>
          <t>Loss</t>
        </is>
      </c>
      <c r="N60" s="17">
        <f>IF(M60="Win",IF(F60="Bet",(I60-1)*K60,K60),IF(M60="Loss",IF(F60="Bet",-K60,-(I60-1)*K60),IF(M60="Void",0,"")))</f>
        <v/>
      </c>
      <c r="O60" s="18">
        <f>IF(OR(M60="Win",M60="Loss"),IF(F60="Bet",K60,(I60-1)*K60),"")</f>
        <v/>
      </c>
    </row>
    <row r="61">
      <c r="A61" s="44" t="n">
        <v>46281</v>
      </c>
      <c r="B61" s="45" t="inlineStr">
        <is>
          <t>Canterbury</t>
        </is>
      </c>
      <c r="C61" s="21" t="n">
        <v>5</v>
      </c>
      <c r="D61" s="21" t="n">
        <v>1</v>
      </c>
      <c r="E61" s="20" t="inlineStr">
        <is>
          <t>Tremonti</t>
        </is>
      </c>
      <c r="F61" s="52" t="inlineStr">
        <is>
          <t>Bet</t>
        </is>
      </c>
      <c r="G61" s="40" t="inlineStr">
        <is>
          <t>Bet</t>
        </is>
      </c>
      <c r="H61" s="48" t="n">
        <v>9.1</v>
      </c>
      <c r="I61" s="48" t="n">
        <v>21</v>
      </c>
      <c r="J61" s="22" t="n">
        <v>0.0426</v>
      </c>
      <c r="K61" s="49" t="n">
        <v>1</v>
      </c>
      <c r="L61" s="21" t="n">
        <v>10</v>
      </c>
      <c r="M61" s="46" t="inlineStr">
        <is>
          <t>Loss</t>
        </is>
      </c>
      <c r="N61" s="23">
        <f>IF(M61="Win",IF(F61="Bet",(I61-1)*K61,K61),IF(M61="Loss",IF(F61="Bet",-K61,-(I61-1)*K61),IF(M61="Void",0,"")))</f>
        <v/>
      </c>
      <c r="O61" s="24">
        <f>IF(OR(M61="Win",M61="Loss"),IF(F61="Bet",K61,(I61-1)*K61),"")</f>
        <v/>
      </c>
    </row>
    <row r="62">
      <c r="A62" s="37" t="n">
        <v>46281</v>
      </c>
      <c r="B62" s="38" t="inlineStr">
        <is>
          <t>Balaklava</t>
        </is>
      </c>
      <c r="C62" s="15" t="n">
        <v>8</v>
      </c>
      <c r="D62" s="15" t="n">
        <v>1</v>
      </c>
      <c r="E62" s="14" t="inlineStr">
        <is>
          <t>Super Lad</t>
        </is>
      </c>
      <c r="F62" s="39" t="inlineStr">
        <is>
          <t>Bet</t>
        </is>
      </c>
      <c r="G62" s="40" t="inlineStr">
        <is>
          <t>Bet</t>
        </is>
      </c>
      <c r="H62" s="41" t="n">
        <v>5.2</v>
      </c>
      <c r="I62" s="41" t="n">
        <v>6</v>
      </c>
      <c r="J62" s="16" t="n">
        <v>0.0257</v>
      </c>
      <c r="K62" s="42" t="n">
        <v>1</v>
      </c>
      <c r="L62" s="15" t="n">
        <v>5</v>
      </c>
      <c r="M62" s="43" t="inlineStr">
        <is>
          <t>Loss</t>
        </is>
      </c>
      <c r="N62" s="17">
        <f>IF(M62="Win",IF(F62="Bet",(I62-1)*K62,K62),IF(M62="Loss",IF(F62="Bet",-K62,-(I62-1)*K62),IF(M62="Void",0,"")))</f>
        <v/>
      </c>
      <c r="O62" s="18">
        <f>IF(OR(M62="Win",M62="Loss"),IF(F62="Bet",K62,(I62-1)*K62),"")</f>
        <v/>
      </c>
    </row>
    <row r="63">
      <c r="A63" s="44" t="n">
        <v>46281</v>
      </c>
      <c r="B63" s="45" t="inlineStr">
        <is>
          <t>Doomben</t>
        </is>
      </c>
      <c r="C63" s="21" t="n">
        <v>5</v>
      </c>
      <c r="D63" s="21" t="n">
        <v>3</v>
      </c>
      <c r="E63" s="20" t="inlineStr">
        <is>
          <t>Captain Eagle</t>
        </is>
      </c>
      <c r="F63" s="52" t="inlineStr">
        <is>
          <t>Bet</t>
        </is>
      </c>
      <c r="G63" s="40" t="inlineStr">
        <is>
          <t>Bet</t>
        </is>
      </c>
      <c r="H63" s="48" t="n">
        <v>8.6</v>
      </c>
      <c r="I63" s="48" t="n">
        <v>11</v>
      </c>
      <c r="J63" s="22" t="n">
        <v>0.0252</v>
      </c>
      <c r="K63" s="49" t="n">
        <v>1</v>
      </c>
      <c r="L63" s="21" t="n">
        <v>8</v>
      </c>
      <c r="M63" s="46" t="inlineStr">
        <is>
          <t>Loss</t>
        </is>
      </c>
      <c r="N63" s="23">
        <f>IF(M63="Win",IF(F63="Bet",(I63-1)*K63,K63),IF(M63="Loss",IF(F63="Bet",-K63,-(I63-1)*K63),IF(M63="Void",0,"")))</f>
        <v/>
      </c>
      <c r="O63" s="24">
        <f>IF(OR(M63="Win",M63="Loss"),IF(F63="Bet",K63,(I63-1)*K63),"")</f>
        <v/>
      </c>
    </row>
    <row r="64">
      <c r="A64" s="37" t="n">
        <v>46281</v>
      </c>
      <c r="B64" s="38" t="inlineStr">
        <is>
          <t>Canterbury</t>
        </is>
      </c>
      <c r="C64" s="15" t="n">
        <v>7</v>
      </c>
      <c r="D64" s="15" t="n">
        <v>9</v>
      </c>
      <c r="E64" s="14" t="inlineStr">
        <is>
          <t>Rileycat</t>
        </is>
      </c>
      <c r="F64" s="39" t="inlineStr">
        <is>
          <t>Bet</t>
        </is>
      </c>
      <c r="G64" s="40" t="inlineStr">
        <is>
          <t>Bet</t>
        </is>
      </c>
      <c r="H64" s="41" t="n">
        <v>11.7</v>
      </c>
      <c r="I64" s="41" t="n">
        <v>17</v>
      </c>
      <c r="J64" s="16" t="n">
        <v>0.027</v>
      </c>
      <c r="K64" s="42" t="n">
        <v>1</v>
      </c>
      <c r="L64" s="15" t="n">
        <v>10</v>
      </c>
      <c r="M64" s="43" t="inlineStr">
        <is>
          <t>Loss</t>
        </is>
      </c>
      <c r="N64" s="17">
        <f>IF(M64="Win",IF(F64="Bet",(I64-1)*K64,K64),IF(M64="Loss",IF(F64="Bet",-K64,-(I64-1)*K64),IF(M64="Void",0,"")))</f>
        <v/>
      </c>
      <c r="O64" s="18">
        <f>IF(OR(M64="Win",M64="Loss"),IF(F64="Bet",K64,(I64-1)*K64),"")</f>
        <v/>
      </c>
    </row>
    <row r="65">
      <c r="A65" s="44" t="n">
        <v>46281</v>
      </c>
      <c r="B65" s="45" t="inlineStr">
        <is>
          <t>Caulfield Heath</t>
        </is>
      </c>
      <c r="C65" s="21" t="n">
        <v>7</v>
      </c>
      <c r="D65" s="21" t="n">
        <v>3</v>
      </c>
      <c r="E65" s="20" t="inlineStr">
        <is>
          <t>Angland</t>
        </is>
      </c>
      <c r="F65" s="52" t="inlineStr">
        <is>
          <t>Bet</t>
        </is>
      </c>
      <c r="G65" s="40" t="inlineStr">
        <is>
          <t>Bet</t>
        </is>
      </c>
      <c r="H65" s="48" t="n">
        <v>10.3</v>
      </c>
      <c r="I65" s="48" t="n">
        <v>14</v>
      </c>
      <c r="J65" s="22" t="n">
        <v>0.0255</v>
      </c>
      <c r="K65" s="49" t="n">
        <v>1</v>
      </c>
      <c r="L65" s="21" t="n">
        <v>3</v>
      </c>
      <c r="M65" s="46" t="inlineStr">
        <is>
          <t>Loss</t>
        </is>
      </c>
      <c r="N65" s="23">
        <f>IF(M65="Win",IF(F65="Bet",(I65-1)*K65,K65),IF(M65="Loss",IF(F65="Bet",-K65,-(I65-1)*K65),IF(M65="Void",0,"")))</f>
        <v/>
      </c>
      <c r="O65" s="24">
        <f>IF(OR(M65="Win",M65="Loss"),IF(F65="Bet",K65,(I65-1)*K65),"")</f>
        <v/>
      </c>
    </row>
    <row r="66">
      <c r="A66" s="37" t="n">
        <v>46283</v>
      </c>
      <c r="B66" s="38" t="inlineStr">
        <is>
          <t>Canberra</t>
        </is>
      </c>
      <c r="C66" s="15" t="n">
        <v>1</v>
      </c>
      <c r="D66" s="15" t="n">
        <v>2</v>
      </c>
      <c r="E66" s="14" t="inlineStr">
        <is>
          <t>Unmatched</t>
        </is>
      </c>
      <c r="F66" s="39" t="inlineStr">
        <is>
          <t>Bet</t>
        </is>
      </c>
      <c r="G66" s="53" t="inlineStr">
        <is>
          <t>Prime</t>
        </is>
      </c>
      <c r="H66" s="41" t="n">
        <v>5.2</v>
      </c>
      <c r="I66" s="41" t="n">
        <v>9.640000000000001</v>
      </c>
      <c r="J66" s="16" t="n">
        <v>0.027</v>
      </c>
      <c r="K66" s="42" t="n">
        <v>1</v>
      </c>
      <c r="L66" s="15" t="n">
        <v>3</v>
      </c>
      <c r="M66" s="43" t="inlineStr">
        <is>
          <t>Loss</t>
        </is>
      </c>
      <c r="N66" s="17">
        <f>IF(M66="Win",IF(F66="Bet",(I66-1)*K66,K66),IF(M66="Loss",IF(F66="Bet",-K66,-(I66-1)*K66),IF(M66="Void",0,"")))</f>
        <v/>
      </c>
      <c r="O66" s="18">
        <f>IF(OR(M66="Win",M66="Loss"),IF(F66="Bet",K66,(I66-1)*K66),"")</f>
        <v/>
      </c>
    </row>
    <row r="67">
      <c r="A67" s="44" t="n">
        <v>46283</v>
      </c>
      <c r="B67" s="45" t="inlineStr">
        <is>
          <t>Canberra</t>
        </is>
      </c>
      <c r="C67" s="21" t="n">
        <v>5</v>
      </c>
      <c r="D67" s="21" t="n">
        <v>3</v>
      </c>
      <c r="E67" s="20" t="inlineStr">
        <is>
          <t>Shaft Attack</t>
        </is>
      </c>
      <c r="F67" s="52" t="inlineStr">
        <is>
          <t>Bet</t>
        </is>
      </c>
      <c r="G67" s="40" t="inlineStr">
        <is>
          <t>Bet</t>
        </is>
      </c>
      <c r="H67" s="48" t="n">
        <v>6.3</v>
      </c>
      <c r="I67" s="48" t="n">
        <v>7.5</v>
      </c>
      <c r="J67" s="22" t="n">
        <v>0.0255</v>
      </c>
      <c r="K67" s="49" t="n">
        <v>1</v>
      </c>
      <c r="L67" s="21" t="n">
        <v>2</v>
      </c>
      <c r="M67" s="46" t="inlineStr">
        <is>
          <t>Loss</t>
        </is>
      </c>
      <c r="N67" s="23">
        <f>IF(M67="Win",IF(F67="Bet",(I67-1)*K67,K67),IF(M67="Loss",IF(F67="Bet",-K67,-(I67-1)*K67),IF(M67="Void",0,"")))</f>
        <v/>
      </c>
      <c r="O67" s="24">
        <f>IF(OR(M67="Win",M67="Loss"),IF(F67="Bet",K67,(I67-1)*K67),"")</f>
        <v/>
      </c>
    </row>
    <row r="68">
      <c r="A68" s="37" t="n">
        <v>46283</v>
      </c>
      <c r="B68" s="38" t="inlineStr">
        <is>
          <t>Townsville</t>
        </is>
      </c>
      <c r="C68" s="15" t="n">
        <v>8</v>
      </c>
      <c r="D68" s="15" t="n">
        <v>2</v>
      </c>
      <c r="E68" s="14" t="inlineStr">
        <is>
          <t>New Hampshire</t>
        </is>
      </c>
      <c r="F68" s="39" t="inlineStr">
        <is>
          <t>Bet</t>
        </is>
      </c>
      <c r="G68" s="40" t="inlineStr">
        <is>
          <t>Bet</t>
        </is>
      </c>
      <c r="H68" s="41" t="n">
        <v>11.3</v>
      </c>
      <c r="I68" s="41" t="n">
        <v>81</v>
      </c>
      <c r="J68" s="16" t="n">
        <v>0.0499</v>
      </c>
      <c r="K68" s="42" t="n">
        <v>1</v>
      </c>
      <c r="L68" s="15" t="n">
        <v>8</v>
      </c>
      <c r="M68" s="43" t="inlineStr">
        <is>
          <t>Loss</t>
        </is>
      </c>
      <c r="N68" s="17">
        <f>IF(M68="Win",IF(F68="Bet",(I68-1)*K68,K68),IF(M68="Loss",IF(F68="Bet",-K68,-(I68-1)*K68),IF(M68="Void",0,"")))</f>
        <v/>
      </c>
      <c r="O68" s="18">
        <f>IF(OR(M68="Win",M68="Loss"),IF(F68="Bet",K68,(I68-1)*K68),"")</f>
        <v/>
      </c>
    </row>
    <row r="69">
      <c r="A69" s="44" t="n">
        <v>46283</v>
      </c>
      <c r="B69" s="45" t="inlineStr">
        <is>
          <t>Townsville</t>
        </is>
      </c>
      <c r="C69" s="21" t="n">
        <v>8</v>
      </c>
      <c r="D69" s="21" t="n">
        <v>11</v>
      </c>
      <c r="E69" s="20" t="inlineStr">
        <is>
          <t>Singular</t>
        </is>
      </c>
      <c r="F69" s="52" t="inlineStr">
        <is>
          <t>Bet</t>
        </is>
      </c>
      <c r="G69" s="40" t="inlineStr">
        <is>
          <t>Bet</t>
        </is>
      </c>
      <c r="H69" s="48" t="n">
        <v>9.199999999999999</v>
      </c>
      <c r="I69" s="48" t="n">
        <v>23</v>
      </c>
      <c r="J69" s="22" t="n">
        <v>0.0537</v>
      </c>
      <c r="K69" s="49" t="n">
        <v>1</v>
      </c>
      <c r="L69" s="21" t="n">
        <v>7</v>
      </c>
      <c r="M69" s="46" t="inlineStr">
        <is>
          <t>Loss</t>
        </is>
      </c>
      <c r="N69" s="23">
        <f>IF(M69="Win",IF(F69="Bet",(I69-1)*K69,K69),IF(M69="Loss",IF(F69="Bet",-K69,-(I69-1)*K69),IF(M69="Void",0,"")))</f>
        <v/>
      </c>
      <c r="O69" s="24">
        <f>IF(OR(M69="Win",M69="Loss"),IF(F69="Bet",K69,(I69-1)*K69),"")</f>
        <v/>
      </c>
    </row>
    <row r="70">
      <c r="A70" s="37" t="n">
        <v>46283</v>
      </c>
      <c r="B70" s="38" t="inlineStr">
        <is>
          <t>Townsville</t>
        </is>
      </c>
      <c r="C70" s="15" t="n">
        <v>1</v>
      </c>
      <c r="D70" s="15" t="n">
        <v>3</v>
      </c>
      <c r="E70" s="14" t="inlineStr">
        <is>
          <t>Far And Wide</t>
        </is>
      </c>
      <c r="F70" s="39" t="inlineStr">
        <is>
          <t>Bet</t>
        </is>
      </c>
      <c r="G70" s="40" t="inlineStr">
        <is>
          <t>Bet</t>
        </is>
      </c>
      <c r="H70" s="41" t="n">
        <v>3.2</v>
      </c>
      <c r="I70" s="41" t="n">
        <v>4</v>
      </c>
      <c r="J70" s="16" t="n">
        <v>0.0616</v>
      </c>
      <c r="K70" s="42" t="n">
        <v>1</v>
      </c>
      <c r="L70" s="15" t="n">
        <v>2</v>
      </c>
      <c r="M70" s="43" t="inlineStr">
        <is>
          <t>Loss</t>
        </is>
      </c>
      <c r="N70" s="17">
        <f>IF(M70="Win",IF(F70="Bet",(I70-1)*K70,K70),IF(M70="Loss",IF(F70="Bet",-K70,-(I70-1)*K70),IF(M70="Void",0,"")))</f>
        <v/>
      </c>
      <c r="O70" s="18">
        <f>IF(OR(M70="Win",M70="Loss"),IF(F70="Bet",K70,(I70-1)*K70),"")</f>
        <v/>
      </c>
    </row>
    <row r="71">
      <c r="A71" s="44" t="n">
        <v>46283</v>
      </c>
      <c r="B71" s="45" t="inlineStr">
        <is>
          <t>Townsville</t>
        </is>
      </c>
      <c r="C71" s="21" t="n">
        <v>3</v>
      </c>
      <c r="D71" s="21" t="n">
        <v>5</v>
      </c>
      <c r="E71" s="20" t="inlineStr">
        <is>
          <t>Looming One</t>
        </is>
      </c>
      <c r="F71" s="52" t="inlineStr">
        <is>
          <t>Bet</t>
        </is>
      </c>
      <c r="G71" s="40" t="inlineStr">
        <is>
          <t>Bet</t>
        </is>
      </c>
      <c r="H71" s="48" t="n">
        <v>11.5</v>
      </c>
      <c r="I71" s="48" t="n">
        <v>26.89</v>
      </c>
      <c r="J71" s="22" t="n">
        <v>0.0201</v>
      </c>
      <c r="K71" s="49" t="n">
        <v>1</v>
      </c>
      <c r="L71" s="21" t="n">
        <v>1</v>
      </c>
      <c r="M71" s="50" t="inlineStr">
        <is>
          <t>Win</t>
        </is>
      </c>
      <c r="N71" s="23">
        <f>IF(M71="Win",IF(F71="Bet",(I71-1)*K71,K71),IF(M71="Loss",IF(F71="Bet",-K71,-(I71-1)*K71),IF(M71="Void",0,"")))</f>
        <v/>
      </c>
      <c r="O71" s="24">
        <f>IF(OR(M71="Win",M71="Loss"),IF(F71="Bet",K71,(I71-1)*K71),"")</f>
        <v/>
      </c>
    </row>
    <row r="72">
      <c r="A72" s="37" t="n">
        <v>46283</v>
      </c>
      <c r="B72" s="38" t="inlineStr">
        <is>
          <t>Newcastle</t>
        </is>
      </c>
      <c r="C72" s="15" t="n">
        <v>4</v>
      </c>
      <c r="D72" s="15" t="n">
        <v>5</v>
      </c>
      <c r="E72" s="14" t="inlineStr">
        <is>
          <t>Pride To Follow</t>
        </is>
      </c>
      <c r="F72" s="39" t="inlineStr">
        <is>
          <t>Bet</t>
        </is>
      </c>
      <c r="G72" s="40" t="inlineStr">
        <is>
          <t>Bet</t>
        </is>
      </c>
      <c r="H72" s="41" t="n">
        <v>10.9</v>
      </c>
      <c r="I72" s="41" t="n">
        <v>17</v>
      </c>
      <c r="J72" s="16" t="n">
        <v>0.02</v>
      </c>
      <c r="K72" s="42" t="n">
        <v>1</v>
      </c>
      <c r="L72" s="15" t="n">
        <v>3</v>
      </c>
      <c r="M72" s="43" t="inlineStr">
        <is>
          <t>Loss</t>
        </is>
      </c>
      <c r="N72" s="17">
        <f>IF(M72="Win",IF(F72="Bet",(I72-1)*K72,K72),IF(M72="Loss",IF(F72="Bet",-K72,-(I72-1)*K72),IF(M72="Void",0,"")))</f>
        <v/>
      </c>
      <c r="O72" s="18">
        <f>IF(OR(M72="Win",M72="Loss"),IF(F72="Bet",K72,(I72-1)*K72),"")</f>
        <v/>
      </c>
    </row>
    <row r="73">
      <c r="A73" s="44" t="n">
        <v>46283</v>
      </c>
      <c r="B73" s="45" t="inlineStr">
        <is>
          <t>Newcastle</t>
        </is>
      </c>
      <c r="C73" s="21" t="n">
        <v>1</v>
      </c>
      <c r="D73" s="21" t="n">
        <v>5</v>
      </c>
      <c r="E73" s="20" t="inlineStr">
        <is>
          <t>Think Itz You</t>
        </is>
      </c>
      <c r="F73" s="52" t="inlineStr">
        <is>
          <t>Bet</t>
        </is>
      </c>
      <c r="G73" s="40" t="inlineStr">
        <is>
          <t>Bet</t>
        </is>
      </c>
      <c r="H73" s="48" t="n">
        <v>3.1</v>
      </c>
      <c r="I73" s="48" t="n">
        <v>3.5</v>
      </c>
      <c r="J73" s="22" t="n">
        <v>0.0225</v>
      </c>
      <c r="K73" s="49" t="n">
        <v>1</v>
      </c>
      <c r="L73" s="21" t="n">
        <v>1</v>
      </c>
      <c r="M73" s="50" t="inlineStr">
        <is>
          <t>Win</t>
        </is>
      </c>
      <c r="N73" s="23">
        <f>IF(M73="Win",IF(F73="Bet",(I73-1)*K73,K73),IF(M73="Loss",IF(F73="Bet",-K73,-(I73-1)*K73),IF(M73="Void",0,"")))</f>
        <v/>
      </c>
      <c r="O73" s="24">
        <f>IF(OR(M73="Win",M73="Loss"),IF(F73="Bet",K73,(I73-1)*K73),"")</f>
        <v/>
      </c>
    </row>
    <row r="74">
      <c r="A74" s="37" t="n">
        <v>46283</v>
      </c>
      <c r="B74" s="38" t="inlineStr">
        <is>
          <t>Ballarat</t>
        </is>
      </c>
      <c r="C74" s="15" t="n">
        <v>2</v>
      </c>
      <c r="D74" s="15" t="n">
        <v>9</v>
      </c>
      <c r="E74" s="14" t="inlineStr">
        <is>
          <t>Miss Graff</t>
        </is>
      </c>
      <c r="F74" s="39" t="inlineStr">
        <is>
          <t>Bet</t>
        </is>
      </c>
      <c r="G74" s="40" t="inlineStr">
        <is>
          <t>Bet</t>
        </is>
      </c>
      <c r="H74" s="41" t="n">
        <v>4.2</v>
      </c>
      <c r="I74" s="41" t="n">
        <v>4.6</v>
      </c>
      <c r="J74" s="16" t="n">
        <v>0.0234</v>
      </c>
      <c r="K74" s="42" t="n">
        <v>1</v>
      </c>
      <c r="L74" s="15" t="n">
        <v>5</v>
      </c>
      <c r="M74" s="43" t="inlineStr">
        <is>
          <t>Loss</t>
        </is>
      </c>
      <c r="N74" s="17">
        <f>IF(M74="Win",IF(F74="Bet",(I74-1)*K74,K74),IF(M74="Loss",IF(F74="Bet",-K74,-(I74-1)*K74),IF(M74="Void",0,"")))</f>
        <v/>
      </c>
      <c r="O74" s="18">
        <f>IF(OR(M74="Win",M74="Loss"),IF(F74="Bet",K74,(I74-1)*K74),"")</f>
        <v/>
      </c>
    </row>
    <row r="75">
      <c r="A75" s="44" t="n">
        <v>46283</v>
      </c>
      <c r="B75" s="45" t="inlineStr">
        <is>
          <t>Ballarat</t>
        </is>
      </c>
      <c r="C75" s="21" t="n">
        <v>8</v>
      </c>
      <c r="D75" s="21" t="n">
        <v>4</v>
      </c>
      <c r="E75" s="20" t="inlineStr">
        <is>
          <t>Statuario</t>
        </is>
      </c>
      <c r="F75" s="52" t="inlineStr">
        <is>
          <t>Bet</t>
        </is>
      </c>
      <c r="G75" s="40" t="inlineStr">
        <is>
          <t>Bet</t>
        </is>
      </c>
      <c r="H75" s="48" t="n">
        <v>12.5</v>
      </c>
      <c r="I75" s="48" t="n">
        <v>19</v>
      </c>
      <c r="J75" s="22" t="n">
        <v>0.0246</v>
      </c>
      <c r="K75" s="49" t="n">
        <v>1</v>
      </c>
      <c r="L75" s="21" t="n">
        <v>10</v>
      </c>
      <c r="M75" s="46" t="inlineStr">
        <is>
          <t>Loss</t>
        </is>
      </c>
      <c r="N75" s="23">
        <f>IF(M75="Win",IF(F75="Bet",(I75-1)*K75,K75),IF(M75="Loss",IF(F75="Bet",-K75,-(I75-1)*K75),IF(M75="Void",0,"")))</f>
        <v/>
      </c>
      <c r="O75" s="24">
        <f>IF(OR(M75="Win",M75="Loss"),IF(F75="Bet",K75,(I75-1)*K75),"")</f>
        <v/>
      </c>
    </row>
    <row r="76">
      <c r="A76" s="37" t="n">
        <v>46283</v>
      </c>
      <c r="B76" s="38" t="inlineStr">
        <is>
          <t>Ballarat</t>
        </is>
      </c>
      <c r="C76" s="15" t="n">
        <v>6</v>
      </c>
      <c r="D76" s="15" t="n">
        <v>1</v>
      </c>
      <c r="E76" s="14" t="inlineStr">
        <is>
          <t>Commands Success</t>
        </is>
      </c>
      <c r="F76" s="39" t="inlineStr">
        <is>
          <t>Bet</t>
        </is>
      </c>
      <c r="G76" s="40" t="inlineStr">
        <is>
          <t>Bet</t>
        </is>
      </c>
      <c r="H76" s="41" t="n">
        <v>12</v>
      </c>
      <c r="I76" s="41" t="n">
        <v>16</v>
      </c>
      <c r="J76" s="16" t="n">
        <v>0.0208</v>
      </c>
      <c r="K76" s="42" t="n">
        <v>1</v>
      </c>
      <c r="L76" s="15" t="n">
        <v>8</v>
      </c>
      <c r="M76" s="43" t="inlineStr">
        <is>
          <t>Loss</t>
        </is>
      </c>
      <c r="N76" s="17">
        <f>IF(M76="Win",IF(F76="Bet",(I76-1)*K76,K76),IF(M76="Loss",IF(F76="Bet",-K76,-(I76-1)*K76),IF(M76="Void",0,"")))</f>
        <v/>
      </c>
      <c r="O76" s="18">
        <f>IF(OR(M76="Win",M76="Loss"),IF(F76="Bet",K76,(I76-1)*K76),"")</f>
        <v/>
      </c>
    </row>
    <row r="77">
      <c r="A77" s="44" t="n">
        <v>46283</v>
      </c>
      <c r="B77" s="45" t="inlineStr">
        <is>
          <t>Townsville</t>
        </is>
      </c>
      <c r="C77" s="21" t="n">
        <v>5</v>
      </c>
      <c r="D77" s="21" t="n">
        <v>9</v>
      </c>
      <c r="E77" s="20" t="inlineStr">
        <is>
          <t>She's A Sweet Star</t>
        </is>
      </c>
      <c r="F77" s="52" t="inlineStr">
        <is>
          <t>Bet</t>
        </is>
      </c>
      <c r="G77" s="40" t="inlineStr">
        <is>
          <t>Bet</t>
        </is>
      </c>
      <c r="H77" s="48" t="n">
        <v>7.9</v>
      </c>
      <c r="I77" s="48" t="n">
        <v>11</v>
      </c>
      <c r="J77" s="22" t="n">
        <v>0.0207</v>
      </c>
      <c r="K77" s="49" t="n">
        <v>1</v>
      </c>
      <c r="L77" s="21" t="n">
        <v>11</v>
      </c>
      <c r="M77" s="46" t="inlineStr">
        <is>
          <t>Loss</t>
        </is>
      </c>
      <c r="N77" s="23">
        <f>IF(M77="Win",IF(F77="Bet",(I77-1)*K77,K77),IF(M77="Loss",IF(F77="Bet",-K77,-(I77-1)*K77),IF(M77="Void",0,"")))</f>
        <v/>
      </c>
      <c r="O77" s="24">
        <f>IF(OR(M77="Win",M77="Loss"),IF(F77="Bet",K77,(I77-1)*K77),"")</f>
        <v/>
      </c>
    </row>
    <row r="78">
      <c r="A78" s="37" t="n">
        <v>46283</v>
      </c>
      <c r="B78" s="38" t="inlineStr">
        <is>
          <t>Ballarat</t>
        </is>
      </c>
      <c r="C78" s="15" t="n">
        <v>7</v>
      </c>
      <c r="D78" s="15" t="n">
        <v>10</v>
      </c>
      <c r="E78" s="14" t="inlineStr">
        <is>
          <t>Russian Choice</t>
        </is>
      </c>
      <c r="F78" s="39" t="inlineStr">
        <is>
          <t>Bet</t>
        </is>
      </c>
      <c r="G78" s="40" t="inlineStr">
        <is>
          <t>Bet</t>
        </is>
      </c>
      <c r="H78" s="41" t="n">
        <v>4.9</v>
      </c>
      <c r="I78" s="41" t="n">
        <v>5.5</v>
      </c>
      <c r="J78" s="16" t="n">
        <v>0.0232</v>
      </c>
      <c r="K78" s="42" t="n">
        <v>1</v>
      </c>
      <c r="L78" s="15" t="n">
        <v>10</v>
      </c>
      <c r="M78" s="43" t="inlineStr">
        <is>
          <t>Loss</t>
        </is>
      </c>
      <c r="N78" s="17">
        <f>IF(M78="Win",IF(F78="Bet",(I78-1)*K78,K78),IF(M78="Loss",IF(F78="Bet",-K78,-(I78-1)*K78),IF(M78="Void",0,"")))</f>
        <v/>
      </c>
      <c r="O78" s="18">
        <f>IF(OR(M78="Win",M78="Loss"),IF(F78="Bet",K78,(I78-1)*K78),"")</f>
        <v/>
      </c>
    </row>
    <row r="79">
      <c r="A79" s="44" t="n">
        <v>46283</v>
      </c>
      <c r="B79" s="45" t="inlineStr">
        <is>
          <t>Canberra</t>
        </is>
      </c>
      <c r="C79" s="21" t="n">
        <v>7</v>
      </c>
      <c r="D79" s="21" t="n">
        <v>9</v>
      </c>
      <c r="E79" s="20" t="inlineStr">
        <is>
          <t>Keikoku</t>
        </is>
      </c>
      <c r="F79" s="52" t="inlineStr">
        <is>
          <t>Bet</t>
        </is>
      </c>
      <c r="G79" s="40" t="inlineStr">
        <is>
          <t>Bet</t>
        </is>
      </c>
      <c r="H79" s="48" t="n">
        <v>7.2</v>
      </c>
      <c r="I79" s="48" t="n">
        <v>11.78</v>
      </c>
      <c r="J79" s="22" t="n">
        <v>0.0212</v>
      </c>
      <c r="K79" s="49" t="n">
        <v>1</v>
      </c>
      <c r="L79" s="21" t="n">
        <v>1</v>
      </c>
      <c r="M79" s="50" t="inlineStr">
        <is>
          <t>Win</t>
        </is>
      </c>
      <c r="N79" s="23">
        <f>IF(M79="Win",IF(F79="Bet",(I79-1)*K79,K79),IF(M79="Loss",IF(F79="Bet",-K79,-(I79-1)*K79),IF(M79="Void",0,"")))</f>
        <v/>
      </c>
      <c r="O79" s="24">
        <f>IF(OR(M79="Win",M79="Loss"),IF(F79="Bet",K79,(I79-1)*K79),"")</f>
        <v/>
      </c>
    </row>
    <row r="80">
      <c r="A80" s="37" t="n">
        <v>46283</v>
      </c>
      <c r="B80" s="38" t="inlineStr">
        <is>
          <t>Canberra</t>
        </is>
      </c>
      <c r="C80" s="15" t="n">
        <v>8</v>
      </c>
      <c r="D80" s="15" t="n">
        <v>1</v>
      </c>
      <c r="E80" s="14" t="inlineStr">
        <is>
          <t>Famoso</t>
        </is>
      </c>
      <c r="F80" s="39" t="inlineStr">
        <is>
          <t>Bet</t>
        </is>
      </c>
      <c r="G80" s="40" t="inlineStr">
        <is>
          <t>Bet</t>
        </is>
      </c>
      <c r="H80" s="41" t="n">
        <v>7.8</v>
      </c>
      <c r="I80" s="41" t="n">
        <v>9.5</v>
      </c>
      <c r="J80" s="16" t="n">
        <v>0.0232</v>
      </c>
      <c r="K80" s="42" t="n">
        <v>1</v>
      </c>
      <c r="L80" s="15" t="n">
        <v>5</v>
      </c>
      <c r="M80" s="43" t="inlineStr">
        <is>
          <t>Loss</t>
        </is>
      </c>
      <c r="N80" s="17">
        <f>IF(M80="Win",IF(F80="Bet",(I80-1)*K80,K80),IF(M80="Loss",IF(F80="Bet",-K80,-(I80-1)*K80),IF(M80="Void",0,"")))</f>
        <v/>
      </c>
      <c r="O80" s="18">
        <f>IF(OR(M80="Win",M80="Loss"),IF(F80="Bet",K80,(I80-1)*K80),"")</f>
        <v/>
      </c>
    </row>
    <row r="81">
      <c r="A81" s="44" t="n">
        <v>46283</v>
      </c>
      <c r="B81" s="45" t="inlineStr">
        <is>
          <t>Newcastle</t>
        </is>
      </c>
      <c r="C81" s="21" t="n">
        <v>7</v>
      </c>
      <c r="D81" s="21" t="n">
        <v>2</v>
      </c>
      <c r="E81" s="20" t="inlineStr">
        <is>
          <t>Vivy Air</t>
        </is>
      </c>
      <c r="F81" s="52" t="inlineStr">
        <is>
          <t>Bet</t>
        </is>
      </c>
      <c r="G81" s="56" t="inlineStr">
        <is>
          <t>Way</t>
        </is>
      </c>
      <c r="H81" s="48" t="n">
        <v>14.3</v>
      </c>
      <c r="I81" s="48" t="n">
        <v>21</v>
      </c>
      <c r="J81" s="22" t="n">
        <v>0.0222</v>
      </c>
      <c r="K81" s="49" t="n">
        <v>0.1</v>
      </c>
      <c r="L81" s="21" t="n">
        <v>8</v>
      </c>
      <c r="M81" s="46" t="inlineStr">
        <is>
          <t>Loss</t>
        </is>
      </c>
      <c r="N81" s="23">
        <f>IF(M81="Win",IF(F81="Bet",(I81-1)*K81,K81),IF(M81="Loss",IF(F81="Bet",-K81,-(I81-1)*K81),IF(M81="Void",0,"")))</f>
        <v/>
      </c>
      <c r="O81" s="24">
        <f>IF(OR(M81="Win",M81="Loss"),IF(F81="Bet",K81,(I81-1)*K81),"")</f>
        <v/>
      </c>
    </row>
    <row r="82">
      <c r="A82" s="37" t="n">
        <v>46283</v>
      </c>
      <c r="B82" s="38" t="inlineStr">
        <is>
          <t>Townsville</t>
        </is>
      </c>
      <c r="C82" s="15" t="n">
        <v>7</v>
      </c>
      <c r="D82" s="15" t="n">
        <v>4</v>
      </c>
      <c r="E82" s="14" t="inlineStr">
        <is>
          <t>Redlights On</t>
        </is>
      </c>
      <c r="F82" s="39" t="inlineStr">
        <is>
          <t>Bet</t>
        </is>
      </c>
      <c r="G82" s="56" t="inlineStr">
        <is>
          <t>Way</t>
        </is>
      </c>
      <c r="H82" s="41" t="n">
        <v>15.7</v>
      </c>
      <c r="I82" s="41" t="n">
        <v>23</v>
      </c>
      <c r="J82" s="16" t="n">
        <v>0.0203</v>
      </c>
      <c r="K82" s="42" t="n">
        <v>0.1</v>
      </c>
      <c r="L82" s="15" t="n">
        <v>7</v>
      </c>
      <c r="M82" s="43" t="inlineStr">
        <is>
          <t>Loss</t>
        </is>
      </c>
      <c r="N82" s="17">
        <f>IF(M82="Win",IF(F82="Bet",(I82-1)*K82,K82),IF(M82="Loss",IF(F82="Bet",-K82,-(I82-1)*K82),IF(M82="Void",0,"")))</f>
        <v/>
      </c>
      <c r="O82" s="18">
        <f>IF(OR(M82="Win",M82="Loss"),IF(F82="Bet",K82,(I82-1)*K82),"")</f>
        <v/>
      </c>
    </row>
    <row r="83">
      <c r="A83" s="44" t="n">
        <v>46283</v>
      </c>
      <c r="B83" s="45" t="inlineStr">
        <is>
          <t>Ballarat</t>
        </is>
      </c>
      <c r="C83" s="21" t="n">
        <v>9</v>
      </c>
      <c r="D83" s="21" t="n">
        <v>3</v>
      </c>
      <c r="E83" s="20" t="inlineStr">
        <is>
          <t>Almost An Angel</t>
        </is>
      </c>
      <c r="F83" s="52" t="inlineStr">
        <is>
          <t>Bet</t>
        </is>
      </c>
      <c r="G83" s="40" t="inlineStr">
        <is>
          <t>Bet</t>
        </is>
      </c>
      <c r="H83" s="48" t="n">
        <v>7.2</v>
      </c>
      <c r="I83" s="48" t="n">
        <v>8.5</v>
      </c>
      <c r="J83" s="22" t="n">
        <v>0.0214</v>
      </c>
      <c r="K83" s="49" t="n">
        <v>1</v>
      </c>
      <c r="L83" s="21" t="n">
        <v>6</v>
      </c>
      <c r="M83" s="46" t="inlineStr">
        <is>
          <t>Loss</t>
        </is>
      </c>
      <c r="N83" s="23">
        <f>IF(M83="Win",IF(F83="Bet",(I83-1)*K83,K83),IF(M83="Loss",IF(F83="Bet",-K83,-(I83-1)*K83),IF(M83="Void",0,"")))</f>
        <v/>
      </c>
      <c r="O83" s="24">
        <f>IF(OR(M83="Win",M83="Loss"),IF(F83="Bet",K83,(I83-1)*K83),"")</f>
        <v/>
      </c>
    </row>
    <row r="84">
      <c r="A84" s="37" t="n">
        <v>46284</v>
      </c>
      <c r="B84" s="38" t="inlineStr">
        <is>
          <t>Caulfield</t>
        </is>
      </c>
      <c r="C84" s="15" t="n">
        <v>4</v>
      </c>
      <c r="D84" s="15" t="n">
        <v>10</v>
      </c>
      <c r="E84" s="14" t="inlineStr">
        <is>
          <t>Saintly Dancer</t>
        </is>
      </c>
      <c r="F84" s="39" t="inlineStr">
        <is>
          <t>Bet</t>
        </is>
      </c>
      <c r="G84" s="40" t="inlineStr">
        <is>
          <t>Bet</t>
        </is>
      </c>
      <c r="H84" s="41" t="n">
        <v>6.3</v>
      </c>
      <c r="I84" s="41" t="n">
        <v>8.5</v>
      </c>
      <c r="J84" s="16" t="n">
        <v>0.0259</v>
      </c>
      <c r="K84" s="42" t="n">
        <v>1</v>
      </c>
      <c r="L84" s="15" t="n">
        <v>2</v>
      </c>
      <c r="M84" s="43" t="inlineStr">
        <is>
          <t>Loss</t>
        </is>
      </c>
      <c r="N84" s="17">
        <f>IF(M84="Win",IF(F84="Bet",(I84-1)*K84,K84),IF(M84="Loss",IF(F84="Bet",-K84,-(I84-1)*K84),IF(M84="Void",0,"")))</f>
        <v/>
      </c>
      <c r="O84" s="18">
        <f>IF(OR(M84="Win",M84="Loss"),IF(F84="Bet",K84,(I84-1)*K84),"")</f>
        <v/>
      </c>
    </row>
    <row r="85">
      <c r="A85" s="44" t="n">
        <v>46284</v>
      </c>
      <c r="B85" s="45" t="inlineStr">
        <is>
          <t>Wagga</t>
        </is>
      </c>
      <c r="C85" s="21" t="n">
        <v>4</v>
      </c>
      <c r="D85" s="21" t="n">
        <v>1</v>
      </c>
      <c r="E85" s="20" t="inlineStr">
        <is>
          <t>Super Paradise</t>
        </is>
      </c>
      <c r="F85" s="52" t="inlineStr">
        <is>
          <t>Bet</t>
        </is>
      </c>
      <c r="G85" s="40" t="inlineStr">
        <is>
          <t>Bet</t>
        </is>
      </c>
      <c r="H85" s="48" t="n">
        <v>9.6</v>
      </c>
      <c r="I85" s="48" t="n">
        <v>12</v>
      </c>
      <c r="J85" s="22" t="n">
        <v>0.0212</v>
      </c>
      <c r="K85" s="49" t="n">
        <v>1</v>
      </c>
      <c r="L85" s="21" t="n">
        <v>9</v>
      </c>
      <c r="M85" s="46" t="inlineStr">
        <is>
          <t>Loss</t>
        </is>
      </c>
      <c r="N85" s="23">
        <f>IF(M85="Win",IF(F85="Bet",(I85-1)*K85,K85),IF(M85="Loss",IF(F85="Bet",-K85,-(I85-1)*K85),IF(M85="Void",0,"")))</f>
        <v/>
      </c>
      <c r="O85" s="24">
        <f>IF(OR(M85="Win",M85="Loss"),IF(F85="Bet",K85,(I85-1)*K85),"")</f>
        <v/>
      </c>
    </row>
    <row r="86">
      <c r="A86" s="37" t="n">
        <v>46284</v>
      </c>
      <c r="B86" s="38" t="inlineStr">
        <is>
          <t>Bowraville</t>
        </is>
      </c>
      <c r="C86" s="15" t="n">
        <v>3</v>
      </c>
      <c r="D86" s="15" t="n">
        <v>1</v>
      </c>
      <c r="E86" s="14" t="inlineStr">
        <is>
          <t>Dis Is Heaven</t>
        </is>
      </c>
      <c r="F86" s="39" t="inlineStr">
        <is>
          <t>Bet</t>
        </is>
      </c>
      <c r="G86" s="53" t="inlineStr">
        <is>
          <t>Prime</t>
        </is>
      </c>
      <c r="H86" s="41" t="n">
        <v>1.95</v>
      </c>
      <c r="I86" s="41" t="n">
        <v>3.52</v>
      </c>
      <c r="J86" s="16" t="n">
        <v>0.0328</v>
      </c>
      <c r="K86" s="42" t="n">
        <v>1</v>
      </c>
      <c r="L86" s="15" t="n">
        <v>3</v>
      </c>
      <c r="M86" s="43" t="inlineStr">
        <is>
          <t>Loss</t>
        </is>
      </c>
      <c r="N86" s="17">
        <f>IF(M86="Win",IF(F86="Bet",(I86-1)*K86,K86),IF(M86="Loss",IF(F86="Bet",-K86,-(I86-1)*K86),IF(M86="Void",0,"")))</f>
        <v/>
      </c>
      <c r="O86" s="18">
        <f>IF(OR(M86="Win",M86="Loss"),IF(F86="Bet",K86,(I86-1)*K86),"")</f>
        <v/>
      </c>
    </row>
    <row r="87">
      <c r="A87" s="44" t="n">
        <v>46284</v>
      </c>
      <c r="B87" s="45" t="inlineStr">
        <is>
          <t>Randwick</t>
        </is>
      </c>
      <c r="C87" s="21" t="n">
        <v>1</v>
      </c>
      <c r="D87" s="21" t="n">
        <v>5</v>
      </c>
      <c r="E87" s="20" t="inlineStr">
        <is>
          <t>Brave Xena</t>
        </is>
      </c>
      <c r="F87" s="52" t="inlineStr">
        <is>
          <t>Bet</t>
        </is>
      </c>
      <c r="G87" s="40" t="inlineStr">
        <is>
          <t>Bet</t>
        </is>
      </c>
      <c r="H87" s="48" t="n">
        <v>5.9</v>
      </c>
      <c r="I87" s="48" t="n">
        <v>11.54</v>
      </c>
      <c r="J87" s="22" t="n">
        <v>0.0253</v>
      </c>
      <c r="K87" s="49" t="n">
        <v>1</v>
      </c>
      <c r="L87" s="21" t="n">
        <v>3</v>
      </c>
      <c r="M87" s="46" t="inlineStr">
        <is>
          <t>Loss</t>
        </is>
      </c>
      <c r="N87" s="23">
        <f>IF(M87="Win",IF(F87="Bet",(I87-1)*K87,K87),IF(M87="Loss",IF(F87="Bet",-K87,-(I87-1)*K87),IF(M87="Void",0,"")))</f>
        <v/>
      </c>
      <c r="O87" s="24">
        <f>IF(OR(M87="Win",M87="Loss"),IF(F87="Bet",K87,(I87-1)*K87),"")</f>
        <v/>
      </c>
    </row>
    <row r="88">
      <c r="A88" s="37" t="n">
        <v>46284</v>
      </c>
      <c r="B88" s="38" t="inlineStr">
        <is>
          <t>Newcastle</t>
        </is>
      </c>
      <c r="C88" s="15" t="n">
        <v>4</v>
      </c>
      <c r="D88" s="15" t="n">
        <v>5</v>
      </c>
      <c r="E88" s="14" t="inlineStr">
        <is>
          <t>Mr Fabulous</t>
        </is>
      </c>
      <c r="F88" s="39" t="inlineStr">
        <is>
          <t>Bet</t>
        </is>
      </c>
      <c r="G88" s="40" t="inlineStr">
        <is>
          <t>Bet</t>
        </is>
      </c>
      <c r="H88" s="41" t="n">
        <v>10</v>
      </c>
      <c r="I88" s="41" t="n">
        <v>18</v>
      </c>
      <c r="J88" s="16" t="n">
        <v>0.0287</v>
      </c>
      <c r="K88" s="42" t="n">
        <v>1</v>
      </c>
      <c r="L88" s="15" t="n">
        <v>4</v>
      </c>
      <c r="M88" s="43" t="inlineStr">
        <is>
          <t>Loss</t>
        </is>
      </c>
      <c r="N88" s="17">
        <f>IF(M88="Win",IF(F88="Bet",(I88-1)*K88,K88),IF(M88="Loss",IF(F88="Bet",-K88,-(I88-1)*K88),IF(M88="Void",0,"")))</f>
        <v/>
      </c>
      <c r="O88" s="18">
        <f>IF(OR(M88="Win",M88="Loss"),IF(F88="Bet",K88,(I88-1)*K88),"")</f>
        <v/>
      </c>
    </row>
    <row r="89">
      <c r="A89" s="44" t="n">
        <v>46284</v>
      </c>
      <c r="B89" s="45" t="inlineStr">
        <is>
          <t>Eagle Farm</t>
        </is>
      </c>
      <c r="C89" s="21" t="n">
        <v>5</v>
      </c>
      <c r="D89" s="21" t="n">
        <v>1</v>
      </c>
      <c r="E89" s="20" t="inlineStr">
        <is>
          <t>Imperial Force</t>
        </is>
      </c>
      <c r="F89" s="52" t="inlineStr">
        <is>
          <t>Bet</t>
        </is>
      </c>
      <c r="G89" s="40" t="inlineStr">
        <is>
          <t>Bet</t>
        </is>
      </c>
      <c r="H89" s="48" t="n">
        <v>8.5</v>
      </c>
      <c r="I89" s="48" t="n">
        <v>11</v>
      </c>
      <c r="J89" s="22" t="n">
        <v>0.027</v>
      </c>
      <c r="K89" s="49" t="n">
        <v>1</v>
      </c>
      <c r="L89" s="21" t="n">
        <v>5</v>
      </c>
      <c r="M89" s="46" t="inlineStr">
        <is>
          <t>Loss</t>
        </is>
      </c>
      <c r="N89" s="23">
        <f>IF(M89="Win",IF(F89="Bet",(I89-1)*K89,K89),IF(M89="Loss",IF(F89="Bet",-K89,-(I89-1)*K89),IF(M89="Void",0,"")))</f>
        <v/>
      </c>
      <c r="O89" s="24">
        <f>IF(OR(M89="Win",M89="Loss"),IF(F89="Bet",K89,(I89-1)*K89),"")</f>
        <v/>
      </c>
    </row>
    <row r="90">
      <c r="A90" s="37" t="n">
        <v>46284</v>
      </c>
      <c r="B90" s="38" t="inlineStr">
        <is>
          <t>Belmont</t>
        </is>
      </c>
      <c r="C90" s="15" t="n">
        <v>4</v>
      </c>
      <c r="D90" s="15" t="n">
        <v>1</v>
      </c>
      <c r="E90" s="14" t="inlineStr">
        <is>
          <t>Too Dardy</t>
        </is>
      </c>
      <c r="F90" s="39" t="inlineStr">
        <is>
          <t>Bet</t>
        </is>
      </c>
      <c r="G90" s="40" t="inlineStr">
        <is>
          <t>Bet</t>
        </is>
      </c>
      <c r="H90" s="41" t="n">
        <v>4.7</v>
      </c>
      <c r="I90" s="41" t="n">
        <v>5.5</v>
      </c>
      <c r="J90" s="16" t="n">
        <v>0.0317</v>
      </c>
      <c r="K90" s="42" t="n">
        <v>1</v>
      </c>
      <c r="L90" s="15" t="n">
        <v>2</v>
      </c>
      <c r="M90" s="43" t="inlineStr">
        <is>
          <t>Loss</t>
        </is>
      </c>
      <c r="N90" s="17">
        <f>IF(M90="Win",IF(F90="Bet",(I90-1)*K90,K90),IF(M90="Loss",IF(F90="Bet",-K90,-(I90-1)*K90),IF(M90="Void",0,"")))</f>
        <v/>
      </c>
      <c r="O90" s="18">
        <f>IF(OR(M90="Win",M90="Loss"),IF(F90="Bet",K90,(I90-1)*K90),"")</f>
        <v/>
      </c>
    </row>
    <row r="91">
      <c r="A91" s="44" t="n">
        <v>46284</v>
      </c>
      <c r="B91" s="45" t="inlineStr">
        <is>
          <t>Gold Coast</t>
        </is>
      </c>
      <c r="C91" s="21" t="n">
        <v>3</v>
      </c>
      <c r="D91" s="21" t="n">
        <v>11</v>
      </c>
      <c r="E91" s="20" t="inlineStr">
        <is>
          <t>Brain Wave</t>
        </is>
      </c>
      <c r="F91" s="52" t="inlineStr">
        <is>
          <t>Bet</t>
        </is>
      </c>
      <c r="G91" s="40" t="inlineStr">
        <is>
          <t>Bet</t>
        </is>
      </c>
      <c r="H91" s="48" t="n">
        <v>8.699999999999999</v>
      </c>
      <c r="I91" s="48" t="n">
        <v>12</v>
      </c>
      <c r="J91" s="22" t="n">
        <v>0.0318</v>
      </c>
      <c r="K91" s="49" t="n">
        <v>1</v>
      </c>
      <c r="L91" s="21" t="n"/>
      <c r="M91" s="55" t="inlineStr">
        <is>
          <t>Void</t>
        </is>
      </c>
      <c r="N91" s="23">
        <f>IF(M91="Win",IF(F91="Bet",(I91-1)*K91,K91),IF(M91="Loss",IF(F91="Bet",-K91,-(I91-1)*K91),IF(M91="Void",0,"")))</f>
        <v/>
      </c>
      <c r="O91" s="24">
        <f>IF(OR(M91="Win",M91="Loss"),IF(F91="Bet",K91,(I91-1)*K91),"")</f>
        <v/>
      </c>
    </row>
    <row r="92">
      <c r="A92" s="37" t="n">
        <v>46284</v>
      </c>
      <c r="B92" s="38" t="inlineStr">
        <is>
          <t>Eagle Farm</t>
        </is>
      </c>
      <c r="C92" s="15" t="n">
        <v>6</v>
      </c>
      <c r="D92" s="15" t="n">
        <v>1</v>
      </c>
      <c r="E92" s="14" t="inlineStr">
        <is>
          <t>Midnight Spirit</t>
        </is>
      </c>
      <c r="F92" s="39" t="inlineStr">
        <is>
          <t>Bet</t>
        </is>
      </c>
      <c r="G92" s="40" t="inlineStr">
        <is>
          <t>Bet</t>
        </is>
      </c>
      <c r="H92" s="41" t="n">
        <v>8.1</v>
      </c>
      <c r="I92" s="41" t="n">
        <v>11</v>
      </c>
      <c r="J92" s="16" t="n">
        <v>0.0325</v>
      </c>
      <c r="K92" s="42" t="n">
        <v>1</v>
      </c>
      <c r="L92" s="15" t="n">
        <v>3</v>
      </c>
      <c r="M92" s="43" t="inlineStr">
        <is>
          <t>Loss</t>
        </is>
      </c>
      <c r="N92" s="17">
        <f>IF(M92="Win",IF(F92="Bet",(I92-1)*K92,K92),IF(M92="Loss",IF(F92="Bet",-K92,-(I92-1)*K92),IF(M92="Void",0,"")))</f>
        <v/>
      </c>
      <c r="O92" s="18">
        <f>IF(OR(M92="Win",M92="Loss"),IF(F92="Bet",K92,(I92-1)*K92),"")</f>
        <v/>
      </c>
    </row>
    <row r="93">
      <c r="A93" s="44" t="n">
        <v>46284</v>
      </c>
      <c r="B93" s="45" t="inlineStr">
        <is>
          <t>Eagle Farm</t>
        </is>
      </c>
      <c r="C93" s="21" t="n">
        <v>6</v>
      </c>
      <c r="D93" s="21" t="n">
        <v>11</v>
      </c>
      <c r="E93" s="20" t="inlineStr">
        <is>
          <t>Miss Funny Honey</t>
        </is>
      </c>
      <c r="F93" s="52" t="inlineStr">
        <is>
          <t>Bet</t>
        </is>
      </c>
      <c r="G93" s="40" t="inlineStr">
        <is>
          <t>Bet</t>
        </is>
      </c>
      <c r="H93" s="48" t="n">
        <v>11.7</v>
      </c>
      <c r="I93" s="48" t="n">
        <v>16</v>
      </c>
      <c r="J93" s="22" t="n">
        <v>0.0231</v>
      </c>
      <c r="K93" s="49" t="n">
        <v>1</v>
      </c>
      <c r="L93" s="21" t="n"/>
      <c r="M93" s="55" t="inlineStr">
        <is>
          <t>Void</t>
        </is>
      </c>
      <c r="N93" s="23">
        <f>IF(M93="Win",IF(F93="Bet",(I93-1)*K93,K93),IF(M93="Loss",IF(F93="Bet",-K93,-(I93-1)*K93),IF(M93="Void",0,"")))</f>
        <v/>
      </c>
      <c r="O93" s="24">
        <f>IF(OR(M93="Win",M93="Loss"),IF(F93="Bet",K93,(I93-1)*K93),"")</f>
        <v/>
      </c>
    </row>
    <row r="94">
      <c r="A94" s="37" t="n">
        <v>46284</v>
      </c>
      <c r="B94" s="38" t="inlineStr">
        <is>
          <t>Morphettville Parks</t>
        </is>
      </c>
      <c r="C94" s="15" t="n">
        <v>4</v>
      </c>
      <c r="D94" s="15" t="n">
        <v>6</v>
      </c>
      <c r="E94" s="14" t="inlineStr">
        <is>
          <t>Flirt</t>
        </is>
      </c>
      <c r="F94" s="39" t="inlineStr">
        <is>
          <t>Bet</t>
        </is>
      </c>
      <c r="G94" s="40" t="inlineStr">
        <is>
          <t>Bet</t>
        </is>
      </c>
      <c r="H94" s="41" t="n">
        <v>10.4</v>
      </c>
      <c r="I94" s="41" t="n">
        <v>21.26</v>
      </c>
      <c r="J94" s="16" t="n">
        <v>0.0297</v>
      </c>
      <c r="K94" s="42" t="n">
        <v>1</v>
      </c>
      <c r="L94" s="15" t="n">
        <v>3</v>
      </c>
      <c r="M94" s="43" t="inlineStr">
        <is>
          <t>Loss</t>
        </is>
      </c>
      <c r="N94" s="17">
        <f>IF(M94="Win",IF(F94="Bet",(I94-1)*K94,K94),IF(M94="Loss",IF(F94="Bet",-K94,-(I94-1)*K94),IF(M94="Void",0,"")))</f>
        <v/>
      </c>
      <c r="O94" s="18">
        <f>IF(OR(M94="Win",M94="Loss"),IF(F94="Bet",K94,(I94-1)*K94),"")</f>
        <v/>
      </c>
    </row>
    <row r="95">
      <c r="A95" s="44" t="n">
        <v>46284</v>
      </c>
      <c r="B95" s="45" t="inlineStr">
        <is>
          <t>Morphettville Parks</t>
        </is>
      </c>
      <c r="C95" s="21" t="n">
        <v>4</v>
      </c>
      <c r="D95" s="21" t="n">
        <v>2</v>
      </c>
      <c r="E95" s="20" t="inlineStr">
        <is>
          <t>Codename</t>
        </is>
      </c>
      <c r="F95" s="52" t="inlineStr">
        <is>
          <t>Bet</t>
        </is>
      </c>
      <c r="G95" s="40" t="inlineStr">
        <is>
          <t>Bet</t>
        </is>
      </c>
      <c r="H95" s="48" t="n">
        <v>4.3</v>
      </c>
      <c r="I95" s="48" t="n">
        <v>7.5</v>
      </c>
      <c r="J95" s="22" t="n">
        <v>0.0233</v>
      </c>
      <c r="K95" s="49" t="n">
        <v>1</v>
      </c>
      <c r="L95" s="21" t="n">
        <v>5</v>
      </c>
      <c r="M95" s="46" t="inlineStr">
        <is>
          <t>Loss</t>
        </is>
      </c>
      <c r="N95" s="23">
        <f>IF(M95="Win",IF(F95="Bet",(I95-1)*K95,K95),IF(M95="Loss",IF(F95="Bet",-K95,-(I95-1)*K95),IF(M95="Void",0,"")))</f>
        <v/>
      </c>
      <c r="O95" s="24">
        <f>IF(OR(M95="Win",M95="Loss"),IF(F95="Bet",K95,(I95-1)*K95),"")</f>
        <v/>
      </c>
    </row>
    <row r="96">
      <c r="A96" s="37" t="n">
        <v>46284</v>
      </c>
      <c r="B96" s="38" t="inlineStr">
        <is>
          <t>Morphettville Parks</t>
        </is>
      </c>
      <c r="C96" s="15" t="n">
        <v>4</v>
      </c>
      <c r="D96" s="15" t="n">
        <v>9</v>
      </c>
      <c r="E96" s="14" t="inlineStr">
        <is>
          <t>Zoutrail</t>
        </is>
      </c>
      <c r="F96" s="39" t="inlineStr">
        <is>
          <t>Bet</t>
        </is>
      </c>
      <c r="G96" s="40" t="inlineStr">
        <is>
          <t>Bet</t>
        </is>
      </c>
      <c r="H96" s="41" t="n">
        <v>6.3</v>
      </c>
      <c r="I96" s="41" t="n">
        <v>9</v>
      </c>
      <c r="J96" s="16" t="n">
        <v>0.0468</v>
      </c>
      <c r="K96" s="42" t="n">
        <v>1</v>
      </c>
      <c r="L96" s="15" t="n">
        <v>6</v>
      </c>
      <c r="M96" s="43" t="inlineStr">
        <is>
          <t>Loss</t>
        </is>
      </c>
      <c r="N96" s="17">
        <f>IF(M96="Win",IF(F96="Bet",(I96-1)*K96,K96),IF(M96="Loss",IF(F96="Bet",-K96,-(I96-1)*K96),IF(M96="Void",0,"")))</f>
        <v/>
      </c>
      <c r="O96" s="18">
        <f>IF(OR(M96="Win",M96="Loss"),IF(F96="Bet",K96,(I96-1)*K96),"")</f>
        <v/>
      </c>
    </row>
    <row r="97">
      <c r="A97" s="44" t="n">
        <v>46284</v>
      </c>
      <c r="B97" s="45" t="inlineStr">
        <is>
          <t>Bowraville</t>
        </is>
      </c>
      <c r="C97" s="21" t="n">
        <v>5</v>
      </c>
      <c r="D97" s="21" t="n">
        <v>3</v>
      </c>
      <c r="E97" s="20" t="inlineStr">
        <is>
          <t>Checks'n'balances</t>
        </is>
      </c>
      <c r="F97" s="52" t="inlineStr">
        <is>
          <t>Bet</t>
        </is>
      </c>
      <c r="G97" s="40" t="inlineStr">
        <is>
          <t>Bet</t>
        </is>
      </c>
      <c r="H97" s="48" t="n">
        <v>4</v>
      </c>
      <c r="I97" s="48" t="n">
        <v>4.6</v>
      </c>
      <c r="J97" s="22" t="n">
        <v>0.034</v>
      </c>
      <c r="K97" s="49" t="n">
        <v>1</v>
      </c>
      <c r="L97" s="21" t="n">
        <v>7</v>
      </c>
      <c r="M97" s="46" t="inlineStr">
        <is>
          <t>Loss</t>
        </is>
      </c>
      <c r="N97" s="23">
        <f>IF(M97="Win",IF(F97="Bet",(I97-1)*K97,K97),IF(M97="Loss",IF(F97="Bet",-K97,-(I97-1)*K97),IF(M97="Void",0,"")))</f>
        <v/>
      </c>
      <c r="O97" s="24">
        <f>IF(OR(M97="Win",M97="Loss"),IF(F97="Bet",K97,(I97-1)*K97),"")</f>
        <v/>
      </c>
    </row>
    <row r="98">
      <c r="A98" s="37" t="n">
        <v>46284</v>
      </c>
      <c r="B98" s="38" t="inlineStr">
        <is>
          <t>Bowraville</t>
        </is>
      </c>
      <c r="C98" s="15" t="n">
        <v>5</v>
      </c>
      <c r="D98" s="15" t="n">
        <v>4</v>
      </c>
      <c r="E98" s="14" t="inlineStr">
        <is>
          <t>Raining Luck</t>
        </is>
      </c>
      <c r="F98" s="39" t="inlineStr">
        <is>
          <t>Bet</t>
        </is>
      </c>
      <c r="G98" s="56" t="inlineStr">
        <is>
          <t>Way</t>
        </is>
      </c>
      <c r="H98" s="41" t="n">
        <v>15.9</v>
      </c>
      <c r="I98" s="41" t="n">
        <v>51</v>
      </c>
      <c r="J98" s="16" t="n">
        <v>0.0433</v>
      </c>
      <c r="K98" s="42" t="n">
        <v>0.1</v>
      </c>
      <c r="L98" s="15" t="n">
        <v>3</v>
      </c>
      <c r="M98" s="43" t="inlineStr">
        <is>
          <t>Loss</t>
        </is>
      </c>
      <c r="N98" s="17">
        <f>IF(M98="Win",IF(F98="Bet",(I98-1)*K98,K98),IF(M98="Loss",IF(F98="Bet",-K98,-(I98-1)*K98),IF(M98="Void",0,"")))</f>
        <v/>
      </c>
      <c r="O98" s="18">
        <f>IF(OR(M98="Win",M98="Loss"),IF(F98="Bet",K98,(I98-1)*K98),"")</f>
        <v/>
      </c>
    </row>
    <row r="99">
      <c r="A99" s="44" t="n">
        <v>46284</v>
      </c>
      <c r="B99" s="45" t="inlineStr">
        <is>
          <t>Bowraville</t>
        </is>
      </c>
      <c r="C99" s="21" t="n">
        <v>5</v>
      </c>
      <c r="D99" s="21" t="n">
        <v>8</v>
      </c>
      <c r="E99" s="20" t="inlineStr">
        <is>
          <t>Sizzling Suzie</t>
        </is>
      </c>
      <c r="F99" s="52" t="inlineStr">
        <is>
          <t>Bet</t>
        </is>
      </c>
      <c r="G99" s="40" t="inlineStr">
        <is>
          <t>Bet</t>
        </is>
      </c>
      <c r="H99" s="48" t="n">
        <v>8.9</v>
      </c>
      <c r="I99" s="48" t="n">
        <v>19</v>
      </c>
      <c r="J99" s="22" t="n">
        <v>0.0593</v>
      </c>
      <c r="K99" s="49" t="n">
        <v>1</v>
      </c>
      <c r="L99" s="21" t="n">
        <v>4</v>
      </c>
      <c r="M99" s="46" t="inlineStr">
        <is>
          <t>Loss</t>
        </is>
      </c>
      <c r="N99" s="23">
        <f>IF(M99="Win",IF(F99="Bet",(I99-1)*K99,K99),IF(M99="Loss",IF(F99="Bet",-K99,-(I99-1)*K99),IF(M99="Void",0,"")))</f>
        <v/>
      </c>
      <c r="O99" s="24">
        <f>IF(OR(M99="Win",M99="Loss"),IF(F99="Bet",K99,(I99-1)*K99),"")</f>
        <v/>
      </c>
    </row>
    <row r="100">
      <c r="A100" s="37" t="n">
        <v>46284</v>
      </c>
      <c r="B100" s="38" t="inlineStr">
        <is>
          <t>Bowraville</t>
        </is>
      </c>
      <c r="C100" s="15" t="n">
        <v>5</v>
      </c>
      <c r="D100" s="15" t="n">
        <v>9</v>
      </c>
      <c r="E100" s="14" t="inlineStr">
        <is>
          <t>Ronardo</t>
        </is>
      </c>
      <c r="F100" s="39" t="inlineStr">
        <is>
          <t>Bet</t>
        </is>
      </c>
      <c r="G100" s="40" t="inlineStr">
        <is>
          <t>Bet</t>
        </is>
      </c>
      <c r="H100" s="41" t="n">
        <v>6.6</v>
      </c>
      <c r="I100" s="41" t="n">
        <v>15.5</v>
      </c>
      <c r="J100" s="16" t="n">
        <v>0.0261</v>
      </c>
      <c r="K100" s="42" t="n">
        <v>1</v>
      </c>
      <c r="L100" s="15" t="n">
        <v>2</v>
      </c>
      <c r="M100" s="43" t="inlineStr">
        <is>
          <t>Loss</t>
        </is>
      </c>
      <c r="N100" s="17">
        <f>IF(M100="Win",IF(F100="Bet",(I100-1)*K100,K100),IF(M100="Loss",IF(F100="Bet",-K100,-(I100-1)*K100),IF(M100="Void",0,"")))</f>
        <v/>
      </c>
      <c r="O100" s="18">
        <f>IF(OR(M100="Win",M100="Loss"),IF(F100="Bet",K100,(I100-1)*K100),"")</f>
        <v/>
      </c>
    </row>
    <row r="101">
      <c r="A101" s="44" t="n">
        <v>46284</v>
      </c>
      <c r="B101" s="45" t="inlineStr">
        <is>
          <t>Bowraville</t>
        </is>
      </c>
      <c r="C101" s="21" t="n">
        <v>5</v>
      </c>
      <c r="D101" s="21" t="n">
        <v>6</v>
      </c>
      <c r="E101" s="20" t="inlineStr">
        <is>
          <t>The Michael</t>
        </is>
      </c>
      <c r="F101" s="52" t="inlineStr">
        <is>
          <t>Bet</t>
        </is>
      </c>
      <c r="G101" s="56" t="inlineStr">
        <is>
          <t>Way</t>
        </is>
      </c>
      <c r="H101" s="48" t="n">
        <v>25.3</v>
      </c>
      <c r="I101" s="48" t="n">
        <v>81</v>
      </c>
      <c r="J101" s="22" t="n">
        <v>0.0272</v>
      </c>
      <c r="K101" s="49" t="n">
        <v>0.1</v>
      </c>
      <c r="L101" s="21" t="n">
        <v>5</v>
      </c>
      <c r="M101" s="46" t="inlineStr">
        <is>
          <t>Loss</t>
        </is>
      </c>
      <c r="N101" s="23">
        <f>IF(M101="Win",IF(F101="Bet",(I101-1)*K101,K101),IF(M101="Loss",IF(F101="Bet",-K101,-(I101-1)*K101),IF(M101="Void",0,"")))</f>
        <v/>
      </c>
      <c r="O101" s="24">
        <f>IF(OR(M101="Win",M101="Loss"),IF(F101="Bet",K101,(I101-1)*K101),"")</f>
        <v/>
      </c>
    </row>
    <row r="102">
      <c r="A102" s="37" t="n">
        <v>46284</v>
      </c>
      <c r="B102" s="38" t="inlineStr">
        <is>
          <t>Bowraville</t>
        </is>
      </c>
      <c r="C102" s="15" t="n">
        <v>5</v>
      </c>
      <c r="D102" s="15" t="n">
        <v>1</v>
      </c>
      <c r="E102" s="14" t="inlineStr">
        <is>
          <t>Bon Batan</t>
        </is>
      </c>
      <c r="F102" s="39" t="inlineStr">
        <is>
          <t>Bet</t>
        </is>
      </c>
      <c r="G102" s="56" t="inlineStr">
        <is>
          <t>Way</t>
        </is>
      </c>
      <c r="H102" s="41" t="n">
        <v>12.7</v>
      </c>
      <c r="I102" s="41" t="n">
        <v>29</v>
      </c>
      <c r="J102" s="16" t="n">
        <v>0.0444</v>
      </c>
      <c r="K102" s="42" t="n">
        <v>0.1</v>
      </c>
      <c r="L102" s="15" t="n">
        <v>6</v>
      </c>
      <c r="M102" s="43" t="inlineStr">
        <is>
          <t>Loss</t>
        </is>
      </c>
      <c r="N102" s="17">
        <f>IF(M102="Win",IF(F102="Bet",(I102-1)*K102,K102),IF(M102="Loss",IF(F102="Bet",-K102,-(I102-1)*K102),IF(M102="Void",0,"")))</f>
        <v/>
      </c>
      <c r="O102" s="18">
        <f>IF(OR(M102="Win",M102="Loss"),IF(F102="Bet",K102,(I102-1)*K102),"")</f>
        <v/>
      </c>
    </row>
    <row r="103">
      <c r="A103" s="44" t="n">
        <v>46284</v>
      </c>
      <c r="B103" s="45" t="inlineStr">
        <is>
          <t>Bowraville</t>
        </is>
      </c>
      <c r="C103" s="21" t="n">
        <v>5</v>
      </c>
      <c r="D103" s="21" t="n">
        <v>5</v>
      </c>
      <c r="E103" s="20" t="inlineStr">
        <is>
          <t>Strenuous</t>
        </is>
      </c>
      <c r="F103" s="52" t="inlineStr">
        <is>
          <t>Bet</t>
        </is>
      </c>
      <c r="G103" s="53" t="inlineStr">
        <is>
          <t>Prime</t>
        </is>
      </c>
      <c r="H103" s="48" t="n">
        <v>3.6</v>
      </c>
      <c r="I103" s="48" t="n">
        <v>4.6</v>
      </c>
      <c r="J103" s="22" t="n">
        <v>0.0634</v>
      </c>
      <c r="K103" s="49" t="n">
        <v>1</v>
      </c>
      <c r="L103" s="21" t="n">
        <v>1</v>
      </c>
      <c r="M103" s="50" t="inlineStr">
        <is>
          <t>Win</t>
        </is>
      </c>
      <c r="N103" s="23">
        <f>IF(M103="Win",IF(F103="Bet",(I103-1)*K103,K103),IF(M103="Loss",IF(F103="Bet",-K103,-(I103-1)*K103),IF(M103="Void",0,"")))</f>
        <v/>
      </c>
      <c r="O103" s="24">
        <f>IF(OR(M103="Win",M103="Loss"),IF(F103="Bet",K103,(I103-1)*K103),"")</f>
        <v/>
      </c>
    </row>
    <row r="104">
      <c r="A104" s="37" t="n">
        <v>46284</v>
      </c>
      <c r="B104" s="38" t="inlineStr">
        <is>
          <t>Eagle Farm</t>
        </is>
      </c>
      <c r="C104" s="15" t="n">
        <v>8</v>
      </c>
      <c r="D104" s="15" t="n">
        <v>6</v>
      </c>
      <c r="E104" s="14" t="inlineStr">
        <is>
          <t>Ciphertext</t>
        </is>
      </c>
      <c r="F104" s="39" t="inlineStr">
        <is>
          <t>Bet</t>
        </is>
      </c>
      <c r="G104" s="40" t="inlineStr">
        <is>
          <t>Bet</t>
        </is>
      </c>
      <c r="H104" s="41" t="n">
        <v>9.5</v>
      </c>
      <c r="I104" s="41" t="n">
        <v>13</v>
      </c>
      <c r="J104" s="16" t="n">
        <v>0.0282</v>
      </c>
      <c r="K104" s="42" t="n">
        <v>1</v>
      </c>
      <c r="L104" s="15" t="n">
        <v>5</v>
      </c>
      <c r="M104" s="43" t="inlineStr">
        <is>
          <t>Loss</t>
        </is>
      </c>
      <c r="N104" s="17">
        <f>IF(M104="Win",IF(F104="Bet",(I104-1)*K104,K104),IF(M104="Loss",IF(F104="Bet",-K104,-(I104-1)*K104),IF(M104="Void",0,"")))</f>
        <v/>
      </c>
      <c r="O104" s="18">
        <f>IF(OR(M104="Win",M104="Loss"),IF(F104="Bet",K104,(I104-1)*K104),"")</f>
        <v/>
      </c>
    </row>
    <row r="105">
      <c r="A105" s="44" t="n">
        <v>46284</v>
      </c>
      <c r="B105" s="45" t="inlineStr">
        <is>
          <t>Eagle Farm</t>
        </is>
      </c>
      <c r="C105" s="21" t="n">
        <v>8</v>
      </c>
      <c r="D105" s="21" t="n">
        <v>8</v>
      </c>
      <c r="E105" s="20" t="inlineStr">
        <is>
          <t>Life After Love</t>
        </is>
      </c>
      <c r="F105" s="52" t="inlineStr">
        <is>
          <t>Bet</t>
        </is>
      </c>
      <c r="G105" s="40" t="inlineStr">
        <is>
          <t>Bet</t>
        </is>
      </c>
      <c r="H105" s="48" t="n">
        <v>7.9</v>
      </c>
      <c r="I105" s="48" t="n">
        <v>13</v>
      </c>
      <c r="J105" s="22" t="n">
        <v>0.0501</v>
      </c>
      <c r="K105" s="49" t="n">
        <v>1</v>
      </c>
      <c r="L105" s="21" t="n">
        <v>4</v>
      </c>
      <c r="M105" s="46" t="inlineStr">
        <is>
          <t>Loss</t>
        </is>
      </c>
      <c r="N105" s="23">
        <f>IF(M105="Win",IF(F105="Bet",(I105-1)*K105,K105),IF(M105="Loss",IF(F105="Bet",-K105,-(I105-1)*K105),IF(M105="Void",0,"")))</f>
        <v/>
      </c>
      <c r="O105" s="24">
        <f>IF(OR(M105="Win",M105="Loss"),IF(F105="Bet",K105,(I105-1)*K105),"")</f>
        <v/>
      </c>
    </row>
    <row r="106">
      <c r="A106" s="37" t="n">
        <v>46284</v>
      </c>
      <c r="B106" s="38" t="inlineStr">
        <is>
          <t>Eagle Farm</t>
        </is>
      </c>
      <c r="C106" s="15" t="n">
        <v>8</v>
      </c>
      <c r="D106" s="15" t="n">
        <v>9</v>
      </c>
      <c r="E106" s="14" t="inlineStr">
        <is>
          <t>Don't Tellyafather</t>
        </is>
      </c>
      <c r="F106" s="39" t="inlineStr">
        <is>
          <t>Bet</t>
        </is>
      </c>
      <c r="G106" s="56" t="inlineStr">
        <is>
          <t>Way</t>
        </is>
      </c>
      <c r="H106" s="41" t="n">
        <v>15.3</v>
      </c>
      <c r="I106" s="41" t="n">
        <v>51</v>
      </c>
      <c r="J106" s="16" t="n">
        <v>0.0267</v>
      </c>
      <c r="K106" s="42" t="n">
        <v>0.1</v>
      </c>
      <c r="L106" s="15" t="n">
        <v>6</v>
      </c>
      <c r="M106" s="43" t="inlineStr">
        <is>
          <t>Loss</t>
        </is>
      </c>
      <c r="N106" s="17">
        <f>IF(M106="Win",IF(F106="Bet",(I106-1)*K106,K106),IF(M106="Loss",IF(F106="Bet",-K106,-(I106-1)*K106),IF(M106="Void",0,"")))</f>
        <v/>
      </c>
      <c r="O106" s="18">
        <f>IF(OR(M106="Win",M106="Loss"),IF(F106="Bet",K106,(I106-1)*K106),"")</f>
        <v/>
      </c>
    </row>
    <row r="107">
      <c r="A107" s="44" t="n">
        <v>46284</v>
      </c>
      <c r="B107" s="45" t="inlineStr">
        <is>
          <t>Eagle Farm</t>
        </is>
      </c>
      <c r="C107" s="21" t="n">
        <v>8</v>
      </c>
      <c r="D107" s="21" t="n">
        <v>1</v>
      </c>
      <c r="E107" s="20" t="inlineStr">
        <is>
          <t>Vanessi</t>
        </is>
      </c>
      <c r="F107" s="52" t="inlineStr">
        <is>
          <t>Bet</t>
        </is>
      </c>
      <c r="G107" s="40" t="inlineStr">
        <is>
          <t>Bet</t>
        </is>
      </c>
      <c r="H107" s="48" t="n">
        <v>5.4</v>
      </c>
      <c r="I107" s="48" t="n">
        <v>7</v>
      </c>
      <c r="J107" s="22" t="n">
        <v>0.0437</v>
      </c>
      <c r="K107" s="49" t="n">
        <v>1</v>
      </c>
      <c r="L107" s="21" t="n">
        <v>1</v>
      </c>
      <c r="M107" s="50" t="inlineStr">
        <is>
          <t>Win</t>
        </is>
      </c>
      <c r="N107" s="23">
        <f>IF(M107="Win",IF(F107="Bet",(I107-1)*K107,K107),IF(M107="Loss",IF(F107="Bet",-K107,-(I107-1)*K107),IF(M107="Void",0,"")))</f>
        <v/>
      </c>
      <c r="O107" s="24">
        <f>IF(OR(M107="Win",M107="Loss"),IF(F107="Bet",K107,(I107-1)*K107),"")</f>
        <v/>
      </c>
    </row>
    <row r="108">
      <c r="A108" s="37" t="n">
        <v>46284</v>
      </c>
      <c r="B108" s="38" t="inlineStr">
        <is>
          <t>Eagle Farm</t>
        </is>
      </c>
      <c r="C108" s="15" t="n">
        <v>8</v>
      </c>
      <c r="D108" s="15" t="n">
        <v>5</v>
      </c>
      <c r="E108" s="14" t="inlineStr">
        <is>
          <t>Idleonby</t>
        </is>
      </c>
      <c r="F108" s="39" t="inlineStr">
        <is>
          <t>Bet</t>
        </is>
      </c>
      <c r="G108" s="40" t="inlineStr">
        <is>
          <t>Bet</t>
        </is>
      </c>
      <c r="H108" s="41" t="n">
        <v>6.6</v>
      </c>
      <c r="I108" s="41" t="n">
        <v>30</v>
      </c>
      <c r="J108" s="16" t="n">
        <v>0.0412</v>
      </c>
      <c r="K108" s="42" t="n">
        <v>1</v>
      </c>
      <c r="L108" s="15" t="n">
        <v>3</v>
      </c>
      <c r="M108" s="43" t="inlineStr">
        <is>
          <t>Loss</t>
        </is>
      </c>
      <c r="N108" s="17">
        <f>IF(M108="Win",IF(F108="Bet",(I108-1)*K108,K108),IF(M108="Loss",IF(F108="Bet",-K108,-(I108-1)*K108),IF(M108="Void",0,"")))</f>
        <v/>
      </c>
      <c r="O108" s="18">
        <f>IF(OR(M108="Win",M108="Loss"),IF(F108="Bet",K108,(I108-1)*K108),"")</f>
        <v/>
      </c>
    </row>
    <row r="109">
      <c r="A109" s="44" t="n">
        <v>46284</v>
      </c>
      <c r="B109" s="45" t="inlineStr">
        <is>
          <t>Newcastle</t>
        </is>
      </c>
      <c r="C109" s="21" t="n">
        <v>7</v>
      </c>
      <c r="D109" s="21" t="n">
        <v>1</v>
      </c>
      <c r="E109" s="20" t="inlineStr">
        <is>
          <t>Art Volant</t>
        </is>
      </c>
      <c r="F109" s="52" t="inlineStr">
        <is>
          <t>Bet</t>
        </is>
      </c>
      <c r="G109" s="40" t="inlineStr">
        <is>
          <t>Bet</t>
        </is>
      </c>
      <c r="H109" s="48" t="n">
        <v>10.9</v>
      </c>
      <c r="I109" s="48" t="n">
        <v>15</v>
      </c>
      <c r="J109" s="22" t="n">
        <v>0.0202</v>
      </c>
      <c r="K109" s="49" t="n">
        <v>1</v>
      </c>
      <c r="L109" s="21" t="n">
        <v>2</v>
      </c>
      <c r="M109" s="46" t="inlineStr">
        <is>
          <t>Loss</t>
        </is>
      </c>
      <c r="N109" s="23">
        <f>IF(M109="Win",IF(F109="Bet",(I109-1)*K109,K109),IF(M109="Loss",IF(F109="Bet",-K109,-(I109-1)*K109),IF(M109="Void",0,"")))</f>
        <v/>
      </c>
      <c r="O109" s="24">
        <f>IF(OR(M109="Win",M109="Loss"),IF(F109="Bet",K109,(I109-1)*K109),"")</f>
        <v/>
      </c>
    </row>
    <row r="110">
      <c r="A110" s="37" t="n">
        <v>46284</v>
      </c>
      <c r="B110" s="38" t="inlineStr">
        <is>
          <t>Caulfield</t>
        </is>
      </c>
      <c r="C110" s="15" t="n">
        <v>2</v>
      </c>
      <c r="D110" s="15" t="n">
        <v>9</v>
      </c>
      <c r="E110" s="14" t="inlineStr">
        <is>
          <t>Quick Finish</t>
        </is>
      </c>
      <c r="F110" s="39" t="inlineStr">
        <is>
          <t>Bet</t>
        </is>
      </c>
      <c r="G110" s="40" t="inlineStr">
        <is>
          <t>Bet</t>
        </is>
      </c>
      <c r="H110" s="41" t="n">
        <v>5.1</v>
      </c>
      <c r="I110" s="41" t="n">
        <v>6.4</v>
      </c>
      <c r="J110" s="16" t="n">
        <v>0.0233</v>
      </c>
      <c r="K110" s="42" t="n">
        <v>1</v>
      </c>
      <c r="L110" s="15" t="n">
        <v>1</v>
      </c>
      <c r="M110" s="51" t="inlineStr">
        <is>
          <t>Win</t>
        </is>
      </c>
      <c r="N110" s="17">
        <f>IF(M110="Win",IF(F110="Bet",(I110-1)*K110,K110),IF(M110="Loss",IF(F110="Bet",-K110,-(I110-1)*K110),IF(M110="Void",0,"")))</f>
        <v/>
      </c>
      <c r="O110" s="18">
        <f>IF(OR(M110="Win",M110="Loss"),IF(F110="Bet",K110,(I110-1)*K110),"")</f>
        <v/>
      </c>
    </row>
    <row r="111">
      <c r="A111" s="44" t="n">
        <v>46284</v>
      </c>
      <c r="B111" s="45" t="inlineStr">
        <is>
          <t>Morphettville Parks</t>
        </is>
      </c>
      <c r="C111" s="21" t="n">
        <v>6</v>
      </c>
      <c r="D111" s="21" t="n">
        <v>1</v>
      </c>
      <c r="E111" s="20" t="inlineStr">
        <is>
          <t>Gusty Way</t>
        </is>
      </c>
      <c r="F111" s="52" t="inlineStr">
        <is>
          <t>Bet</t>
        </is>
      </c>
      <c r="G111" s="40" t="inlineStr">
        <is>
          <t>Bet</t>
        </is>
      </c>
      <c r="H111" s="48" t="n">
        <v>8</v>
      </c>
      <c r="I111" s="48" t="n">
        <v>14</v>
      </c>
      <c r="J111" s="22" t="n">
        <v>0.0249</v>
      </c>
      <c r="K111" s="49" t="n">
        <v>1</v>
      </c>
      <c r="L111" s="21" t="n">
        <v>5</v>
      </c>
      <c r="M111" s="46" t="inlineStr">
        <is>
          <t>Loss</t>
        </is>
      </c>
      <c r="N111" s="23">
        <f>IF(M111="Win",IF(F111="Bet",(I111-1)*K111,K111),IF(M111="Loss",IF(F111="Bet",-K111,-(I111-1)*K111),IF(M111="Void",0,"")))</f>
        <v/>
      </c>
      <c r="O111" s="24">
        <f>IF(OR(M111="Win",M111="Loss"),IF(F111="Bet",K111,(I111-1)*K111),"")</f>
        <v/>
      </c>
    </row>
    <row r="112">
      <c r="A112" s="37" t="n">
        <v>46284</v>
      </c>
      <c r="B112" s="38" t="inlineStr">
        <is>
          <t>Wagga</t>
        </is>
      </c>
      <c r="C112" s="15" t="n">
        <v>5</v>
      </c>
      <c r="D112" s="15" t="n">
        <v>6</v>
      </c>
      <c r="E112" s="14" t="inlineStr">
        <is>
          <t>Ferrari Man</t>
        </is>
      </c>
      <c r="F112" s="39" t="inlineStr">
        <is>
          <t>Bet</t>
        </is>
      </c>
      <c r="G112" s="40" t="inlineStr">
        <is>
          <t>Bet</t>
        </is>
      </c>
      <c r="H112" s="41" t="n">
        <v>5.6</v>
      </c>
      <c r="I112" s="41" t="n">
        <v>6.5</v>
      </c>
      <c r="J112" s="16" t="n">
        <v>0.0233</v>
      </c>
      <c r="K112" s="42" t="n">
        <v>1</v>
      </c>
      <c r="L112" s="15" t="n">
        <v>2</v>
      </c>
      <c r="M112" s="43" t="inlineStr">
        <is>
          <t>Loss</t>
        </is>
      </c>
      <c r="N112" s="17">
        <f>IF(M112="Win",IF(F112="Bet",(I112-1)*K112,K112),IF(M112="Loss",IF(F112="Bet",-K112,-(I112-1)*K112),IF(M112="Void",0,"")))</f>
        <v/>
      </c>
      <c r="O112" s="18">
        <f>IF(OR(M112="Win",M112="Loss"),IF(F112="Bet",K112,(I112-1)*K112),"")</f>
        <v/>
      </c>
    </row>
    <row r="113">
      <c r="A113" s="44" t="n">
        <v>46284</v>
      </c>
      <c r="B113" s="45" t="inlineStr">
        <is>
          <t>Echuca</t>
        </is>
      </c>
      <c r="C113" s="21" t="n">
        <v>3</v>
      </c>
      <c r="D113" s="21" t="n">
        <v>8</v>
      </c>
      <c r="E113" s="20" t="inlineStr">
        <is>
          <t>Julep</t>
        </is>
      </c>
      <c r="F113" s="52" t="inlineStr">
        <is>
          <t>Bet</t>
        </is>
      </c>
      <c r="G113" s="40" t="inlineStr">
        <is>
          <t>Bet</t>
        </is>
      </c>
      <c r="H113" s="48" t="n">
        <v>4.5</v>
      </c>
      <c r="I113" s="48" t="n">
        <v>8</v>
      </c>
      <c r="J113" s="22" t="n">
        <v>0.0201</v>
      </c>
      <c r="K113" s="49" t="n">
        <v>1</v>
      </c>
      <c r="L113" s="21" t="n">
        <v>7</v>
      </c>
      <c r="M113" s="46" t="inlineStr">
        <is>
          <t>Loss</t>
        </is>
      </c>
      <c r="N113" s="23">
        <f>IF(M113="Win",IF(F113="Bet",(I113-1)*K113,K113),IF(M113="Loss",IF(F113="Bet",-K113,-(I113-1)*K113),IF(M113="Void",0,"")))</f>
        <v/>
      </c>
      <c r="O113" s="24">
        <f>IF(OR(M113="Win",M113="Loss"),IF(F113="Bet",K113,(I113-1)*K113),"")</f>
        <v/>
      </c>
    </row>
    <row r="114">
      <c r="A114" s="37" t="n">
        <v>46284</v>
      </c>
      <c r="B114" s="38" t="inlineStr">
        <is>
          <t>Caulfield</t>
        </is>
      </c>
      <c r="C114" s="15" t="n">
        <v>1</v>
      </c>
      <c r="D114" s="15" t="n">
        <v>6</v>
      </c>
      <c r="E114" s="14" t="inlineStr">
        <is>
          <t>Fear No Evil</t>
        </is>
      </c>
      <c r="F114" s="39" t="inlineStr">
        <is>
          <t>Bet</t>
        </is>
      </c>
      <c r="G114" s="40" t="inlineStr">
        <is>
          <t>Bet</t>
        </is>
      </c>
      <c r="H114" s="41" t="n">
        <v>10.9</v>
      </c>
      <c r="I114" s="41" t="n">
        <v>19.5</v>
      </c>
      <c r="J114" s="16" t="n">
        <v>0.0205</v>
      </c>
      <c r="K114" s="42" t="n">
        <v>1</v>
      </c>
      <c r="L114" s="15" t="n">
        <v>4</v>
      </c>
      <c r="M114" s="43" t="inlineStr">
        <is>
          <t>Loss</t>
        </is>
      </c>
      <c r="N114" s="17">
        <f>IF(M114="Win",IF(F114="Bet",(I114-1)*K114,K114),IF(M114="Loss",IF(F114="Bet",-K114,-(I114-1)*K114),IF(M114="Void",0,"")))</f>
        <v/>
      </c>
      <c r="O114" s="18">
        <f>IF(OR(M114="Win",M114="Loss"),IF(F114="Bet",K114,(I114-1)*K114),"")</f>
        <v/>
      </c>
    </row>
    <row r="115">
      <c r="A115" s="44" t="n">
        <v>46284</v>
      </c>
      <c r="B115" s="45" t="inlineStr">
        <is>
          <t>Bowraville</t>
        </is>
      </c>
      <c r="C115" s="21" t="n">
        <v>2</v>
      </c>
      <c r="D115" s="21" t="n">
        <v>7</v>
      </c>
      <c r="E115" s="20" t="inlineStr">
        <is>
          <t>Midwest Princess</t>
        </is>
      </c>
      <c r="F115" s="52" t="inlineStr">
        <is>
          <t>Bet</t>
        </is>
      </c>
      <c r="G115" s="40" t="inlineStr">
        <is>
          <t>Bet</t>
        </is>
      </c>
      <c r="H115" s="48" t="n">
        <v>7.1</v>
      </c>
      <c r="I115" s="48" t="n">
        <v>8.5</v>
      </c>
      <c r="J115" s="22" t="n">
        <v>0.0229</v>
      </c>
      <c r="K115" s="49" t="n">
        <v>1</v>
      </c>
      <c r="L115" s="21" t="n">
        <v>7</v>
      </c>
      <c r="M115" s="46" t="inlineStr">
        <is>
          <t>Loss</t>
        </is>
      </c>
      <c r="N115" s="23">
        <f>IF(M115="Win",IF(F115="Bet",(I115-1)*K115,K115),IF(M115="Loss",IF(F115="Bet",-K115,-(I115-1)*K115),IF(M115="Void",0,"")))</f>
        <v/>
      </c>
      <c r="O115" s="24">
        <f>IF(OR(M115="Win",M115="Loss"),IF(F115="Bet",K115,(I115-1)*K115),"")</f>
        <v/>
      </c>
    </row>
    <row r="116">
      <c r="A116" s="37" t="n">
        <v>46284</v>
      </c>
      <c r="B116" s="38" t="inlineStr">
        <is>
          <t>Morphettville Parks</t>
        </is>
      </c>
      <c r="C116" s="15" t="n">
        <v>3</v>
      </c>
      <c r="D116" s="15" t="n">
        <v>7</v>
      </c>
      <c r="E116" s="14" t="inlineStr">
        <is>
          <t>Teardrop Rotation</t>
        </is>
      </c>
      <c r="F116" s="39" t="inlineStr">
        <is>
          <t>Bet</t>
        </is>
      </c>
      <c r="G116" s="40" t="inlineStr">
        <is>
          <t>Bet</t>
        </is>
      </c>
      <c r="H116" s="41" t="n">
        <v>10.7</v>
      </c>
      <c r="I116" s="41" t="n">
        <v>15.94</v>
      </c>
      <c r="J116" s="16" t="n">
        <v>0.0217</v>
      </c>
      <c r="K116" s="42" t="n">
        <v>1</v>
      </c>
      <c r="L116" s="15" t="n">
        <v>4</v>
      </c>
      <c r="M116" s="43" t="inlineStr">
        <is>
          <t>Loss</t>
        </is>
      </c>
      <c r="N116" s="17">
        <f>IF(M116="Win",IF(F116="Bet",(I116-1)*K116,K116),IF(M116="Loss",IF(F116="Bet",-K116,-(I116-1)*K116),IF(M116="Void",0,"")))</f>
        <v/>
      </c>
      <c r="O116" s="18">
        <f>IF(OR(M116="Win",M116="Loss"),IF(F116="Bet",K116,(I116-1)*K116),"")</f>
        <v/>
      </c>
    </row>
    <row r="117">
      <c r="A117" s="44" t="n">
        <v>46284</v>
      </c>
      <c r="B117" s="45" t="inlineStr">
        <is>
          <t>Wagga</t>
        </is>
      </c>
      <c r="C117" s="21" t="n">
        <v>2</v>
      </c>
      <c r="D117" s="21" t="n">
        <v>6</v>
      </c>
      <c r="E117" s="20" t="inlineStr">
        <is>
          <t>Icon Dream</t>
        </is>
      </c>
      <c r="F117" s="52" t="inlineStr">
        <is>
          <t>Bet</t>
        </is>
      </c>
      <c r="G117" s="40" t="inlineStr">
        <is>
          <t>Bet</t>
        </is>
      </c>
      <c r="H117" s="48" t="n">
        <v>11.1</v>
      </c>
      <c r="I117" s="48" t="n">
        <v>15</v>
      </c>
      <c r="J117" s="22" t="n">
        <v>0.0237</v>
      </c>
      <c r="K117" s="49" t="n">
        <v>1</v>
      </c>
      <c r="L117" s="21" t="n">
        <v>7</v>
      </c>
      <c r="M117" s="46" t="inlineStr">
        <is>
          <t>Loss</t>
        </is>
      </c>
      <c r="N117" s="23">
        <f>IF(M117="Win",IF(F117="Bet",(I117-1)*K117,K117),IF(M117="Loss",IF(F117="Bet",-K117,-(I117-1)*K117),IF(M117="Void",0,"")))</f>
        <v/>
      </c>
      <c r="O117" s="24">
        <f>IF(OR(M117="Win",M117="Loss"),IF(F117="Bet",K117,(I117-1)*K117),"")</f>
        <v/>
      </c>
    </row>
    <row r="118">
      <c r="A118" s="37" t="n">
        <v>46284</v>
      </c>
      <c r="B118" s="38" t="inlineStr">
        <is>
          <t>Randwick</t>
        </is>
      </c>
      <c r="C118" s="15" t="n">
        <v>5</v>
      </c>
      <c r="D118" s="15" t="n">
        <v>4</v>
      </c>
      <c r="E118" s="14" t="inlineStr">
        <is>
          <t>Linebacker</t>
        </is>
      </c>
      <c r="F118" s="39" t="inlineStr">
        <is>
          <t>Bet</t>
        </is>
      </c>
      <c r="G118" s="40" t="inlineStr">
        <is>
          <t>Bet</t>
        </is>
      </c>
      <c r="H118" s="41" t="n">
        <v>6.1</v>
      </c>
      <c r="I118" s="41" t="n">
        <v>7.5</v>
      </c>
      <c r="J118" s="16" t="n">
        <v>0.02</v>
      </c>
      <c r="K118" s="42" t="n">
        <v>1</v>
      </c>
      <c r="L118" s="15" t="n">
        <v>4</v>
      </c>
      <c r="M118" s="43" t="inlineStr">
        <is>
          <t>Loss</t>
        </is>
      </c>
      <c r="N118" s="17">
        <f>IF(M118="Win",IF(F118="Bet",(I118-1)*K118,K118),IF(M118="Loss",IF(F118="Bet",-K118,-(I118-1)*K118),IF(M118="Void",0,"")))</f>
        <v/>
      </c>
      <c r="O118" s="18">
        <f>IF(OR(M118="Win",M118="Loss"),IF(F118="Bet",K118,(I118-1)*K118),"")</f>
        <v/>
      </c>
    </row>
    <row r="119">
      <c r="A119" s="44" t="n">
        <v>46284</v>
      </c>
      <c r="B119" s="45" t="inlineStr">
        <is>
          <t>Gold Coast</t>
        </is>
      </c>
      <c r="C119" s="21" t="n">
        <v>8</v>
      </c>
      <c r="D119" s="21" t="n">
        <v>3</v>
      </c>
      <c r="E119" s="20" t="inlineStr">
        <is>
          <t>Chief In Charge</t>
        </is>
      </c>
      <c r="F119" s="52" t="inlineStr">
        <is>
          <t>Bet</t>
        </is>
      </c>
      <c r="G119" s="40" t="inlineStr">
        <is>
          <t>Bet</t>
        </is>
      </c>
      <c r="H119" s="48" t="n">
        <v>9</v>
      </c>
      <c r="I119" s="48" t="n">
        <v>14</v>
      </c>
      <c r="J119" s="22" t="n">
        <v>0.0202</v>
      </c>
      <c r="K119" s="49" t="n">
        <v>1</v>
      </c>
      <c r="L119" s="21" t="n">
        <v>8</v>
      </c>
      <c r="M119" s="46" t="inlineStr">
        <is>
          <t>Loss</t>
        </is>
      </c>
      <c r="N119" s="23">
        <f>IF(M119="Win",IF(F119="Bet",(I119-1)*K119,K119),IF(M119="Loss",IF(F119="Bet",-K119,-(I119-1)*K119),IF(M119="Void",0,"")))</f>
        <v/>
      </c>
      <c r="O119" s="24">
        <f>IF(OR(M119="Win",M119="Loss"),IF(F119="Bet",K119,(I119-1)*K119),"")</f>
        <v/>
      </c>
    </row>
    <row r="120">
      <c r="A120" s="37" t="n">
        <v>46284</v>
      </c>
      <c r="B120" s="38" t="inlineStr">
        <is>
          <t>Gold Coast</t>
        </is>
      </c>
      <c r="C120" s="15" t="n">
        <v>4</v>
      </c>
      <c r="D120" s="15" t="n">
        <v>7</v>
      </c>
      <c r="E120" s="14" t="inlineStr">
        <is>
          <t>Dark Arts</t>
        </is>
      </c>
      <c r="F120" s="39" t="inlineStr">
        <is>
          <t>Bet</t>
        </is>
      </c>
      <c r="G120" s="40" t="inlineStr">
        <is>
          <t>Bet</t>
        </is>
      </c>
      <c r="H120" s="41" t="n">
        <v>8.300000000000001</v>
      </c>
      <c r="I120" s="41" t="n">
        <v>10</v>
      </c>
      <c r="J120" s="16" t="n">
        <v>0.0212</v>
      </c>
      <c r="K120" s="42" t="n">
        <v>1</v>
      </c>
      <c r="L120" s="15" t="n">
        <v>5</v>
      </c>
      <c r="M120" s="43" t="inlineStr">
        <is>
          <t>Loss</t>
        </is>
      </c>
      <c r="N120" s="17">
        <f>IF(M120="Win",IF(F120="Bet",(I120-1)*K120,K120),IF(M120="Loss",IF(F120="Bet",-K120,-(I120-1)*K120),IF(M120="Void",0,"")))</f>
        <v/>
      </c>
      <c r="O120" s="18">
        <f>IF(OR(M120="Win",M120="Loss"),IF(F120="Bet",K120,(I120-1)*K120),"")</f>
        <v/>
      </c>
    </row>
    <row r="121">
      <c r="A121" s="44" t="n">
        <v>46284</v>
      </c>
      <c r="B121" s="45" t="inlineStr">
        <is>
          <t>Bowraville</t>
        </is>
      </c>
      <c r="C121" s="21" t="n">
        <v>4</v>
      </c>
      <c r="D121" s="21" t="n">
        <v>1</v>
      </c>
      <c r="E121" s="20" t="inlineStr">
        <is>
          <t>Farraige</t>
        </is>
      </c>
      <c r="F121" s="52" t="inlineStr">
        <is>
          <t>Bet</t>
        </is>
      </c>
      <c r="G121" s="40" t="inlineStr">
        <is>
          <t>Bet</t>
        </is>
      </c>
      <c r="H121" s="48" t="n">
        <v>6.9</v>
      </c>
      <c r="I121" s="48" t="n">
        <v>11</v>
      </c>
      <c r="J121" s="22" t="n">
        <v>0.0203</v>
      </c>
      <c r="K121" s="49" t="n">
        <v>1</v>
      </c>
      <c r="L121" s="21" t="n">
        <v>2</v>
      </c>
      <c r="M121" s="46" t="inlineStr">
        <is>
          <t>Loss</t>
        </is>
      </c>
      <c r="N121" s="23">
        <f>IF(M121="Win",IF(F121="Bet",(I121-1)*K121,K121),IF(M121="Loss",IF(F121="Bet",-K121,-(I121-1)*K121),IF(M121="Void",0,"")))</f>
        <v/>
      </c>
      <c r="O121" s="24">
        <f>IF(OR(M121="Win",M121="Loss"),IF(F121="Bet",K121,(I121-1)*K121),"")</f>
        <v/>
      </c>
    </row>
    <row r="122">
      <c r="A122" s="37" t="n">
        <v>46284</v>
      </c>
      <c r="B122" s="38" t="inlineStr">
        <is>
          <t>Mt Magnet</t>
        </is>
      </c>
      <c r="C122" s="15" t="n">
        <v>1</v>
      </c>
      <c r="D122" s="15" t="n">
        <v>2</v>
      </c>
      <c r="E122" s="14" t="inlineStr">
        <is>
          <t>Ginger Fizz</t>
        </is>
      </c>
      <c r="F122" s="39" t="inlineStr">
        <is>
          <t>Bet</t>
        </is>
      </c>
      <c r="G122" s="40" t="inlineStr">
        <is>
          <t>Bet</t>
        </is>
      </c>
      <c r="H122" s="41" t="n">
        <v>8.800000000000001</v>
      </c>
      <c r="I122" s="41" t="n">
        <v>12</v>
      </c>
      <c r="J122" s="16" t="n">
        <v>0.0232</v>
      </c>
      <c r="K122" s="42" t="n">
        <v>1</v>
      </c>
      <c r="L122" s="15" t="n"/>
      <c r="M122" s="54" t="inlineStr">
        <is>
          <t>Void</t>
        </is>
      </c>
      <c r="N122" s="17">
        <f>IF(M122="Win",IF(F122="Bet",(I122-1)*K122,K122),IF(M122="Loss",IF(F122="Bet",-K122,-(I122-1)*K122),IF(M122="Void",0,"")))</f>
        <v/>
      </c>
      <c r="O122" s="18">
        <f>IF(OR(M122="Win",M122="Loss"),IF(F122="Bet",K122,(I122-1)*K122),"")</f>
        <v/>
      </c>
    </row>
    <row r="123">
      <c r="A123" s="44" t="n">
        <v>46284</v>
      </c>
      <c r="B123" s="45" t="inlineStr">
        <is>
          <t>Randwick</t>
        </is>
      </c>
      <c r="C123" s="21" t="n">
        <v>8</v>
      </c>
      <c r="D123" s="21" t="n">
        <v>2</v>
      </c>
      <c r="E123" s="20" t="inlineStr">
        <is>
          <t>Gringotts</t>
        </is>
      </c>
      <c r="F123" s="52" t="inlineStr">
        <is>
          <t>Bet</t>
        </is>
      </c>
      <c r="G123" s="40" t="inlineStr">
        <is>
          <t>Bet</t>
        </is>
      </c>
      <c r="H123" s="48" t="n">
        <v>10.8</v>
      </c>
      <c r="I123" s="48" t="n">
        <v>14</v>
      </c>
      <c r="J123" s="22" t="n">
        <v>0.0212</v>
      </c>
      <c r="K123" s="49" t="n">
        <v>1</v>
      </c>
      <c r="L123" s="21" t="n">
        <v>5</v>
      </c>
      <c r="M123" s="46" t="inlineStr">
        <is>
          <t>Loss</t>
        </is>
      </c>
      <c r="N123" s="23">
        <f>IF(M123="Win",IF(F123="Bet",(I123-1)*K123,K123),IF(M123="Loss",IF(F123="Bet",-K123,-(I123-1)*K123),IF(M123="Void",0,"")))</f>
        <v/>
      </c>
      <c r="O123" s="24">
        <f>IF(OR(M123="Win",M123="Loss"),IF(F123="Bet",K123,(I123-1)*K123),"")</f>
        <v/>
      </c>
    </row>
    <row r="124">
      <c r="A124" s="37" t="n">
        <v>46284</v>
      </c>
      <c r="B124" s="38" t="inlineStr">
        <is>
          <t>Belmont</t>
        </is>
      </c>
      <c r="C124" s="15" t="n">
        <v>3</v>
      </c>
      <c r="D124" s="15" t="n">
        <v>3</v>
      </c>
      <c r="E124" s="14" t="inlineStr">
        <is>
          <t>Platinum Shot</t>
        </is>
      </c>
      <c r="F124" s="39" t="inlineStr">
        <is>
          <t>Bet</t>
        </is>
      </c>
      <c r="G124" s="40" t="inlineStr">
        <is>
          <t>Bet</t>
        </is>
      </c>
      <c r="H124" s="41" t="n">
        <v>11.4</v>
      </c>
      <c r="I124" s="41" t="n">
        <v>30.46</v>
      </c>
      <c r="J124" s="16" t="n">
        <v>0.0211</v>
      </c>
      <c r="K124" s="42" t="n">
        <v>1</v>
      </c>
      <c r="L124" s="15" t="n">
        <v>4</v>
      </c>
      <c r="M124" s="43" t="inlineStr">
        <is>
          <t>Loss</t>
        </is>
      </c>
      <c r="N124" s="17">
        <f>IF(M124="Win",IF(F124="Bet",(I124-1)*K124,K124),IF(M124="Loss",IF(F124="Bet",-K124,-(I124-1)*K124),IF(M124="Void",0,"")))</f>
        <v/>
      </c>
      <c r="O124" s="18">
        <f>IF(OR(M124="Win",M124="Loss"),IF(F124="Bet",K124,(I124-1)*K124),"")</f>
        <v/>
      </c>
    </row>
    <row r="125">
      <c r="A125" s="44" t="n">
        <v>46284</v>
      </c>
      <c r="B125" s="45" t="inlineStr">
        <is>
          <t>Belmont</t>
        </is>
      </c>
      <c r="C125" s="21" t="n">
        <v>3</v>
      </c>
      <c r="D125" s="21" t="n">
        <v>8</v>
      </c>
      <c r="E125" s="20" t="inlineStr">
        <is>
          <t>Country God</t>
        </is>
      </c>
      <c r="F125" s="52" t="inlineStr">
        <is>
          <t>Bet</t>
        </is>
      </c>
      <c r="G125" s="40" t="inlineStr">
        <is>
          <t>Bet</t>
        </is>
      </c>
      <c r="H125" s="48" t="n">
        <v>4.9</v>
      </c>
      <c r="I125" s="48" t="n">
        <v>6.53</v>
      </c>
      <c r="J125" s="22" t="n">
        <v>0.0212</v>
      </c>
      <c r="K125" s="49" t="n">
        <v>1</v>
      </c>
      <c r="L125" s="21" t="n">
        <v>2</v>
      </c>
      <c r="M125" s="46" t="inlineStr">
        <is>
          <t>Loss</t>
        </is>
      </c>
      <c r="N125" s="23">
        <f>IF(M125="Win",IF(F125="Bet",(I125-1)*K125,K125),IF(M125="Loss",IF(F125="Bet",-K125,-(I125-1)*K125),IF(M125="Void",0,"")))</f>
        <v/>
      </c>
      <c r="O125" s="24">
        <f>IF(OR(M125="Win",M125="Loss"),IF(F125="Bet",K125,(I125-1)*K125),"")</f>
        <v/>
      </c>
    </row>
    <row r="126">
      <c r="A126" s="37" t="n">
        <v>46284</v>
      </c>
      <c r="B126" s="38" t="inlineStr">
        <is>
          <t>Gold Coast</t>
        </is>
      </c>
      <c r="C126" s="15" t="n">
        <v>9</v>
      </c>
      <c r="D126" s="15" t="n">
        <v>2</v>
      </c>
      <c r="E126" s="14" t="inlineStr">
        <is>
          <t>Pocketmoney</t>
        </is>
      </c>
      <c r="F126" s="39" t="inlineStr">
        <is>
          <t>Bet</t>
        </is>
      </c>
      <c r="G126" s="40" t="inlineStr">
        <is>
          <t>Bet</t>
        </is>
      </c>
      <c r="H126" s="41" t="n">
        <v>8.9</v>
      </c>
      <c r="I126" s="41" t="n">
        <v>11</v>
      </c>
      <c r="J126" s="16" t="n">
        <v>0.0215</v>
      </c>
      <c r="K126" s="42" t="n">
        <v>1</v>
      </c>
      <c r="L126" s="15" t="n">
        <v>5</v>
      </c>
      <c r="M126" s="43" t="inlineStr">
        <is>
          <t>Loss</t>
        </is>
      </c>
      <c r="N126" s="17">
        <f>IF(M126="Win",IF(F126="Bet",(I126-1)*K126,K126),IF(M126="Loss",IF(F126="Bet",-K126,-(I126-1)*K126),IF(M126="Void",0,"")))</f>
        <v/>
      </c>
      <c r="O126" s="18">
        <f>IF(OR(M126="Win",M126="Loss"),IF(F126="Bet",K126,(I126-1)*K126),"")</f>
        <v/>
      </c>
    </row>
    <row r="127">
      <c r="A127" s="44" t="n">
        <v>46284</v>
      </c>
      <c r="B127" s="45" t="inlineStr">
        <is>
          <t>Morphettville Parks</t>
        </is>
      </c>
      <c r="C127" s="21" t="n">
        <v>9</v>
      </c>
      <c r="D127" s="21" t="n">
        <v>1</v>
      </c>
      <c r="E127" s="20" t="inlineStr">
        <is>
          <t>Scandalize</t>
        </is>
      </c>
      <c r="F127" s="52" t="inlineStr">
        <is>
          <t>Bet</t>
        </is>
      </c>
      <c r="G127" s="40" t="inlineStr">
        <is>
          <t>Bet</t>
        </is>
      </c>
      <c r="H127" s="48" t="n">
        <v>12.1</v>
      </c>
      <c r="I127" s="48" t="n">
        <v>21</v>
      </c>
      <c r="J127" s="22" t="n">
        <v>0.0201</v>
      </c>
      <c r="K127" s="49" t="n">
        <v>1</v>
      </c>
      <c r="L127" s="21" t="n">
        <v>8</v>
      </c>
      <c r="M127" s="46" t="inlineStr">
        <is>
          <t>Loss</t>
        </is>
      </c>
      <c r="N127" s="23">
        <f>IF(M127="Win",IF(F127="Bet",(I127-1)*K127,K127),IF(M127="Loss",IF(F127="Bet",-K127,-(I127-1)*K127),IF(M127="Void",0,"")))</f>
        <v/>
      </c>
      <c r="O127" s="24">
        <f>IF(OR(M127="Win",M127="Loss"),IF(F127="Bet",K127,(I127-1)*K127),"")</f>
        <v/>
      </c>
    </row>
    <row r="128">
      <c r="A128" s="37" t="n">
        <v>46284</v>
      </c>
      <c r="B128" s="38" t="inlineStr">
        <is>
          <t>Belmont</t>
        </is>
      </c>
      <c r="C128" s="15" t="n">
        <v>7</v>
      </c>
      <c r="D128" s="15" t="n">
        <v>4</v>
      </c>
      <c r="E128" s="14" t="inlineStr">
        <is>
          <t>Diamond Dancer</t>
        </is>
      </c>
      <c r="F128" s="39" t="inlineStr">
        <is>
          <t>Bet</t>
        </is>
      </c>
      <c r="G128" s="40" t="inlineStr">
        <is>
          <t>Bet</t>
        </is>
      </c>
      <c r="H128" s="41" t="n">
        <v>11.5</v>
      </c>
      <c r="I128" s="41" t="n">
        <v>15</v>
      </c>
      <c r="J128" s="16" t="n">
        <v>0.0202</v>
      </c>
      <c r="K128" s="42" t="n">
        <v>1</v>
      </c>
      <c r="L128" s="15" t="n">
        <v>7</v>
      </c>
      <c r="M128" s="43" t="inlineStr">
        <is>
          <t>Loss</t>
        </is>
      </c>
      <c r="N128" s="17">
        <f>IF(M128="Win",IF(F128="Bet",(I128-1)*K128,K128),IF(M128="Loss",IF(F128="Bet",-K128,-(I128-1)*K128),IF(M128="Void",0,"")))</f>
        <v/>
      </c>
      <c r="O128" s="18">
        <f>IF(OR(M128="Win",M128="Loss"),IF(F128="Bet",K128,(I128-1)*K128),"")</f>
        <v/>
      </c>
    </row>
    <row r="129">
      <c r="A129" s="44" t="n">
        <v>46285</v>
      </c>
      <c r="B129" s="45" t="inlineStr">
        <is>
          <t>Armidale</t>
        </is>
      </c>
      <c r="C129" s="21" t="n">
        <v>4</v>
      </c>
      <c r="D129" s="21" t="n">
        <v>9</v>
      </c>
      <c r="E129" s="20" t="inlineStr">
        <is>
          <t>Gyra</t>
        </is>
      </c>
      <c r="F129" s="52" t="inlineStr">
        <is>
          <t>Bet</t>
        </is>
      </c>
      <c r="G129" s="40" t="inlineStr">
        <is>
          <t>Bet</t>
        </is>
      </c>
      <c r="H129" s="48" t="n">
        <v>6.7</v>
      </c>
      <c r="I129" s="48" t="n">
        <v>26</v>
      </c>
      <c r="J129" s="22" t="n">
        <v>0.09669999999999999</v>
      </c>
      <c r="K129" s="49" t="n">
        <v>1</v>
      </c>
      <c r="L129" s="21" t="n">
        <v>7</v>
      </c>
      <c r="M129" s="46" t="inlineStr">
        <is>
          <t>Loss</t>
        </is>
      </c>
      <c r="N129" s="23">
        <f>IF(M129="Win",IF(F129="Bet",(I129-1)*K129,K129),IF(M129="Loss",IF(F129="Bet",-K129,-(I129-1)*K129),IF(M129="Void",0,"")))</f>
        <v/>
      </c>
      <c r="O129" s="24">
        <f>IF(OR(M129="Win",M129="Loss"),IF(F129="Bet",K129,(I129-1)*K129),"")</f>
        <v/>
      </c>
    </row>
    <row r="130">
      <c r="A130" s="37" t="n">
        <v>46285</v>
      </c>
      <c r="B130" s="38" t="inlineStr">
        <is>
          <t>Armidale</t>
        </is>
      </c>
      <c r="C130" s="15" t="n">
        <v>3</v>
      </c>
      <c r="D130" s="15" t="n">
        <v>6</v>
      </c>
      <c r="E130" s="14" t="inlineStr">
        <is>
          <t>Slugworth</t>
        </is>
      </c>
      <c r="F130" s="39" t="inlineStr">
        <is>
          <t>Bet</t>
        </is>
      </c>
      <c r="G130" s="53" t="inlineStr">
        <is>
          <t>Prime</t>
        </is>
      </c>
      <c r="H130" s="41" t="n">
        <v>4.9</v>
      </c>
      <c r="I130" s="41" t="n">
        <v>11</v>
      </c>
      <c r="J130" s="16" t="n">
        <v>0.0503</v>
      </c>
      <c r="K130" s="42" t="n">
        <v>1</v>
      </c>
      <c r="L130" s="15" t="n">
        <v>10</v>
      </c>
      <c r="M130" s="43" t="inlineStr">
        <is>
          <t>Loss</t>
        </is>
      </c>
      <c r="N130" s="17">
        <f>IF(M130="Win",IF(F130="Bet",(I130-1)*K130,K130),IF(M130="Loss",IF(F130="Bet",-K130,-(I130-1)*K130),IF(M130="Void",0,"")))</f>
        <v/>
      </c>
      <c r="O130" s="18">
        <f>IF(OR(M130="Win",M130="Loss"),IF(F130="Bet",K130,(I130-1)*K130),"")</f>
        <v/>
      </c>
    </row>
    <row r="131">
      <c r="A131" s="44" t="n">
        <v>46285</v>
      </c>
      <c r="B131" s="45" t="inlineStr">
        <is>
          <t>Bendigo</t>
        </is>
      </c>
      <c r="C131" s="21" t="n">
        <v>6</v>
      </c>
      <c r="D131" s="21" t="n">
        <v>9</v>
      </c>
      <c r="E131" s="20" t="inlineStr">
        <is>
          <t>Moral Turpitude</t>
        </is>
      </c>
      <c r="F131" s="52" t="inlineStr">
        <is>
          <t>Bet</t>
        </is>
      </c>
      <c r="G131" s="56" t="inlineStr">
        <is>
          <t>Way</t>
        </is>
      </c>
      <c r="H131" s="48" t="n">
        <v>19.9</v>
      </c>
      <c r="I131" s="48" t="n">
        <v>101</v>
      </c>
      <c r="J131" s="22" t="n">
        <v>0.0307</v>
      </c>
      <c r="K131" s="49" t="n">
        <v>0.1</v>
      </c>
      <c r="L131" s="21" t="n">
        <v>8</v>
      </c>
      <c r="M131" s="46" t="inlineStr">
        <is>
          <t>Loss</t>
        </is>
      </c>
      <c r="N131" s="23">
        <f>IF(M131="Win",IF(F131="Bet",(I131-1)*K131,K131),IF(M131="Loss",IF(F131="Bet",-K131,-(I131-1)*K131),IF(M131="Void",0,"")))</f>
        <v/>
      </c>
      <c r="O131" s="24">
        <f>IF(OR(M131="Win",M131="Loss"),IF(F131="Bet",K131,(I131-1)*K131),"")</f>
        <v/>
      </c>
    </row>
    <row r="132">
      <c r="A132" s="37" t="n">
        <v>46285</v>
      </c>
      <c r="B132" s="38" t="inlineStr">
        <is>
          <t>Armidale</t>
        </is>
      </c>
      <c r="C132" s="15" t="n">
        <v>5</v>
      </c>
      <c r="D132" s="15" t="n">
        <v>7</v>
      </c>
      <c r="E132" s="14" t="inlineStr">
        <is>
          <t>Extreme Merger</t>
        </is>
      </c>
      <c r="F132" s="39" t="inlineStr">
        <is>
          <t>Bet</t>
        </is>
      </c>
      <c r="G132" s="40" t="inlineStr">
        <is>
          <t>Bet</t>
        </is>
      </c>
      <c r="H132" s="41" t="n">
        <v>11.5</v>
      </c>
      <c r="I132" s="41" t="n">
        <v>15</v>
      </c>
      <c r="J132" s="16" t="n">
        <v>0.02</v>
      </c>
      <c r="K132" s="42" t="n">
        <v>1</v>
      </c>
      <c r="L132" s="15" t="n">
        <v>8</v>
      </c>
      <c r="M132" s="43" t="inlineStr">
        <is>
          <t>Loss</t>
        </is>
      </c>
      <c r="N132" s="17">
        <f>IF(M132="Win",IF(F132="Bet",(I132-1)*K132,K132),IF(M132="Loss",IF(F132="Bet",-K132,-(I132-1)*K132),IF(M132="Void",0,"")))</f>
        <v/>
      </c>
      <c r="O132" s="18">
        <f>IF(OR(M132="Win",M132="Loss"),IF(F132="Bet",K132,(I132-1)*K132),"")</f>
        <v/>
      </c>
    </row>
    <row r="133">
      <c r="A133" s="44" t="n">
        <v>46285</v>
      </c>
      <c r="B133" s="45" t="inlineStr">
        <is>
          <t>Nowra</t>
        </is>
      </c>
      <c r="C133" s="21" t="n">
        <v>4</v>
      </c>
      <c r="D133" s="21" t="n">
        <v>1</v>
      </c>
      <c r="E133" s="20" t="inlineStr">
        <is>
          <t>Winning Point</t>
        </is>
      </c>
      <c r="F133" s="52" t="inlineStr">
        <is>
          <t>Bet</t>
        </is>
      </c>
      <c r="G133" s="40" t="inlineStr">
        <is>
          <t>Bet</t>
        </is>
      </c>
      <c r="H133" s="48" t="n">
        <v>9</v>
      </c>
      <c r="I133" s="48" t="n">
        <v>15</v>
      </c>
      <c r="J133" s="22" t="n">
        <v>0.02</v>
      </c>
      <c r="K133" s="49" t="n">
        <v>1</v>
      </c>
      <c r="L133" s="21" t="n">
        <v>4</v>
      </c>
      <c r="M133" s="46" t="inlineStr">
        <is>
          <t>Loss</t>
        </is>
      </c>
      <c r="N133" s="23">
        <f>IF(M133="Win",IF(F133="Bet",(I133-1)*K133,K133),IF(M133="Loss",IF(F133="Bet",-K133,-(I133-1)*K133),IF(M133="Void",0,"")))</f>
        <v/>
      </c>
      <c r="O133" s="24">
        <f>IF(OR(M133="Win",M133="Loss"),IF(F133="Bet",K133,(I133-1)*K133),"")</f>
        <v/>
      </c>
    </row>
    <row r="134">
      <c r="A134" s="37" t="n">
        <v>46285</v>
      </c>
      <c r="B134" s="38" t="inlineStr">
        <is>
          <t>Nowra</t>
        </is>
      </c>
      <c r="C134" s="15" t="n">
        <v>5</v>
      </c>
      <c r="D134" s="15" t="n">
        <v>1</v>
      </c>
      <c r="E134" s="14" t="inlineStr">
        <is>
          <t>Kiss Of Gold</t>
        </is>
      </c>
      <c r="F134" s="39" t="inlineStr">
        <is>
          <t>Bet</t>
        </is>
      </c>
      <c r="G134" s="40" t="inlineStr">
        <is>
          <t>Bet</t>
        </is>
      </c>
      <c r="H134" s="41" t="n">
        <v>8</v>
      </c>
      <c r="I134" s="41" t="n">
        <v>11.5</v>
      </c>
      <c r="J134" s="16" t="n">
        <v>0.0201</v>
      </c>
      <c r="K134" s="42" t="n">
        <v>1</v>
      </c>
      <c r="L134" s="15" t="n">
        <v>4</v>
      </c>
      <c r="M134" s="43" t="inlineStr">
        <is>
          <t>Loss</t>
        </is>
      </c>
      <c r="N134" s="17">
        <f>IF(M134="Win",IF(F134="Bet",(I134-1)*K134,K134),IF(M134="Loss",IF(F134="Bet",-K134,-(I134-1)*K134),IF(M134="Void",0,"")))</f>
        <v/>
      </c>
      <c r="O134" s="18">
        <f>IF(OR(M134="Win",M134="Loss"),IF(F134="Bet",K134,(I134-1)*K134),"")</f>
        <v/>
      </c>
    </row>
    <row r="135">
      <c r="A135" s="44" t="n">
        <v>46285</v>
      </c>
      <c r="B135" s="45" t="inlineStr">
        <is>
          <t>Mount Gambier</t>
        </is>
      </c>
      <c r="C135" s="21" t="n">
        <v>2</v>
      </c>
      <c r="D135" s="21" t="n">
        <v>8</v>
      </c>
      <c r="E135" s="20" t="inlineStr">
        <is>
          <t>Roll With It</t>
        </is>
      </c>
      <c r="F135" s="52" t="inlineStr">
        <is>
          <t>Bet</t>
        </is>
      </c>
      <c r="G135" s="40" t="inlineStr">
        <is>
          <t>Bet</t>
        </is>
      </c>
      <c r="H135" s="48" t="n">
        <v>6.9</v>
      </c>
      <c r="I135" s="48" t="n">
        <v>8.5</v>
      </c>
      <c r="J135" s="22" t="n">
        <v>0.0203</v>
      </c>
      <c r="K135" s="49" t="n">
        <v>1</v>
      </c>
      <c r="L135" s="21" t="n">
        <v>4</v>
      </c>
      <c r="M135" s="46" t="inlineStr">
        <is>
          <t>Loss</t>
        </is>
      </c>
      <c r="N135" s="23">
        <f>IF(M135="Win",IF(F135="Bet",(I135-1)*K135,K135),IF(M135="Loss",IF(F135="Bet",-K135,-(I135-1)*K135),IF(M135="Void",0,"")))</f>
        <v/>
      </c>
      <c r="O135" s="24">
        <f>IF(OR(M135="Win",M135="Loss"),IF(F135="Bet",K135,(I135-1)*K135),"")</f>
        <v/>
      </c>
    </row>
    <row r="136">
      <c r="A136" s="37" t="n">
        <v>46285</v>
      </c>
      <c r="B136" s="38" t="inlineStr">
        <is>
          <t>Bendigo</t>
        </is>
      </c>
      <c r="C136" s="15" t="n">
        <v>5</v>
      </c>
      <c r="D136" s="15" t="n">
        <v>9</v>
      </c>
      <c r="E136" s="14" t="inlineStr">
        <is>
          <t>No Overtaking</t>
        </is>
      </c>
      <c r="F136" s="39" t="inlineStr">
        <is>
          <t>Bet</t>
        </is>
      </c>
      <c r="G136" s="40" t="inlineStr">
        <is>
          <t>Bet</t>
        </is>
      </c>
      <c r="H136" s="41" t="n">
        <v>8.699999999999999</v>
      </c>
      <c r="I136" s="41" t="n">
        <v>12</v>
      </c>
      <c r="J136" s="16" t="n">
        <v>0.0315</v>
      </c>
      <c r="K136" s="42" t="n">
        <v>1</v>
      </c>
      <c r="L136" s="15" t="n">
        <v>8</v>
      </c>
      <c r="M136" s="43" t="inlineStr">
        <is>
          <t>Loss</t>
        </is>
      </c>
      <c r="N136" s="17">
        <f>IF(M136="Win",IF(F136="Bet",(I136-1)*K136,K136),IF(M136="Loss",IF(F136="Bet",-K136,-(I136-1)*K136),IF(M136="Void",0,"")))</f>
        <v/>
      </c>
      <c r="O136" s="18">
        <f>IF(OR(M136="Win",M136="Loss"),IF(F136="Bet",K136,(I136-1)*K136),"")</f>
        <v/>
      </c>
    </row>
    <row r="137">
      <c r="A137" s="44" t="n">
        <v>46285</v>
      </c>
      <c r="B137" s="45" t="inlineStr">
        <is>
          <t>Bendigo</t>
        </is>
      </c>
      <c r="C137" s="21" t="n">
        <v>5</v>
      </c>
      <c r="D137" s="21" t="n">
        <v>6</v>
      </c>
      <c r="E137" s="20" t="inlineStr">
        <is>
          <t>Elena Montero</t>
        </is>
      </c>
      <c r="F137" s="52" t="inlineStr">
        <is>
          <t>Bet</t>
        </is>
      </c>
      <c r="G137" s="40" t="inlineStr">
        <is>
          <t>Bet</t>
        </is>
      </c>
      <c r="H137" s="48" t="n">
        <v>9.5</v>
      </c>
      <c r="I137" s="48" t="n">
        <v>14</v>
      </c>
      <c r="J137" s="22" t="n">
        <v>0.0336</v>
      </c>
      <c r="K137" s="49" t="n">
        <v>1</v>
      </c>
      <c r="L137" s="21" t="n">
        <v>6</v>
      </c>
      <c r="M137" s="46" t="inlineStr">
        <is>
          <t>Loss</t>
        </is>
      </c>
      <c r="N137" s="23">
        <f>IF(M137="Win",IF(F137="Bet",(I137-1)*K137,K137),IF(M137="Loss",IF(F137="Bet",-K137,-(I137-1)*K137),IF(M137="Void",0,"")))</f>
        <v/>
      </c>
      <c r="O137" s="24">
        <f>IF(OR(M137="Win",M137="Loss"),IF(F137="Bet",K137,(I137-1)*K137),"")</f>
        <v/>
      </c>
    </row>
    <row r="138">
      <c r="A138" s="37" t="n">
        <v>46285</v>
      </c>
      <c r="B138" s="38" t="inlineStr">
        <is>
          <t>Mount Gambier</t>
        </is>
      </c>
      <c r="C138" s="15" t="n">
        <v>6</v>
      </c>
      <c r="D138" s="15" t="n">
        <v>2</v>
      </c>
      <c r="E138" s="14" t="inlineStr">
        <is>
          <t>Diwali</t>
        </is>
      </c>
      <c r="F138" s="39" t="inlineStr">
        <is>
          <t>Bet</t>
        </is>
      </c>
      <c r="G138" s="40" t="inlineStr">
        <is>
          <t>Bet</t>
        </is>
      </c>
      <c r="H138" s="41" t="n">
        <v>3.4</v>
      </c>
      <c r="I138" s="41" t="n">
        <v>3.7</v>
      </c>
      <c r="J138" s="16" t="n">
        <v>0.0211</v>
      </c>
      <c r="K138" s="42" t="n">
        <v>1</v>
      </c>
      <c r="L138" s="15" t="n">
        <v>7</v>
      </c>
      <c r="M138" s="43" t="inlineStr">
        <is>
          <t>Loss</t>
        </is>
      </c>
      <c r="N138" s="17">
        <f>IF(M138="Win",IF(F138="Bet",(I138-1)*K138,K138),IF(M138="Loss",IF(F138="Bet",-K138,-(I138-1)*K138),IF(M138="Void",0,"")))</f>
        <v/>
      </c>
      <c r="O138" s="18">
        <f>IF(OR(M138="Win",M138="Loss"),IF(F138="Bet",K138,(I138-1)*K138),"")</f>
        <v/>
      </c>
    </row>
    <row r="139">
      <c r="A139" s="44" t="n">
        <v>46285</v>
      </c>
      <c r="B139" s="45" t="inlineStr">
        <is>
          <t>Mount Gambier</t>
        </is>
      </c>
      <c r="C139" s="21" t="n">
        <v>4</v>
      </c>
      <c r="D139" s="21" t="n">
        <v>5</v>
      </c>
      <c r="E139" s="20" t="inlineStr">
        <is>
          <t>Deficit</t>
        </is>
      </c>
      <c r="F139" s="52" t="inlineStr">
        <is>
          <t>Bet</t>
        </is>
      </c>
      <c r="G139" s="40" t="inlineStr">
        <is>
          <t>Bet</t>
        </is>
      </c>
      <c r="H139" s="48" t="n">
        <v>7.1</v>
      </c>
      <c r="I139" s="48" t="n">
        <v>14</v>
      </c>
      <c r="J139" s="22" t="n">
        <v>0.0225</v>
      </c>
      <c r="K139" s="49" t="n">
        <v>1</v>
      </c>
      <c r="L139" s="21" t="n">
        <v>7</v>
      </c>
      <c r="M139" s="46" t="inlineStr">
        <is>
          <t>Loss</t>
        </is>
      </c>
      <c r="N139" s="23">
        <f>IF(M139="Win",IF(F139="Bet",(I139-1)*K139,K139),IF(M139="Loss",IF(F139="Bet",-K139,-(I139-1)*K139),IF(M139="Void",0,"")))</f>
        <v/>
      </c>
      <c r="O139" s="24">
        <f>IF(OR(M139="Win",M139="Loss"),IF(F139="Bet",K139,(I139-1)*K139),"")</f>
        <v/>
      </c>
    </row>
    <row r="140">
      <c r="A140" s="37" t="n">
        <v>46285</v>
      </c>
      <c r="B140" s="38" t="inlineStr">
        <is>
          <t>Sunshine Coast</t>
        </is>
      </c>
      <c r="C140" s="15" t="n">
        <v>4</v>
      </c>
      <c r="D140" s="15" t="n">
        <v>8</v>
      </c>
      <c r="E140" s="14" t="inlineStr">
        <is>
          <t>Makamae</t>
        </is>
      </c>
      <c r="F140" s="39" t="inlineStr">
        <is>
          <t>Bet</t>
        </is>
      </c>
      <c r="G140" s="40" t="inlineStr">
        <is>
          <t>Bet</t>
        </is>
      </c>
      <c r="H140" s="41" t="n">
        <v>4.3</v>
      </c>
      <c r="I140" s="41" t="n">
        <v>4.8</v>
      </c>
      <c r="J140" s="16" t="n">
        <v>0.0255</v>
      </c>
      <c r="K140" s="42" t="n">
        <v>1</v>
      </c>
      <c r="L140" s="15" t="n">
        <v>2</v>
      </c>
      <c r="M140" s="43" t="inlineStr">
        <is>
          <t>Loss</t>
        </is>
      </c>
      <c r="N140" s="17">
        <f>IF(M140="Win",IF(F140="Bet",(I140-1)*K140,K140),IF(M140="Loss",IF(F140="Bet",-K140,-(I140-1)*K140),IF(M140="Void",0,"")))</f>
        <v/>
      </c>
      <c r="O140" s="18">
        <f>IF(OR(M140="Win",M140="Loss"),IF(F140="Bet",K140,(I140-1)*K140),"")</f>
        <v/>
      </c>
    </row>
    <row r="141">
      <c r="A141" s="44" t="n">
        <v>46285</v>
      </c>
      <c r="B141" s="45" t="inlineStr">
        <is>
          <t>Nowra</t>
        </is>
      </c>
      <c r="C141" s="21" t="n">
        <v>1</v>
      </c>
      <c r="D141" s="21" t="n">
        <v>8</v>
      </c>
      <c r="E141" s="20" t="inlineStr">
        <is>
          <t>Stormy Reign</t>
        </is>
      </c>
      <c r="F141" s="52" t="inlineStr">
        <is>
          <t>Bet</t>
        </is>
      </c>
      <c r="G141" s="40" t="inlineStr">
        <is>
          <t>Bet</t>
        </is>
      </c>
      <c r="H141" s="48" t="n">
        <v>6</v>
      </c>
      <c r="I141" s="48" t="n">
        <v>8.5</v>
      </c>
      <c r="J141" s="22" t="n">
        <v>0.0225</v>
      </c>
      <c r="K141" s="49" t="n">
        <v>1</v>
      </c>
      <c r="L141" s="21" t="n"/>
      <c r="M141" s="55" t="inlineStr">
        <is>
          <t>Void</t>
        </is>
      </c>
      <c r="N141" s="23">
        <f>IF(M141="Win",IF(F141="Bet",(I141-1)*K141,K141),IF(M141="Loss",IF(F141="Bet",-K141,-(I141-1)*K141),IF(M141="Void",0,"")))</f>
        <v/>
      </c>
      <c r="O141" s="24">
        <f>IF(OR(M141="Win",M141="Loss"),IF(F141="Bet",K141,(I141-1)*K141),"")</f>
        <v/>
      </c>
    </row>
    <row r="142">
      <c r="A142" s="37" t="n">
        <v>46285</v>
      </c>
      <c r="B142" s="38" t="inlineStr">
        <is>
          <t>Sunshine Coast</t>
        </is>
      </c>
      <c r="C142" s="15" t="n">
        <v>1</v>
      </c>
      <c r="D142" s="15" t="n">
        <v>1</v>
      </c>
      <c r="E142" s="14" t="inlineStr">
        <is>
          <t>On The Clock</t>
        </is>
      </c>
      <c r="F142" s="39" t="inlineStr">
        <is>
          <t>Bet</t>
        </is>
      </c>
      <c r="G142" s="40" t="inlineStr">
        <is>
          <t>Bet</t>
        </is>
      </c>
      <c r="H142" s="41" t="n">
        <v>8</v>
      </c>
      <c r="I142" s="41" t="n">
        <v>10</v>
      </c>
      <c r="J142" s="16" t="n">
        <v>0.025</v>
      </c>
      <c r="K142" s="42" t="n">
        <v>1</v>
      </c>
      <c r="L142" s="15" t="n">
        <v>5</v>
      </c>
      <c r="M142" s="43" t="inlineStr">
        <is>
          <t>Loss</t>
        </is>
      </c>
      <c r="N142" s="17">
        <f>IF(M142="Win",IF(F142="Bet",(I142-1)*K142,K142),IF(M142="Loss",IF(F142="Bet",-K142,-(I142-1)*K142),IF(M142="Void",0,"")))</f>
        <v/>
      </c>
      <c r="O142" s="18">
        <f>IF(OR(M142="Win",M142="Loss"),IF(F142="Bet",K142,(I142-1)*K142),"")</f>
        <v/>
      </c>
    </row>
    <row r="143">
      <c r="A143" s="44" t="n">
        <v>46285</v>
      </c>
      <c r="B143" s="45" t="inlineStr">
        <is>
          <t>Sunshine Coast</t>
        </is>
      </c>
      <c r="C143" s="21" t="n">
        <v>1</v>
      </c>
      <c r="D143" s="21" t="n">
        <v>6</v>
      </c>
      <c r="E143" s="20" t="inlineStr">
        <is>
          <t>Chat Mignon</t>
        </is>
      </c>
      <c r="F143" s="52" t="inlineStr">
        <is>
          <t>Bet</t>
        </is>
      </c>
      <c r="G143" s="40" t="inlineStr">
        <is>
          <t>Bet</t>
        </is>
      </c>
      <c r="H143" s="48" t="n">
        <v>9.4</v>
      </c>
      <c r="I143" s="48" t="n">
        <v>14.99</v>
      </c>
      <c r="J143" s="22" t="n">
        <v>0.0235</v>
      </c>
      <c r="K143" s="49" t="n">
        <v>1</v>
      </c>
      <c r="L143" s="21" t="n">
        <v>3</v>
      </c>
      <c r="M143" s="46" t="inlineStr">
        <is>
          <t>Loss</t>
        </is>
      </c>
      <c r="N143" s="23">
        <f>IF(M143="Win",IF(F143="Bet",(I143-1)*K143,K143),IF(M143="Loss",IF(F143="Bet",-K143,-(I143-1)*K143),IF(M143="Void",0,"")))</f>
        <v/>
      </c>
      <c r="O143" s="24">
        <f>IF(OR(M143="Win",M143="Loss"),IF(F143="Bet",K143,(I143-1)*K143),"")</f>
        <v/>
      </c>
    </row>
    <row r="144">
      <c r="A144" s="37" t="n">
        <v>46285</v>
      </c>
      <c r="B144" s="38" t="inlineStr">
        <is>
          <t>Mount Gambier</t>
        </is>
      </c>
      <c r="C144" s="15" t="n">
        <v>7</v>
      </c>
      <c r="D144" s="15" t="n">
        <v>7</v>
      </c>
      <c r="E144" s="14" t="inlineStr">
        <is>
          <t>Forever Waiting</t>
        </is>
      </c>
      <c r="F144" s="39" t="inlineStr">
        <is>
          <t>Bet</t>
        </is>
      </c>
      <c r="G144" s="40" t="inlineStr">
        <is>
          <t>Bet</t>
        </is>
      </c>
      <c r="H144" s="41" t="n">
        <v>4.4</v>
      </c>
      <c r="I144" s="41" t="n">
        <v>6</v>
      </c>
      <c r="J144" s="16" t="n">
        <v>0.0201</v>
      </c>
      <c r="K144" s="42" t="n">
        <v>1</v>
      </c>
      <c r="L144" s="15" t="n">
        <v>4</v>
      </c>
      <c r="M144" s="43" t="inlineStr">
        <is>
          <t>Loss</t>
        </is>
      </c>
      <c r="N144" s="17">
        <f>IF(M144="Win",IF(F144="Bet",(I144-1)*K144,K144),IF(M144="Loss",IF(F144="Bet",-K144,-(I144-1)*K144),IF(M144="Void",0,"")))</f>
        <v/>
      </c>
      <c r="O144" s="18">
        <f>IF(OR(M144="Win",M144="Loss"),IF(F144="Bet",K144,(I144-1)*K144),"")</f>
        <v/>
      </c>
    </row>
    <row r="145">
      <c r="A145" s="44" t="n">
        <v>46285</v>
      </c>
      <c r="B145" s="45" t="inlineStr">
        <is>
          <t>Nowra</t>
        </is>
      </c>
      <c r="C145" s="21" t="n">
        <v>6</v>
      </c>
      <c r="D145" s="21" t="n">
        <v>9</v>
      </c>
      <c r="E145" s="20" t="inlineStr">
        <is>
          <t>Battle Warrior</t>
        </is>
      </c>
      <c r="F145" s="52" t="inlineStr">
        <is>
          <t>Bet</t>
        </is>
      </c>
      <c r="G145" s="40" t="inlineStr">
        <is>
          <t>Bet</t>
        </is>
      </c>
      <c r="H145" s="48" t="n">
        <v>8.300000000000001</v>
      </c>
      <c r="I145" s="48" t="n">
        <v>11</v>
      </c>
      <c r="J145" s="22" t="n">
        <v>0.0203</v>
      </c>
      <c r="K145" s="49" t="n">
        <v>1</v>
      </c>
      <c r="L145" s="21" t="n">
        <v>6</v>
      </c>
      <c r="M145" s="46" t="inlineStr">
        <is>
          <t>Loss</t>
        </is>
      </c>
      <c r="N145" s="23">
        <f>IF(M145="Win",IF(F145="Bet",(I145-1)*K145,K145),IF(M145="Loss",IF(F145="Bet",-K145,-(I145-1)*K145),IF(M145="Void",0,"")))</f>
        <v/>
      </c>
      <c r="O145" s="24">
        <f>IF(OR(M145="Win",M145="Loss"),IF(F145="Bet",K145,(I145-1)*K145),"")</f>
        <v/>
      </c>
    </row>
    <row r="146">
      <c r="A146" s="37" t="n">
        <v>46285</v>
      </c>
      <c r="B146" s="38" t="inlineStr">
        <is>
          <t>Sunshine Coast</t>
        </is>
      </c>
      <c r="C146" s="15" t="n">
        <v>3</v>
      </c>
      <c r="D146" s="15" t="n">
        <v>6</v>
      </c>
      <c r="E146" s="14" t="inlineStr">
        <is>
          <t>Shedrivesabentley</t>
        </is>
      </c>
      <c r="F146" s="39" t="inlineStr">
        <is>
          <t>Bet</t>
        </is>
      </c>
      <c r="G146" s="40" t="inlineStr">
        <is>
          <t>Bet</t>
        </is>
      </c>
      <c r="H146" s="41" t="n">
        <v>7.8</v>
      </c>
      <c r="I146" s="41" t="n">
        <v>9.5</v>
      </c>
      <c r="J146" s="16" t="n">
        <v>0.0226</v>
      </c>
      <c r="K146" s="42" t="n">
        <v>1</v>
      </c>
      <c r="L146" s="15" t="n">
        <v>6</v>
      </c>
      <c r="M146" s="43" t="inlineStr">
        <is>
          <t>Loss</t>
        </is>
      </c>
      <c r="N146" s="17">
        <f>IF(M146="Win",IF(F146="Bet",(I146-1)*K146,K146),IF(M146="Loss",IF(F146="Bet",-K146,-(I146-1)*K146),IF(M146="Void",0,"")))</f>
        <v/>
      </c>
      <c r="O146" s="18">
        <f>IF(OR(M146="Win",M146="Loss"),IF(F146="Bet",K146,(I146-1)*K146),"")</f>
        <v/>
      </c>
    </row>
    <row r="147">
      <c r="A147" s="44" t="n">
        <v>46285</v>
      </c>
      <c r="B147" s="45" t="inlineStr">
        <is>
          <t>Bairnsdale</t>
        </is>
      </c>
      <c r="C147" s="21" t="n">
        <v>2</v>
      </c>
      <c r="D147" s="21" t="n">
        <v>14</v>
      </c>
      <c r="E147" s="20" t="inlineStr">
        <is>
          <t>Kooralbyn</t>
        </is>
      </c>
      <c r="F147" s="52" t="inlineStr">
        <is>
          <t>Bet</t>
        </is>
      </c>
      <c r="G147" s="40" t="inlineStr">
        <is>
          <t>Bet</t>
        </is>
      </c>
      <c r="H147" s="48" t="n">
        <v>5.9</v>
      </c>
      <c r="I147" s="48" t="n">
        <v>7.6</v>
      </c>
      <c r="J147" s="22" t="n">
        <v>0.0223</v>
      </c>
      <c r="K147" s="49" t="n">
        <v>1</v>
      </c>
      <c r="L147" s="21" t="n">
        <v>1</v>
      </c>
      <c r="M147" s="50" t="inlineStr">
        <is>
          <t>Win</t>
        </is>
      </c>
      <c r="N147" s="23">
        <f>IF(M147="Win",IF(F147="Bet",(I147-1)*K147,K147),IF(M147="Loss",IF(F147="Bet",-K147,-(I147-1)*K147),IF(M147="Void",0,"")))</f>
        <v/>
      </c>
      <c r="O147" s="24">
        <f>IF(OR(M147="Win",M147="Loss"),IF(F147="Bet",K147,(I147-1)*K147),"")</f>
        <v/>
      </c>
    </row>
    <row r="148">
      <c r="A148" s="37" t="n">
        <v>46285</v>
      </c>
      <c r="B148" s="38" t="inlineStr">
        <is>
          <t>Bairnsdale</t>
        </is>
      </c>
      <c r="C148" s="15" t="n">
        <v>5</v>
      </c>
      <c r="D148" s="15" t="n">
        <v>10</v>
      </c>
      <c r="E148" s="14" t="inlineStr">
        <is>
          <t>Discobay</t>
        </is>
      </c>
      <c r="F148" s="39" t="inlineStr">
        <is>
          <t>Bet</t>
        </is>
      </c>
      <c r="G148" s="40" t="inlineStr">
        <is>
          <t>Bet</t>
        </is>
      </c>
      <c r="H148" s="41" t="n">
        <v>9</v>
      </c>
      <c r="I148" s="41" t="n">
        <v>11</v>
      </c>
      <c r="J148" s="16" t="n">
        <v>0.0207</v>
      </c>
      <c r="K148" s="42" t="n">
        <v>1</v>
      </c>
      <c r="L148" s="15" t="n">
        <v>4</v>
      </c>
      <c r="M148" s="43" t="inlineStr">
        <is>
          <t>Loss</t>
        </is>
      </c>
      <c r="N148" s="17">
        <f>IF(M148="Win",IF(F148="Bet",(I148-1)*K148,K148),IF(M148="Loss",IF(F148="Bet",-K148,-(I148-1)*K148),IF(M148="Void",0,"")))</f>
        <v/>
      </c>
      <c r="O148" s="18">
        <f>IF(OR(M148="Win",M148="Loss"),IF(F148="Bet",K148,(I148-1)*K148),"")</f>
        <v/>
      </c>
    </row>
    <row r="149">
      <c r="A149" s="44" t="n">
        <v>46285</v>
      </c>
      <c r="B149" s="45" t="inlineStr">
        <is>
          <t>Mount Gambier</t>
        </is>
      </c>
      <c r="C149" s="21" t="n">
        <v>5</v>
      </c>
      <c r="D149" s="21" t="n">
        <v>6</v>
      </c>
      <c r="E149" s="20" t="inlineStr">
        <is>
          <t>Salsbury Hill</t>
        </is>
      </c>
      <c r="F149" s="52" t="inlineStr">
        <is>
          <t>Bet</t>
        </is>
      </c>
      <c r="G149" s="40" t="inlineStr">
        <is>
          <t>Bet</t>
        </is>
      </c>
      <c r="H149" s="48" t="n">
        <v>9.6</v>
      </c>
      <c r="I149" s="48" t="n">
        <v>15</v>
      </c>
      <c r="J149" s="22" t="n">
        <v>0.0204</v>
      </c>
      <c r="K149" s="49" t="n">
        <v>1</v>
      </c>
      <c r="L149" s="21" t="n">
        <v>5</v>
      </c>
      <c r="M149" s="46" t="inlineStr">
        <is>
          <t>Loss</t>
        </is>
      </c>
      <c r="N149" s="23">
        <f>IF(M149="Win",IF(F149="Bet",(I149-1)*K149,K149),IF(M149="Loss",IF(F149="Bet",-K149,-(I149-1)*K149),IF(M149="Void",0,"")))</f>
        <v/>
      </c>
      <c r="O149" s="24">
        <f>IF(OR(M149="Win",M149="Loss"),IF(F149="Bet",K149,(I149-1)*K149),"")</f>
        <v/>
      </c>
    </row>
    <row r="150">
      <c r="A150" s="37" t="n">
        <v>46285</v>
      </c>
      <c r="B150" s="38" t="inlineStr">
        <is>
          <t>Mount Gambier</t>
        </is>
      </c>
      <c r="C150" s="15" t="n">
        <v>6</v>
      </c>
      <c r="D150" s="15" t="n">
        <v>1</v>
      </c>
      <c r="E150" s="14" t="inlineStr">
        <is>
          <t>Farag</t>
        </is>
      </c>
      <c r="F150" s="39" t="inlineStr">
        <is>
          <t>Bet</t>
        </is>
      </c>
      <c r="G150" s="40" t="inlineStr">
        <is>
          <t>Bet</t>
        </is>
      </c>
      <c r="H150" s="41" t="n">
        <v>10.3</v>
      </c>
      <c r="I150" s="41" t="n">
        <v>13</v>
      </c>
      <c r="J150" s="16" t="n">
        <v>0.02</v>
      </c>
      <c r="K150" s="42" t="n">
        <v>1</v>
      </c>
      <c r="L150" s="15" t="n">
        <v>6</v>
      </c>
      <c r="M150" s="43" t="inlineStr">
        <is>
          <t>Loss</t>
        </is>
      </c>
      <c r="N150" s="17">
        <f>IF(M150="Win",IF(F150="Bet",(I150-1)*K150,K150),IF(M150="Loss",IF(F150="Bet",-K150,-(I150-1)*K150),IF(M150="Void",0,"")))</f>
        <v/>
      </c>
      <c r="O150" s="18">
        <f>IF(OR(M150="Win",M150="Loss"),IF(F150="Bet",K150,(I150-1)*K150),"")</f>
        <v/>
      </c>
    </row>
    <row r="151">
      <c r="A151" s="44" t="n">
        <v>46286</v>
      </c>
      <c r="B151" s="45" t="inlineStr">
        <is>
          <t>Narromine</t>
        </is>
      </c>
      <c r="C151" s="21" t="n">
        <v>3</v>
      </c>
      <c r="D151" s="21" t="n">
        <v>4</v>
      </c>
      <c r="E151" s="20" t="inlineStr">
        <is>
          <t>The Beast</t>
        </is>
      </c>
      <c r="F151" s="52" t="inlineStr">
        <is>
          <t>Bet</t>
        </is>
      </c>
      <c r="G151" s="53" t="inlineStr">
        <is>
          <t>Prime</t>
        </is>
      </c>
      <c r="H151" s="48" t="n">
        <v>3.3</v>
      </c>
      <c r="I151" s="48" t="n">
        <v>3.7</v>
      </c>
      <c r="J151" s="22" t="n">
        <v>0.0286</v>
      </c>
      <c r="K151" s="49" t="n">
        <v>1</v>
      </c>
      <c r="L151" s="21" t="n">
        <v>2</v>
      </c>
      <c r="M151" s="46" t="inlineStr">
        <is>
          <t>Loss</t>
        </is>
      </c>
      <c r="N151" s="23">
        <f>IF(M151="Win",IF(F151="Bet",(I151-1)*K151,K151),IF(M151="Loss",IF(F151="Bet",-K151,-(I151-1)*K151),IF(M151="Void",0,"")))</f>
        <v/>
      </c>
      <c r="O151" s="24">
        <f>IF(OR(M151="Win",M151="Loss"),IF(F151="Bet",K151,(I151-1)*K151),"")</f>
        <v/>
      </c>
    </row>
    <row r="152">
      <c r="A152" s="37" t="n">
        <v>46286</v>
      </c>
      <c r="B152" s="38" t="inlineStr">
        <is>
          <t>Warrnambool</t>
        </is>
      </c>
      <c r="C152" s="15" t="n">
        <v>4</v>
      </c>
      <c r="D152" s="15" t="n">
        <v>2</v>
      </c>
      <c r="E152" s="14" t="inlineStr">
        <is>
          <t>It's A Yes</t>
        </is>
      </c>
      <c r="F152" s="39" t="inlineStr">
        <is>
          <t>Bet</t>
        </is>
      </c>
      <c r="G152" s="53" t="inlineStr">
        <is>
          <t>Prime</t>
        </is>
      </c>
      <c r="H152" s="41" t="n">
        <v>2.15</v>
      </c>
      <c r="I152" s="41" t="n">
        <v>2.22</v>
      </c>
      <c r="J152" s="16" t="n">
        <v>-0.0012</v>
      </c>
      <c r="K152" s="42" t="n">
        <v>1</v>
      </c>
      <c r="L152" s="15" t="n">
        <v>2</v>
      </c>
      <c r="M152" s="43" t="inlineStr">
        <is>
          <t>Loss</t>
        </is>
      </c>
      <c r="N152" s="17">
        <f>IF(M152="Win",IF(F152="Bet",(I152-1)*K152,K152),IF(M152="Loss",IF(F152="Bet",-K152,-(I152-1)*K152),IF(M152="Void",0,"")))</f>
        <v/>
      </c>
      <c r="O152" s="18">
        <f>IF(OR(M152="Win",M152="Loss"),IF(F152="Bet",K152,(I152-1)*K152),"")</f>
        <v/>
      </c>
    </row>
    <row r="153">
      <c r="A153" s="44" t="n">
        <v>46286</v>
      </c>
      <c r="B153" s="45" t="inlineStr">
        <is>
          <t>Warrnambool</t>
        </is>
      </c>
      <c r="C153" s="21" t="n">
        <v>7</v>
      </c>
      <c r="D153" s="21" t="n">
        <v>2</v>
      </c>
      <c r="E153" s="20" t="inlineStr">
        <is>
          <t>Magnetic Chess</t>
        </is>
      </c>
      <c r="F153" s="52" t="inlineStr">
        <is>
          <t>Bet</t>
        </is>
      </c>
      <c r="G153" s="40" t="inlineStr">
        <is>
          <t>Bet</t>
        </is>
      </c>
      <c r="H153" s="48" t="n">
        <v>2.6</v>
      </c>
      <c r="I153" s="48" t="n">
        <v>2.4</v>
      </c>
      <c r="J153" s="22" t="n">
        <v>-0.0482</v>
      </c>
      <c r="K153" s="49" t="n">
        <v>1</v>
      </c>
      <c r="L153" s="21" t="n">
        <v>8</v>
      </c>
      <c r="M153" s="46" t="inlineStr">
        <is>
          <t>Loss</t>
        </is>
      </c>
      <c r="N153" s="23">
        <f>IF(M153="Win",IF(F153="Bet",(I153-1)*K153,K153),IF(M153="Loss",IF(F153="Bet",-K153,-(I153-1)*K153),IF(M153="Void",0,"")))</f>
        <v/>
      </c>
      <c r="O153" s="24">
        <f>IF(OR(M153="Win",M153="Loss"),IF(F153="Bet",K153,(I153-1)*K153),"")</f>
        <v/>
      </c>
    </row>
    <row r="154">
      <c r="A154" s="37" t="n">
        <v>46286</v>
      </c>
      <c r="B154" s="38" t="inlineStr">
        <is>
          <t>Grafton</t>
        </is>
      </c>
      <c r="C154" s="15" t="n">
        <v>5</v>
      </c>
      <c r="D154" s="15" t="n">
        <v>9</v>
      </c>
      <c r="E154" s="14" t="inlineStr">
        <is>
          <t>Lord Protector</t>
        </is>
      </c>
      <c r="F154" s="39" t="inlineStr">
        <is>
          <t>Bet</t>
        </is>
      </c>
      <c r="G154" s="53" t="inlineStr">
        <is>
          <t>Prime</t>
        </is>
      </c>
      <c r="H154" s="41" t="n">
        <v>3.5</v>
      </c>
      <c r="I154" s="41" t="n">
        <v>3.3</v>
      </c>
      <c r="J154" s="16" t="n">
        <v>-0.0269</v>
      </c>
      <c r="K154" s="42" t="n">
        <v>1</v>
      </c>
      <c r="L154" s="15" t="n">
        <v>4</v>
      </c>
      <c r="M154" s="43" t="inlineStr">
        <is>
          <t>Loss</t>
        </is>
      </c>
      <c r="N154" s="17">
        <f>IF(M154="Win",IF(F154="Bet",(I154-1)*K154,K154),IF(M154="Loss",IF(F154="Bet",-K154,-(I154-1)*K154),IF(M154="Void",0,"")))</f>
        <v/>
      </c>
      <c r="O154" s="18">
        <f>IF(OR(M154="Win",M154="Loss"),IF(F154="Bet",K154,(I154-1)*K154),"")</f>
        <v/>
      </c>
    </row>
    <row r="155">
      <c r="A155" s="44" t="n">
        <v>46287</v>
      </c>
      <c r="B155" s="45" t="inlineStr">
        <is>
          <t>Leeton</t>
        </is>
      </c>
      <c r="C155" s="21" t="n">
        <v>6</v>
      </c>
      <c r="D155" s="21" t="n">
        <v>2</v>
      </c>
      <c r="E155" s="20" t="inlineStr">
        <is>
          <t>Party Boss</t>
        </is>
      </c>
      <c r="F155" s="52" t="inlineStr">
        <is>
          <t>Bet</t>
        </is>
      </c>
      <c r="G155" s="53" t="inlineStr">
        <is>
          <t>Prime</t>
        </is>
      </c>
      <c r="H155" s="48" t="n">
        <v>1.7</v>
      </c>
      <c r="I155" s="48" t="n">
        <v>2</v>
      </c>
      <c r="J155" s="22" t="n">
        <v>0.0698</v>
      </c>
      <c r="K155" s="49" t="n">
        <v>1</v>
      </c>
      <c r="L155" s="21" t="n">
        <v>1</v>
      </c>
      <c r="M155" s="50" t="inlineStr">
        <is>
          <t>Win</t>
        </is>
      </c>
      <c r="N155" s="23">
        <f>IF(M155="Win",IF(F155="Bet",(I155-1)*K155,K155),IF(M155="Loss",IF(F155="Bet",-K155,-(I155-1)*K155),IF(M155="Void",0,"")))</f>
        <v/>
      </c>
      <c r="O155" s="24">
        <f>IF(OR(M155="Win",M155="Loss"),IF(F155="Bet",K155,(I155-1)*K155),"")</f>
        <v/>
      </c>
    </row>
    <row r="156">
      <c r="A156" s="37" t="n">
        <v>46287</v>
      </c>
      <c r="B156" s="38" t="inlineStr">
        <is>
          <t>Swan Hill</t>
        </is>
      </c>
      <c r="C156" s="15" t="n">
        <v>1</v>
      </c>
      <c r="D156" s="15" t="n">
        <v>10</v>
      </c>
      <c r="E156" s="14" t="inlineStr">
        <is>
          <t>Oceans Fouroseven</t>
        </is>
      </c>
      <c r="F156" s="39" t="inlineStr">
        <is>
          <t>Bet</t>
        </is>
      </c>
      <c r="G156" s="40" t="inlineStr">
        <is>
          <t>Bet</t>
        </is>
      </c>
      <c r="H156" s="41" t="n">
        <v>2</v>
      </c>
      <c r="I156" s="41" t="n">
        <v>2.34</v>
      </c>
      <c r="J156" s="16" t="n">
        <v>0.0453</v>
      </c>
      <c r="K156" s="42" t="n">
        <v>1</v>
      </c>
      <c r="L156" s="15" t="n">
        <v>1</v>
      </c>
      <c r="M156" s="51" t="inlineStr">
        <is>
          <t>Win</t>
        </is>
      </c>
      <c r="N156" s="17">
        <f>IF(M156="Win",IF(F156="Bet",(I156-1)*K156,K156),IF(M156="Loss",IF(F156="Bet",-K156,-(I156-1)*K156),IF(M156="Void",0,"")))</f>
        <v/>
      </c>
      <c r="O156" s="18">
        <f>IF(OR(M156="Win",M156="Loss"),IF(F156="Bet",K156,(I156-1)*K156),"")</f>
        <v/>
      </c>
    </row>
    <row r="157">
      <c r="A157" s="44" t="n">
        <v>46287</v>
      </c>
      <c r="B157" s="45" t="inlineStr">
        <is>
          <t>Leeton</t>
        </is>
      </c>
      <c r="C157" s="21" t="n">
        <v>4</v>
      </c>
      <c r="D157" s="21" t="n">
        <v>2</v>
      </c>
      <c r="E157" s="20" t="inlineStr">
        <is>
          <t>Sundrop</t>
        </is>
      </c>
      <c r="F157" s="52" t="inlineStr">
        <is>
          <t>Bet</t>
        </is>
      </c>
      <c r="G157" s="40" t="inlineStr">
        <is>
          <t>Bet</t>
        </is>
      </c>
      <c r="H157" s="48" t="n">
        <v>3.6</v>
      </c>
      <c r="I157" s="48" t="n">
        <v>10.36</v>
      </c>
      <c r="J157" s="22" t="n">
        <v>0.0242</v>
      </c>
      <c r="K157" s="49" t="n">
        <v>1</v>
      </c>
      <c r="L157" s="21" t="n">
        <v>3</v>
      </c>
      <c r="M157" s="46" t="inlineStr">
        <is>
          <t>Loss</t>
        </is>
      </c>
      <c r="N157" s="23">
        <f>IF(M157="Win",IF(F157="Bet",(I157-1)*K157,K157),IF(M157="Loss",IF(F157="Bet",-K157,-(I157-1)*K157),IF(M157="Void",0,"")))</f>
        <v/>
      </c>
      <c r="O157" s="24">
        <f>IF(OR(M157="Win",M157="Loss"),IF(F157="Bet",K157,(I157-1)*K157),"")</f>
        <v/>
      </c>
    </row>
    <row r="158">
      <c r="A158" s="37" t="n">
        <v>46287</v>
      </c>
      <c r="B158" s="38" t="inlineStr">
        <is>
          <t>Emerald</t>
        </is>
      </c>
      <c r="C158" s="15" t="n">
        <v>3</v>
      </c>
      <c r="D158" s="15" t="n">
        <v>3</v>
      </c>
      <c r="E158" s="14" t="inlineStr">
        <is>
          <t>Lonergy</t>
        </is>
      </c>
      <c r="F158" s="39" t="inlineStr">
        <is>
          <t>Bet</t>
        </is>
      </c>
      <c r="G158" s="40" t="inlineStr">
        <is>
          <t>Bet</t>
        </is>
      </c>
      <c r="H158" s="41" t="n">
        <v>3.8</v>
      </c>
      <c r="I158" s="41" t="n">
        <v>8.6</v>
      </c>
      <c r="J158" s="16" t="n">
        <v>0.0224</v>
      </c>
      <c r="K158" s="42" t="n">
        <v>1</v>
      </c>
      <c r="L158" s="15" t="n">
        <v>3</v>
      </c>
      <c r="M158" s="43" t="inlineStr">
        <is>
          <t>Loss</t>
        </is>
      </c>
      <c r="N158" s="17">
        <f>IF(M158="Win",IF(F158="Bet",(I158-1)*K158,K158),IF(M158="Loss",IF(F158="Bet",-K158,-(I158-1)*K158),IF(M158="Void",0,"")))</f>
        <v/>
      </c>
      <c r="O158" s="18">
        <f>IF(OR(M158="Win",M158="Loss"),IF(F158="Bet",K158,(I158-1)*K158),"")</f>
        <v/>
      </c>
    </row>
    <row r="159">
      <c r="A159" s="44" t="n">
        <v>46287</v>
      </c>
      <c r="B159" s="45" t="inlineStr">
        <is>
          <t>Emerald</t>
        </is>
      </c>
      <c r="C159" s="21" t="n">
        <v>6</v>
      </c>
      <c r="D159" s="21" t="n">
        <v>1</v>
      </c>
      <c r="E159" s="20" t="inlineStr">
        <is>
          <t>Pre Eminence</t>
        </is>
      </c>
      <c r="F159" s="52" t="inlineStr">
        <is>
          <t>Bet</t>
        </is>
      </c>
      <c r="G159" s="40" t="inlineStr">
        <is>
          <t>Bet</t>
        </is>
      </c>
      <c r="H159" s="48" t="n">
        <v>4.1</v>
      </c>
      <c r="I159" s="48" t="n">
        <v>7</v>
      </c>
      <c r="J159" s="22" t="n">
        <v>0.0244</v>
      </c>
      <c r="K159" s="49" t="n">
        <v>1</v>
      </c>
      <c r="L159" s="21" t="n">
        <v>6</v>
      </c>
      <c r="M159" s="46" t="inlineStr">
        <is>
          <t>Loss</t>
        </is>
      </c>
      <c r="N159" s="23">
        <f>IF(M159="Win",IF(F159="Bet",(I159-1)*K159,K159),IF(M159="Loss",IF(F159="Bet",-K159,-(I159-1)*K159),IF(M159="Void",0,"")))</f>
        <v/>
      </c>
      <c r="O159" s="24">
        <f>IF(OR(M159="Win",M159="Loss"),IF(F159="Bet",K159,(I159-1)*K159),"")</f>
        <v/>
      </c>
    </row>
    <row r="160">
      <c r="A160" s="37" t="n">
        <v>46287</v>
      </c>
      <c r="B160" s="38" t="inlineStr">
        <is>
          <t>Emerald</t>
        </is>
      </c>
      <c r="C160" s="15" t="n">
        <v>2</v>
      </c>
      <c r="D160" s="15" t="n">
        <v>5</v>
      </c>
      <c r="E160" s="14" t="inlineStr">
        <is>
          <t>Nitrogen</t>
        </is>
      </c>
      <c r="F160" s="39" t="inlineStr">
        <is>
          <t>Bet</t>
        </is>
      </c>
      <c r="G160" s="40" t="inlineStr">
        <is>
          <t>Bet</t>
        </is>
      </c>
      <c r="H160" s="41" t="n">
        <v>4.1</v>
      </c>
      <c r="I160" s="41" t="n">
        <v>9.33</v>
      </c>
      <c r="J160" s="16" t="n">
        <v>0.0419</v>
      </c>
      <c r="K160" s="42" t="n">
        <v>1</v>
      </c>
      <c r="L160" s="15" t="n">
        <v>3</v>
      </c>
      <c r="M160" s="43" t="inlineStr">
        <is>
          <t>Loss</t>
        </is>
      </c>
      <c r="N160" s="17">
        <f>IF(M160="Win",IF(F160="Bet",(I160-1)*K160,K160),IF(M160="Loss",IF(F160="Bet",-K160,-(I160-1)*K160),IF(M160="Void",0,"")))</f>
        <v/>
      </c>
      <c r="O160" s="18">
        <f>IF(OR(M160="Win",M160="Loss"),IF(F160="Bet",K160,(I160-1)*K160),"")</f>
        <v/>
      </c>
    </row>
    <row r="161">
      <c r="A161" s="44" t="n">
        <v>46287</v>
      </c>
      <c r="B161" s="45" t="inlineStr">
        <is>
          <t>Leeton</t>
        </is>
      </c>
      <c r="C161" s="21" t="n">
        <v>3</v>
      </c>
      <c r="D161" s="21" t="n">
        <v>9</v>
      </c>
      <c r="E161" s="20" t="inlineStr">
        <is>
          <t>Tassy Fox</t>
        </is>
      </c>
      <c r="F161" s="52" t="inlineStr">
        <is>
          <t>Bet</t>
        </is>
      </c>
      <c r="G161" s="40" t="inlineStr">
        <is>
          <t>Bet</t>
        </is>
      </c>
      <c r="H161" s="48" t="n">
        <v>4.8</v>
      </c>
      <c r="I161" s="48" t="n">
        <v>5.5</v>
      </c>
      <c r="J161" s="22" t="n">
        <v>0.0245</v>
      </c>
      <c r="K161" s="49" t="n">
        <v>1</v>
      </c>
      <c r="L161" s="21" t="n">
        <v>5</v>
      </c>
      <c r="M161" s="46" t="inlineStr">
        <is>
          <t>Loss</t>
        </is>
      </c>
      <c r="N161" s="23">
        <f>IF(M161="Win",IF(F161="Bet",(I161-1)*K161,K161),IF(M161="Loss",IF(F161="Bet",-K161,-(I161-1)*K161),IF(M161="Void",0,"")))</f>
        <v/>
      </c>
      <c r="O161" s="24">
        <f>IF(OR(M161="Win",M161="Loss"),IF(F161="Bet",K161,(I161-1)*K161),"")</f>
        <v/>
      </c>
    </row>
    <row r="162">
      <c r="A162" s="37" t="n">
        <v>46287</v>
      </c>
      <c r="B162" s="38" t="inlineStr">
        <is>
          <t>Leeton</t>
        </is>
      </c>
      <c r="C162" s="15" t="n">
        <v>7</v>
      </c>
      <c r="D162" s="15" t="n">
        <v>6</v>
      </c>
      <c r="E162" s="14" t="inlineStr">
        <is>
          <t>Justbetryin'</t>
        </is>
      </c>
      <c r="F162" s="39" t="inlineStr">
        <is>
          <t>Bet</t>
        </is>
      </c>
      <c r="G162" s="40" t="inlineStr">
        <is>
          <t>Bet</t>
        </is>
      </c>
      <c r="H162" s="41" t="n">
        <v>6.8</v>
      </c>
      <c r="I162" s="41" t="n">
        <v>11.43</v>
      </c>
      <c r="J162" s="16" t="n">
        <v>0.0225</v>
      </c>
      <c r="K162" s="42" t="n">
        <v>1</v>
      </c>
      <c r="L162" s="15" t="n">
        <v>1</v>
      </c>
      <c r="M162" s="51" t="inlineStr">
        <is>
          <t>Win</t>
        </is>
      </c>
      <c r="N162" s="17">
        <f>IF(M162="Win",IF(F162="Bet",(I162-1)*K162,K162),IF(M162="Loss",IF(F162="Bet",-K162,-(I162-1)*K162),IF(M162="Void",0,"")))</f>
        <v/>
      </c>
      <c r="O162" s="18">
        <f>IF(OR(M162="Win",M162="Loss"),IF(F162="Bet",K162,(I162-1)*K162),"")</f>
        <v/>
      </c>
    </row>
    <row r="163">
      <c r="A163" s="44" t="n">
        <v>46288</v>
      </c>
      <c r="B163" s="45" t="inlineStr">
        <is>
          <t>Geelong</t>
        </is>
      </c>
      <c r="C163" s="21" t="n">
        <v>1</v>
      </c>
      <c r="D163" s="21" t="n">
        <v>9</v>
      </c>
      <c r="E163" s="20" t="inlineStr">
        <is>
          <t>Youmzaa</t>
        </is>
      </c>
      <c r="F163" s="52" t="inlineStr">
        <is>
          <t>Bet</t>
        </is>
      </c>
      <c r="G163" s="40" t="inlineStr">
        <is>
          <t>Bet</t>
        </is>
      </c>
      <c r="H163" s="48" t="n">
        <v>1.6</v>
      </c>
      <c r="I163" s="48" t="n">
        <v>1.65</v>
      </c>
      <c r="J163" s="22" t="n">
        <v>0.0265</v>
      </c>
      <c r="K163" s="49" t="n">
        <v>1</v>
      </c>
      <c r="L163" s="21" t="n"/>
      <c r="M163" s="55" t="inlineStr">
        <is>
          <t>Void</t>
        </is>
      </c>
      <c r="N163" s="23">
        <f>IF(M163="Win",IF(F163="Bet",(I163-1)*K163,K163),IF(M163="Loss",IF(F163="Bet",-K163,-(I163-1)*K163),IF(M163="Void",0,"")))</f>
        <v/>
      </c>
      <c r="O163" s="24">
        <f>IF(OR(M163="Win",M163="Loss"),IF(F163="Bet",K163,(I163-1)*K163),"")</f>
        <v/>
      </c>
    </row>
    <row r="164">
      <c r="A164" s="37" t="n">
        <v>46288</v>
      </c>
      <c r="B164" s="38" t="inlineStr">
        <is>
          <t>Eagle Farm</t>
        </is>
      </c>
      <c r="C164" s="15" t="n">
        <v>3</v>
      </c>
      <c r="D164" s="15" t="n">
        <v>1</v>
      </c>
      <c r="E164" s="14" t="inlineStr">
        <is>
          <t>Breezin'</t>
        </is>
      </c>
      <c r="F164" s="39" t="inlineStr">
        <is>
          <t>Bet</t>
        </is>
      </c>
      <c r="G164" s="40" t="inlineStr">
        <is>
          <t>Bet</t>
        </is>
      </c>
      <c r="H164" s="41" t="n">
        <v>7.3</v>
      </c>
      <c r="I164" s="41" t="n">
        <v>9.5</v>
      </c>
      <c r="J164" s="16" t="n">
        <v>0.0254</v>
      </c>
      <c r="K164" s="42" t="n">
        <v>1</v>
      </c>
      <c r="L164" s="15" t="n">
        <v>6</v>
      </c>
      <c r="M164" s="43" t="inlineStr">
        <is>
          <t>Loss</t>
        </is>
      </c>
      <c r="N164" s="17">
        <f>IF(M164="Win",IF(F164="Bet",(I164-1)*K164,K164),IF(M164="Loss",IF(F164="Bet",-K164,-(I164-1)*K164),IF(M164="Void",0,"")))</f>
        <v/>
      </c>
      <c r="O164" s="18">
        <f>IF(OR(M164="Win",M164="Loss"),IF(F164="Bet",K164,(I164-1)*K164),"")</f>
        <v/>
      </c>
    </row>
    <row r="165">
      <c r="A165" s="44" t="n">
        <v>46288</v>
      </c>
      <c r="B165" s="45" t="inlineStr">
        <is>
          <t>Eagle Farm</t>
        </is>
      </c>
      <c r="C165" s="21" t="n">
        <v>7</v>
      </c>
      <c r="D165" s="21" t="n">
        <v>15</v>
      </c>
      <c r="E165" s="20" t="inlineStr">
        <is>
          <t>Lady Windermere</t>
        </is>
      </c>
      <c r="F165" s="52" t="inlineStr">
        <is>
          <t>Bet</t>
        </is>
      </c>
      <c r="G165" s="40" t="inlineStr">
        <is>
          <t>Bet</t>
        </is>
      </c>
      <c r="H165" s="48" t="n">
        <v>8</v>
      </c>
      <c r="I165" s="48" t="n">
        <v>9.5</v>
      </c>
      <c r="J165" s="22" t="n">
        <v>0.0204</v>
      </c>
      <c r="K165" s="49" t="n">
        <v>1</v>
      </c>
      <c r="L165" s="21" t="n">
        <v>7</v>
      </c>
      <c r="M165" s="46" t="inlineStr">
        <is>
          <t>Loss</t>
        </is>
      </c>
      <c r="N165" s="23">
        <f>IF(M165="Win",IF(F165="Bet",(I165-1)*K165,K165),IF(M165="Loss",IF(F165="Bet",-K165,-(I165-1)*K165),IF(M165="Void",0,"")))</f>
        <v/>
      </c>
      <c r="O165" s="24">
        <f>IF(OR(M165="Win",M165="Loss"),IF(F165="Bet",K165,(I165-1)*K165),"")</f>
        <v/>
      </c>
    </row>
    <row r="166">
      <c r="A166" s="37" t="n">
        <v>46288</v>
      </c>
      <c r="B166" s="38" t="inlineStr">
        <is>
          <t>Geelong</t>
        </is>
      </c>
      <c r="C166" s="15" t="n">
        <v>6</v>
      </c>
      <c r="D166" s="15" t="n">
        <v>3</v>
      </c>
      <c r="E166" s="14" t="inlineStr">
        <is>
          <t>Shultzy</t>
        </is>
      </c>
      <c r="F166" s="39" t="inlineStr">
        <is>
          <t>Bet</t>
        </is>
      </c>
      <c r="G166" s="40" t="inlineStr">
        <is>
          <t>Bet</t>
        </is>
      </c>
      <c r="H166" s="41" t="n">
        <v>6</v>
      </c>
      <c r="I166" s="41" t="n">
        <v>7</v>
      </c>
      <c r="J166" s="16" t="n">
        <v>0.024</v>
      </c>
      <c r="K166" s="42" t="n">
        <v>1</v>
      </c>
      <c r="L166" s="15" t="n"/>
      <c r="M166" s="54" t="inlineStr">
        <is>
          <t>Void</t>
        </is>
      </c>
      <c r="N166" s="17">
        <f>IF(M166="Win",IF(F166="Bet",(I166-1)*K166,K166),IF(M166="Loss",IF(F166="Bet",-K166,-(I166-1)*K166),IF(M166="Void",0,"")))</f>
        <v/>
      </c>
      <c r="O166" s="18">
        <f>IF(OR(M166="Win",M166="Loss"),IF(F166="Bet",K166,(I166-1)*K166),"")</f>
        <v/>
      </c>
    </row>
    <row r="167">
      <c r="A167" s="44" t="n">
        <v>46288</v>
      </c>
      <c r="B167" s="45" t="inlineStr">
        <is>
          <t>Geelong</t>
        </is>
      </c>
      <c r="C167" s="21" t="n">
        <v>3</v>
      </c>
      <c r="D167" s="21" t="n">
        <v>3</v>
      </c>
      <c r="E167" s="20" t="inlineStr">
        <is>
          <t>Fringilla</t>
        </is>
      </c>
      <c r="F167" s="52" t="inlineStr">
        <is>
          <t>Bet</t>
        </is>
      </c>
      <c r="G167" s="40" t="inlineStr">
        <is>
          <t>Bet</t>
        </is>
      </c>
      <c r="H167" s="48" t="n">
        <v>4</v>
      </c>
      <c r="I167" s="48" t="n">
        <v>4.4</v>
      </c>
      <c r="J167" s="22" t="n">
        <v>0.0205</v>
      </c>
      <c r="K167" s="49" t="n">
        <v>1</v>
      </c>
      <c r="L167" s="21" t="n">
        <v>2</v>
      </c>
      <c r="M167" s="46" t="inlineStr">
        <is>
          <t>Loss</t>
        </is>
      </c>
      <c r="N167" s="23">
        <f>IF(M167="Win",IF(F167="Bet",(I167-1)*K167,K167),IF(M167="Loss",IF(F167="Bet",-K167,-(I167-1)*K167),IF(M167="Void",0,"")))</f>
        <v/>
      </c>
      <c r="O167" s="24">
        <f>IF(OR(M167="Win",M167="Loss"),IF(F167="Bet",K167,(I167-1)*K167),"")</f>
        <v/>
      </c>
    </row>
    <row r="168">
      <c r="A168" s="37" t="n">
        <v>46288</v>
      </c>
      <c r="B168" s="38" t="inlineStr">
        <is>
          <t>Warwick Farm</t>
        </is>
      </c>
      <c r="C168" s="15" t="n">
        <v>7</v>
      </c>
      <c r="D168" s="15" t="n">
        <v>10</v>
      </c>
      <c r="E168" s="14" t="inlineStr">
        <is>
          <t>Agatha</t>
        </is>
      </c>
      <c r="F168" s="39" t="inlineStr">
        <is>
          <t>Bet</t>
        </is>
      </c>
      <c r="G168" s="40" t="inlineStr">
        <is>
          <t>Bet</t>
        </is>
      </c>
      <c r="H168" s="41" t="n">
        <v>3.3</v>
      </c>
      <c r="I168" s="41" t="n">
        <v>4.31</v>
      </c>
      <c r="J168" s="16" t="n">
        <v>0.0388</v>
      </c>
      <c r="K168" s="42" t="n">
        <v>1</v>
      </c>
      <c r="L168" s="15" t="n">
        <v>3</v>
      </c>
      <c r="M168" s="43" t="inlineStr">
        <is>
          <t>Loss</t>
        </is>
      </c>
      <c r="N168" s="17">
        <f>IF(M168="Win",IF(F168="Bet",(I168-1)*K168,K168),IF(M168="Loss",IF(F168="Bet",-K168,-(I168-1)*K168),IF(M168="Void",0,"")))</f>
        <v/>
      </c>
      <c r="O168" s="18">
        <f>IF(OR(M168="Win",M168="Loss"),IF(F168="Bet",K168,(I168-1)*K168),"")</f>
        <v/>
      </c>
    </row>
    <row r="169">
      <c r="A169" s="44" t="n">
        <v>46288</v>
      </c>
      <c r="B169" s="45" t="inlineStr">
        <is>
          <t>Warwick Farm</t>
        </is>
      </c>
      <c r="C169" s="21" t="n">
        <v>6</v>
      </c>
      <c r="D169" s="21" t="n">
        <v>6</v>
      </c>
      <c r="E169" s="20" t="inlineStr">
        <is>
          <t>Call Me Gorgeous</t>
        </is>
      </c>
      <c r="F169" s="52" t="inlineStr">
        <is>
          <t>Bet</t>
        </is>
      </c>
      <c r="G169" s="40" t="inlineStr">
        <is>
          <t>Bet</t>
        </is>
      </c>
      <c r="H169" s="48" t="n">
        <v>5.7</v>
      </c>
      <c r="I169" s="48" t="n">
        <v>6.5</v>
      </c>
      <c r="J169" s="22" t="n">
        <v>0.0218</v>
      </c>
      <c r="K169" s="49" t="n">
        <v>1</v>
      </c>
      <c r="L169" s="21" t="n">
        <v>7</v>
      </c>
      <c r="M169" s="46" t="inlineStr">
        <is>
          <t>Loss</t>
        </is>
      </c>
      <c r="N169" s="23">
        <f>IF(M169="Win",IF(F169="Bet",(I169-1)*K169,K169),IF(M169="Loss",IF(F169="Bet",-K169,-(I169-1)*K169),IF(M169="Void",0,"")))</f>
        <v/>
      </c>
      <c r="O169" s="24">
        <f>IF(OR(M169="Win",M169="Loss"),IF(F169="Bet",K169,(I169-1)*K169),"")</f>
        <v/>
      </c>
    </row>
    <row r="170">
      <c r="A170" s="37" t="n">
        <v>46288</v>
      </c>
      <c r="B170" s="38" t="inlineStr">
        <is>
          <t>Eagle Farm</t>
        </is>
      </c>
      <c r="C170" s="15" t="n">
        <v>4</v>
      </c>
      <c r="D170" s="15" t="n">
        <v>6</v>
      </c>
      <c r="E170" s="14" t="inlineStr">
        <is>
          <t>Anderlay</t>
        </is>
      </c>
      <c r="F170" s="39" t="inlineStr">
        <is>
          <t>Bet</t>
        </is>
      </c>
      <c r="G170" s="40" t="inlineStr">
        <is>
          <t>Bet</t>
        </is>
      </c>
      <c r="H170" s="41" t="n">
        <v>6.5</v>
      </c>
      <c r="I170" s="41" t="n">
        <v>10</v>
      </c>
      <c r="J170" s="16" t="n">
        <v>0.0216</v>
      </c>
      <c r="K170" s="42" t="n">
        <v>1</v>
      </c>
      <c r="L170" s="15" t="n">
        <v>5</v>
      </c>
      <c r="M170" s="43" t="inlineStr">
        <is>
          <t>Loss</t>
        </is>
      </c>
      <c r="N170" s="17">
        <f>IF(M170="Win",IF(F170="Bet",(I170-1)*K170,K170),IF(M170="Loss",IF(F170="Bet",-K170,-(I170-1)*K170),IF(M170="Void",0,"")))</f>
        <v/>
      </c>
      <c r="O170" s="18">
        <f>IF(OR(M170="Win",M170="Loss"),IF(F170="Bet",K170,(I170-1)*K170),"")</f>
        <v/>
      </c>
    </row>
    <row r="171">
      <c r="A171" s="44" t="n">
        <v>46288</v>
      </c>
      <c r="B171" s="45" t="inlineStr">
        <is>
          <t>Northam</t>
        </is>
      </c>
      <c r="C171" s="21" t="n">
        <v>8</v>
      </c>
      <c r="D171" s="21" t="n">
        <v>1</v>
      </c>
      <c r="E171" s="20" t="inlineStr">
        <is>
          <t>Hey True Blue</t>
        </is>
      </c>
      <c r="F171" s="52" t="inlineStr">
        <is>
          <t>Bet</t>
        </is>
      </c>
      <c r="G171" s="40" t="inlineStr">
        <is>
          <t>Bet</t>
        </is>
      </c>
      <c r="H171" s="48" t="n">
        <v>6.9</v>
      </c>
      <c r="I171" s="48" t="n">
        <v>17</v>
      </c>
      <c r="J171" s="22" t="n">
        <v>0.0201</v>
      </c>
      <c r="K171" s="49" t="n">
        <v>1</v>
      </c>
      <c r="L171" s="21" t="n">
        <v>7</v>
      </c>
      <c r="M171" s="46" t="inlineStr">
        <is>
          <t>Loss</t>
        </is>
      </c>
      <c r="N171" s="23">
        <f>IF(M171="Win",IF(F171="Bet",(I171-1)*K171,K171),IF(M171="Loss",IF(F171="Bet",-K171,-(I171-1)*K171),IF(M171="Void",0,"")))</f>
        <v/>
      </c>
      <c r="O171" s="24">
        <f>IF(OR(M171="Win",M171="Loss"),IF(F171="Bet",K171,(I171-1)*K171),"")</f>
        <v/>
      </c>
    </row>
    <row r="172">
      <c r="A172" s="37" t="n">
        <v>46288</v>
      </c>
      <c r="B172" s="38" t="inlineStr">
        <is>
          <t>Eagle Farm</t>
        </is>
      </c>
      <c r="C172" s="15" t="n">
        <v>6</v>
      </c>
      <c r="D172" s="15" t="n">
        <v>5</v>
      </c>
      <c r="E172" s="14" t="inlineStr">
        <is>
          <t>Fireforce</t>
        </is>
      </c>
      <c r="F172" s="39" t="inlineStr">
        <is>
          <t>Bet</t>
        </is>
      </c>
      <c r="G172" s="40" t="inlineStr">
        <is>
          <t>Bet</t>
        </is>
      </c>
      <c r="H172" s="41" t="n">
        <v>7.9</v>
      </c>
      <c r="I172" s="41" t="n">
        <v>9.5</v>
      </c>
      <c r="J172" s="16" t="n">
        <v>0.0206</v>
      </c>
      <c r="K172" s="42" t="n">
        <v>1</v>
      </c>
      <c r="L172" s="15" t="n">
        <v>8</v>
      </c>
      <c r="M172" s="43" t="inlineStr">
        <is>
          <t>Loss</t>
        </is>
      </c>
      <c r="N172" s="17">
        <f>IF(M172="Win",IF(F172="Bet",(I172-1)*K172,K172),IF(M172="Loss",IF(F172="Bet",-K172,-(I172-1)*K172),IF(M172="Void",0,"")))</f>
        <v/>
      </c>
      <c r="O172" s="18">
        <f>IF(OR(M172="Win",M172="Loss"),IF(F172="Bet",K172,(I172-1)*K172),"")</f>
        <v/>
      </c>
    </row>
    <row r="173">
      <c r="A173" s="44" t="n">
        <v>46288</v>
      </c>
      <c r="B173" s="45" t="inlineStr">
        <is>
          <t>Northam</t>
        </is>
      </c>
      <c r="C173" s="21" t="n">
        <v>5</v>
      </c>
      <c r="D173" s="21" t="n">
        <v>8</v>
      </c>
      <c r="E173" s="20" t="inlineStr">
        <is>
          <t>The Stalagmite</t>
        </is>
      </c>
      <c r="F173" s="52" t="inlineStr">
        <is>
          <t>Bet</t>
        </is>
      </c>
      <c r="G173" s="40" t="inlineStr">
        <is>
          <t>Bet</t>
        </is>
      </c>
      <c r="H173" s="48" t="n">
        <v>7.7</v>
      </c>
      <c r="I173" s="48" t="n">
        <v>9.5</v>
      </c>
      <c r="J173" s="22" t="n">
        <v>0.0247</v>
      </c>
      <c r="K173" s="49" t="n">
        <v>1</v>
      </c>
      <c r="L173" s="21" t="n">
        <v>12</v>
      </c>
      <c r="M173" s="46" t="inlineStr">
        <is>
          <t>Loss</t>
        </is>
      </c>
      <c r="N173" s="23">
        <f>IF(M173="Win",IF(F173="Bet",(I173-1)*K173,K173),IF(M173="Loss",IF(F173="Bet",-K173,-(I173-1)*K173),IF(M173="Void",0,"")))</f>
        <v/>
      </c>
      <c r="O173" s="24">
        <f>IF(OR(M173="Win",M173="Loss"),IF(F173="Bet",K173,(I173-1)*K173),"")</f>
        <v/>
      </c>
    </row>
    <row r="174">
      <c r="A174" s="37" t="n">
        <v>46288</v>
      </c>
      <c r="B174" s="38" t="inlineStr">
        <is>
          <t>Eagle Farm</t>
        </is>
      </c>
      <c r="C174" s="15" t="n">
        <v>4</v>
      </c>
      <c r="D174" s="15" t="n">
        <v>8</v>
      </c>
      <c r="E174" s="14" t="inlineStr">
        <is>
          <t>Buttercup</t>
        </is>
      </c>
      <c r="F174" s="39" t="inlineStr">
        <is>
          <t>Bet</t>
        </is>
      </c>
      <c r="G174" s="40" t="inlineStr">
        <is>
          <t>Bet</t>
        </is>
      </c>
      <c r="H174" s="41" t="n">
        <v>4.2</v>
      </c>
      <c r="I174" s="41" t="n">
        <v>6.89</v>
      </c>
      <c r="J174" s="16" t="n">
        <v>0.0217</v>
      </c>
      <c r="K174" s="42" t="n">
        <v>1</v>
      </c>
      <c r="L174" s="15" t="n">
        <v>3</v>
      </c>
      <c r="M174" s="43" t="inlineStr">
        <is>
          <t>Loss</t>
        </is>
      </c>
      <c r="N174" s="17">
        <f>IF(M174="Win",IF(F174="Bet",(I174-1)*K174,K174),IF(M174="Loss",IF(F174="Bet",-K174,-(I174-1)*K174),IF(M174="Void",0,"")))</f>
        <v/>
      </c>
      <c r="O174" s="18">
        <f>IF(OR(M174="Win",M174="Loss"),IF(F174="Bet",K174,(I174-1)*K174),"")</f>
        <v/>
      </c>
    </row>
    <row r="175">
      <c r="A175" s="44" t="n">
        <v>46288</v>
      </c>
      <c r="B175" s="45" t="inlineStr">
        <is>
          <t>Northam</t>
        </is>
      </c>
      <c r="C175" s="21" t="n">
        <v>8</v>
      </c>
      <c r="D175" s="21" t="n">
        <v>6</v>
      </c>
      <c r="E175" s="20" t="inlineStr">
        <is>
          <t>Hot Chix Lane</t>
        </is>
      </c>
      <c r="F175" s="52" t="inlineStr">
        <is>
          <t>Bet</t>
        </is>
      </c>
      <c r="G175" s="40" t="inlineStr">
        <is>
          <t>Bet</t>
        </is>
      </c>
      <c r="H175" s="48" t="n">
        <v>6.5</v>
      </c>
      <c r="I175" s="48" t="n">
        <v>7.5</v>
      </c>
      <c r="J175" s="22" t="n">
        <v>0.0216</v>
      </c>
      <c r="K175" s="49" t="n">
        <v>1</v>
      </c>
      <c r="L175" s="21" t="n">
        <v>2</v>
      </c>
      <c r="M175" s="46" t="inlineStr">
        <is>
          <t>Loss</t>
        </is>
      </c>
      <c r="N175" s="23">
        <f>IF(M175="Win",IF(F175="Bet",(I175-1)*K175,K175),IF(M175="Loss",IF(F175="Bet",-K175,-(I175-1)*K175),IF(M175="Void",0,"")))</f>
        <v/>
      </c>
      <c r="O175" s="24">
        <f>IF(OR(M175="Win",M175="Loss"),IF(F175="Bet",K175,(I175-1)*K175),"")</f>
        <v/>
      </c>
    </row>
    <row r="176">
      <c r="A176" s="37" t="n">
        <v>46288</v>
      </c>
      <c r="B176" s="38" t="inlineStr">
        <is>
          <t>Geelong</t>
        </is>
      </c>
      <c r="C176" s="15" t="n">
        <v>4</v>
      </c>
      <c r="D176" s="15" t="n">
        <v>6</v>
      </c>
      <c r="E176" s="14" t="inlineStr">
        <is>
          <t>Sirvaldane</t>
        </is>
      </c>
      <c r="F176" s="39" t="inlineStr">
        <is>
          <t>Bet</t>
        </is>
      </c>
      <c r="G176" s="40" t="inlineStr">
        <is>
          <t>Bet</t>
        </is>
      </c>
      <c r="H176" s="41" t="n">
        <v>12.3</v>
      </c>
      <c r="I176" s="41" t="n">
        <v>19</v>
      </c>
      <c r="J176" s="16" t="n">
        <v>0.0226</v>
      </c>
      <c r="K176" s="42" t="n">
        <v>1</v>
      </c>
      <c r="L176" s="15" t="n">
        <v>7</v>
      </c>
      <c r="M176" s="43" t="inlineStr">
        <is>
          <t>Loss</t>
        </is>
      </c>
      <c r="N176" s="17">
        <f>IF(M176="Win",IF(F176="Bet",(I176-1)*K176,K176),IF(M176="Loss",IF(F176="Bet",-K176,-(I176-1)*K176),IF(M176="Void",0,"")))</f>
        <v/>
      </c>
      <c r="O176" s="18">
        <f>IF(OR(M176="Win",M176="Loss"),IF(F176="Bet",K176,(I176-1)*K176),"")</f>
        <v/>
      </c>
    </row>
    <row r="177">
      <c r="A177" s="44" t="n">
        <v>46288</v>
      </c>
      <c r="B177" s="45" t="inlineStr">
        <is>
          <t>Gawler</t>
        </is>
      </c>
      <c r="C177" s="21" t="n">
        <v>4</v>
      </c>
      <c r="D177" s="21" t="n">
        <v>2</v>
      </c>
      <c r="E177" s="20" t="inlineStr">
        <is>
          <t>Spangled Sipper</t>
        </is>
      </c>
      <c r="F177" s="52" t="inlineStr">
        <is>
          <t>Bet</t>
        </is>
      </c>
      <c r="G177" s="40" t="inlineStr">
        <is>
          <t>Bet</t>
        </is>
      </c>
      <c r="H177" s="48" t="n">
        <v>6.9</v>
      </c>
      <c r="I177" s="48" t="n">
        <v>8</v>
      </c>
      <c r="J177" s="22" t="n">
        <v>0.0204</v>
      </c>
      <c r="K177" s="49" t="n">
        <v>1</v>
      </c>
      <c r="L177" s="21" t="n">
        <v>5</v>
      </c>
      <c r="M177" s="46" t="inlineStr">
        <is>
          <t>Loss</t>
        </is>
      </c>
      <c r="N177" s="23">
        <f>IF(M177="Win",IF(F177="Bet",(I177-1)*K177,K177),IF(M177="Loss",IF(F177="Bet",-K177,-(I177-1)*K177),IF(M177="Void",0,"")))</f>
        <v/>
      </c>
      <c r="O177" s="24">
        <f>IF(OR(M177="Win",M177="Loss"),IF(F177="Bet",K177,(I177-1)*K177),"")</f>
        <v/>
      </c>
    </row>
    <row r="178">
      <c r="A178" s="37" t="n">
        <v>46288</v>
      </c>
      <c r="B178" s="38" t="inlineStr">
        <is>
          <t>Geelong</t>
        </is>
      </c>
      <c r="C178" s="15" t="n">
        <v>2</v>
      </c>
      <c r="D178" s="15" t="n">
        <v>10</v>
      </c>
      <c r="E178" s="14" t="inlineStr">
        <is>
          <t>True Rebel</t>
        </is>
      </c>
      <c r="F178" s="39" t="inlineStr">
        <is>
          <t>Bet</t>
        </is>
      </c>
      <c r="G178" s="40" t="inlineStr">
        <is>
          <t>Bet</t>
        </is>
      </c>
      <c r="H178" s="41" t="n">
        <v>1.9</v>
      </c>
      <c r="I178" s="41" t="n">
        <v>2.1</v>
      </c>
      <c r="J178" s="16" t="n">
        <v>0.0207</v>
      </c>
      <c r="K178" s="42" t="n">
        <v>1</v>
      </c>
      <c r="L178" s="15" t="n">
        <v>1</v>
      </c>
      <c r="M178" s="51" t="inlineStr">
        <is>
          <t>Win</t>
        </is>
      </c>
      <c r="N178" s="17">
        <f>IF(M178="Win",IF(F178="Bet",(I178-1)*K178,K178),IF(M178="Loss",IF(F178="Bet",-K178,-(I178-1)*K178),IF(M178="Void",0,"")))</f>
        <v/>
      </c>
      <c r="O178" s="18">
        <f>IF(OR(M178="Win",M178="Loss"),IF(F178="Bet",K178,(I178-1)*K178),"")</f>
        <v/>
      </c>
    </row>
    <row r="179">
      <c r="A179" s="44" t="n">
        <v>46288</v>
      </c>
      <c r="B179" s="45" t="inlineStr">
        <is>
          <t>Gawler</t>
        </is>
      </c>
      <c r="C179" s="21" t="n">
        <v>1</v>
      </c>
      <c r="D179" s="21" t="n">
        <v>7</v>
      </c>
      <c r="E179" s="20" t="inlineStr">
        <is>
          <t>Snobbery</t>
        </is>
      </c>
      <c r="F179" s="52" t="inlineStr">
        <is>
          <t>Bet</t>
        </is>
      </c>
      <c r="G179" s="40" t="inlineStr">
        <is>
          <t>Bet</t>
        </is>
      </c>
      <c r="H179" s="48" t="n">
        <v>7.9</v>
      </c>
      <c r="I179" s="48" t="n">
        <v>15</v>
      </c>
      <c r="J179" s="22" t="n">
        <v>0.0209</v>
      </c>
      <c r="K179" s="49" t="n">
        <v>1</v>
      </c>
      <c r="L179" s="21" t="n">
        <v>5</v>
      </c>
      <c r="M179" s="46" t="inlineStr">
        <is>
          <t>Loss</t>
        </is>
      </c>
      <c r="N179" s="23">
        <f>IF(M179="Win",IF(F179="Bet",(I179-1)*K179,K179),IF(M179="Loss",IF(F179="Bet",-K179,-(I179-1)*K179),IF(M179="Void",0,"")))</f>
        <v/>
      </c>
      <c r="O179" s="24">
        <f>IF(OR(M179="Win",M179="Loss"),IF(F179="Bet",K179,(I179-1)*K179),"")</f>
        <v/>
      </c>
    </row>
    <row r="180">
      <c r="A180" s="37" t="n">
        <v>46288</v>
      </c>
      <c r="B180" s="38" t="inlineStr">
        <is>
          <t>Geelong</t>
        </is>
      </c>
      <c r="C180" s="15" t="n">
        <v>8</v>
      </c>
      <c r="D180" s="15" t="n">
        <v>6</v>
      </c>
      <c r="E180" s="14" t="inlineStr">
        <is>
          <t>Sea Poem</t>
        </is>
      </c>
      <c r="F180" s="39" t="inlineStr">
        <is>
          <t>Bet</t>
        </is>
      </c>
      <c r="G180" s="40" t="inlineStr">
        <is>
          <t>Bet</t>
        </is>
      </c>
      <c r="H180" s="41" t="n">
        <v>6.1</v>
      </c>
      <c r="I180" s="41" t="n">
        <v>8</v>
      </c>
      <c r="J180" s="16" t="n">
        <v>0.0205</v>
      </c>
      <c r="K180" s="42" t="n">
        <v>1</v>
      </c>
      <c r="L180" s="15" t="n">
        <v>3</v>
      </c>
      <c r="M180" s="43" t="inlineStr">
        <is>
          <t>Loss</t>
        </is>
      </c>
      <c r="N180" s="17">
        <f>IF(M180="Win",IF(F180="Bet",(I180-1)*K180,K180),IF(M180="Loss",IF(F180="Bet",-K180,-(I180-1)*K180),IF(M180="Void",0,"")))</f>
        <v/>
      </c>
      <c r="O180" s="18">
        <f>IF(OR(M180="Win",M180="Loss"),IF(F180="Bet",K180,(I180-1)*K180),"")</f>
        <v/>
      </c>
    </row>
    <row r="181">
      <c r="A181" s="44" t="n">
        <v>46288</v>
      </c>
      <c r="B181" s="45" t="inlineStr">
        <is>
          <t>Geelong</t>
        </is>
      </c>
      <c r="C181" s="21" t="n">
        <v>6</v>
      </c>
      <c r="D181" s="21" t="n">
        <v>4</v>
      </c>
      <c r="E181" s="20" t="inlineStr">
        <is>
          <t>Black Peppermint</t>
        </is>
      </c>
      <c r="F181" s="52" t="inlineStr">
        <is>
          <t>Bet</t>
        </is>
      </c>
      <c r="G181" s="40" t="inlineStr">
        <is>
          <t>Bet</t>
        </is>
      </c>
      <c r="H181" s="48" t="n">
        <v>5.1</v>
      </c>
      <c r="I181" s="48" t="n">
        <v>7.04</v>
      </c>
      <c r="J181" s="22" t="n">
        <v>0.0299</v>
      </c>
      <c r="K181" s="49" t="n">
        <v>1</v>
      </c>
      <c r="L181" s="21" t="n">
        <v>3</v>
      </c>
      <c r="M181" s="46" t="inlineStr">
        <is>
          <t>Loss</t>
        </is>
      </c>
      <c r="N181" s="23">
        <f>IF(M181="Win",IF(F181="Bet",(I181-1)*K181,K181),IF(M181="Loss",IF(F181="Bet",-K181,-(I181-1)*K181),IF(M181="Void",0,"")))</f>
        <v/>
      </c>
      <c r="O181" s="24">
        <f>IF(OR(M181="Win",M181="Loss"),IF(F181="Bet",K181,(I181-1)*K181),"")</f>
        <v/>
      </c>
    </row>
    <row r="182">
      <c r="A182" s="37" t="n">
        <v>46288</v>
      </c>
      <c r="B182" s="38" t="inlineStr">
        <is>
          <t>Northam</t>
        </is>
      </c>
      <c r="C182" s="15" t="n">
        <v>6</v>
      </c>
      <c r="D182" s="15" t="n">
        <v>6</v>
      </c>
      <c r="E182" s="14" t="inlineStr">
        <is>
          <t>Heavenly Rapture</t>
        </is>
      </c>
      <c r="F182" s="39" t="inlineStr">
        <is>
          <t>Bet</t>
        </is>
      </c>
      <c r="G182" s="40" t="inlineStr">
        <is>
          <t>Bet</t>
        </is>
      </c>
      <c r="H182" s="41" t="n">
        <v>4.2</v>
      </c>
      <c r="I182" s="41" t="n">
        <v>4.8</v>
      </c>
      <c r="J182" s="16" t="n">
        <v>0.0231</v>
      </c>
      <c r="K182" s="42" t="n">
        <v>1</v>
      </c>
      <c r="L182" s="15" t="n">
        <v>5</v>
      </c>
      <c r="M182" s="43" t="inlineStr">
        <is>
          <t>Loss</t>
        </is>
      </c>
      <c r="N182" s="17">
        <f>IF(M182="Win",IF(F182="Bet",(I182-1)*K182,K182),IF(M182="Loss",IF(F182="Bet",-K182,-(I182-1)*K182),IF(M182="Void",0,"")))</f>
        <v/>
      </c>
      <c r="O182" s="18">
        <f>IF(OR(M182="Win",M182="Loss"),IF(F182="Bet",K182,(I182-1)*K182),"")</f>
        <v/>
      </c>
    </row>
    <row r="183">
      <c r="A183" s="44" t="n">
        <v>46289</v>
      </c>
      <c r="B183" s="45" t="inlineStr">
        <is>
          <t>Hawkesbury</t>
        </is>
      </c>
      <c r="C183" s="21" t="n">
        <v>5</v>
      </c>
      <c r="D183" s="21" t="n">
        <v>1</v>
      </c>
      <c r="E183" s="20" t="inlineStr">
        <is>
          <t>Oakfield Alaska</t>
        </is>
      </c>
      <c r="F183" s="52" t="inlineStr">
        <is>
          <t>Bet</t>
        </is>
      </c>
      <c r="G183" s="40" t="inlineStr">
        <is>
          <t>Bet</t>
        </is>
      </c>
      <c r="H183" s="48" t="n">
        <v>4.7</v>
      </c>
      <c r="I183" s="48" t="n">
        <v>7</v>
      </c>
      <c r="J183" s="22" t="n">
        <v>0.0309</v>
      </c>
      <c r="K183" s="49" t="n">
        <v>1</v>
      </c>
      <c r="L183" s="21" t="n">
        <v>7</v>
      </c>
      <c r="M183" s="46" t="inlineStr">
        <is>
          <t>Loss</t>
        </is>
      </c>
      <c r="N183" s="23">
        <f>IF(M183="Win",IF(F183="Bet",(I183-1)*K183,K183),IF(M183="Loss",IF(F183="Bet",-K183,-(I183-1)*K183),IF(M183="Void",0,"")))</f>
        <v/>
      </c>
      <c r="O183" s="24">
        <f>IF(OR(M183="Win",M183="Loss"),IF(F183="Bet",K183,(I183-1)*K183),"")</f>
        <v/>
      </c>
    </row>
    <row r="184">
      <c r="A184" s="37" t="n">
        <v>46289</v>
      </c>
      <c r="B184" s="38" t="inlineStr">
        <is>
          <t>Moe</t>
        </is>
      </c>
      <c r="C184" s="15" t="n">
        <v>1</v>
      </c>
      <c r="D184" s="15" t="n">
        <v>7</v>
      </c>
      <c r="E184" s="14" t="inlineStr">
        <is>
          <t>Wolves' Den</t>
        </is>
      </c>
      <c r="F184" s="39" t="inlineStr">
        <is>
          <t>Bet</t>
        </is>
      </c>
      <c r="G184" s="40" t="inlineStr">
        <is>
          <t>Bet</t>
        </is>
      </c>
      <c r="H184" s="41" t="n">
        <v>4.3</v>
      </c>
      <c r="I184" s="41" t="n">
        <v>6.15</v>
      </c>
      <c r="J184" s="16" t="n">
        <v>0.0234</v>
      </c>
      <c r="K184" s="42" t="n">
        <v>1</v>
      </c>
      <c r="L184" s="15" t="n">
        <v>1</v>
      </c>
      <c r="M184" s="51" t="inlineStr">
        <is>
          <t>Win</t>
        </is>
      </c>
      <c r="N184" s="17">
        <f>IF(M184="Win",IF(F184="Bet",(I184-1)*K184,K184),IF(M184="Loss",IF(F184="Bet",-K184,-(I184-1)*K184),IF(M184="Void",0,"")))</f>
        <v/>
      </c>
      <c r="O184" s="18">
        <f>IF(OR(M184="Win",M184="Loss"),IF(F184="Bet",K184,(I184-1)*K184),"")</f>
        <v/>
      </c>
    </row>
    <row r="185">
      <c r="A185" s="44" t="n">
        <v>46289</v>
      </c>
      <c r="B185" s="45" t="inlineStr">
        <is>
          <t>Warwick</t>
        </is>
      </c>
      <c r="C185" s="21" t="n">
        <v>4</v>
      </c>
      <c r="D185" s="21" t="n">
        <v>8</v>
      </c>
      <c r="E185" s="20" t="inlineStr">
        <is>
          <t>Head Of The River</t>
        </is>
      </c>
      <c r="F185" s="52" t="inlineStr">
        <is>
          <t>Bet</t>
        </is>
      </c>
      <c r="G185" s="40" t="inlineStr">
        <is>
          <t>Bet</t>
        </is>
      </c>
      <c r="H185" s="48" t="n">
        <v>2.3</v>
      </c>
      <c r="I185" s="48" t="n">
        <v>2.65</v>
      </c>
      <c r="J185" s="22" t="n">
        <v>0.0312</v>
      </c>
      <c r="K185" s="49" t="n">
        <v>1</v>
      </c>
      <c r="L185" s="21" t="n">
        <v>2</v>
      </c>
      <c r="M185" s="46" t="inlineStr">
        <is>
          <t>Loss</t>
        </is>
      </c>
      <c r="N185" s="23">
        <f>IF(M185="Win",IF(F185="Bet",(I185-1)*K185,K185),IF(M185="Loss",IF(F185="Bet",-K185,-(I185-1)*K185),IF(M185="Void",0,"")))</f>
        <v/>
      </c>
      <c r="O185" s="24">
        <f>IF(OR(M185="Win",M185="Loss"),IF(F185="Bet",K185,(I185-1)*K185),"")</f>
        <v/>
      </c>
    </row>
    <row r="186">
      <c r="A186" s="37" t="n">
        <v>46289</v>
      </c>
      <c r="B186" s="38" t="inlineStr">
        <is>
          <t>Goulburn</t>
        </is>
      </c>
      <c r="C186" s="15" t="n">
        <v>3</v>
      </c>
      <c r="D186" s="15" t="n">
        <v>2</v>
      </c>
      <c r="E186" s="14" t="inlineStr">
        <is>
          <t>Divine Secrets</t>
        </is>
      </c>
      <c r="F186" s="39" t="inlineStr">
        <is>
          <t>Bet</t>
        </is>
      </c>
      <c r="G186" s="40" t="inlineStr">
        <is>
          <t>Bet</t>
        </is>
      </c>
      <c r="H186" s="41" t="n">
        <v>3.8</v>
      </c>
      <c r="I186" s="41" t="n">
        <v>5.1</v>
      </c>
      <c r="J186" s="16" t="n">
        <v>0.0229</v>
      </c>
      <c r="K186" s="42" t="n">
        <v>1</v>
      </c>
      <c r="L186" s="15" t="n">
        <v>4</v>
      </c>
      <c r="M186" s="43" t="inlineStr">
        <is>
          <t>Loss</t>
        </is>
      </c>
      <c r="N186" s="17">
        <f>IF(M186="Win",IF(F186="Bet",(I186-1)*K186,K186),IF(M186="Loss",IF(F186="Bet",-K186,-(I186-1)*K186),IF(M186="Void",0,"")))</f>
        <v/>
      </c>
      <c r="O186" s="18">
        <f>IF(OR(M186="Win",M186="Loss"),IF(F186="Bet",K186,(I186-1)*K186),"")</f>
        <v/>
      </c>
    </row>
    <row r="187">
      <c r="A187" s="44" t="n">
        <v>46289</v>
      </c>
      <c r="B187" s="45" t="inlineStr">
        <is>
          <t>Goulburn</t>
        </is>
      </c>
      <c r="C187" s="21" t="n">
        <v>4</v>
      </c>
      <c r="D187" s="21" t="n">
        <v>2</v>
      </c>
      <c r="E187" s="20" t="inlineStr">
        <is>
          <t>Okami Star</t>
        </is>
      </c>
      <c r="F187" s="52" t="inlineStr">
        <is>
          <t>Bet</t>
        </is>
      </c>
      <c r="G187" s="40" t="inlineStr">
        <is>
          <t>Bet</t>
        </is>
      </c>
      <c r="H187" s="48" t="n">
        <v>7.6</v>
      </c>
      <c r="I187" s="48" t="n">
        <v>9</v>
      </c>
      <c r="J187" s="22" t="n">
        <v>0.0205</v>
      </c>
      <c r="K187" s="49" t="n">
        <v>1</v>
      </c>
      <c r="L187" s="21" t="n">
        <v>3</v>
      </c>
      <c r="M187" s="46" t="inlineStr">
        <is>
          <t>Loss</t>
        </is>
      </c>
      <c r="N187" s="23">
        <f>IF(M187="Win",IF(F187="Bet",(I187-1)*K187,K187),IF(M187="Loss",IF(F187="Bet",-K187,-(I187-1)*K187),IF(M187="Void",0,"")))</f>
        <v/>
      </c>
      <c r="O187" s="24">
        <f>IF(OR(M187="Win",M187="Loss"),IF(F187="Bet",K187,(I187-1)*K187),"")</f>
        <v/>
      </c>
    </row>
    <row r="188">
      <c r="A188" s="37" t="n">
        <v>46289</v>
      </c>
      <c r="B188" s="38" t="inlineStr">
        <is>
          <t>Moe</t>
        </is>
      </c>
      <c r="C188" s="15" t="n">
        <v>7</v>
      </c>
      <c r="D188" s="15" t="n">
        <v>6</v>
      </c>
      <c r="E188" s="14" t="inlineStr">
        <is>
          <t>Ruby Avenue</t>
        </is>
      </c>
      <c r="F188" s="39" t="inlineStr">
        <is>
          <t>Bet</t>
        </is>
      </c>
      <c r="G188" s="40" t="inlineStr">
        <is>
          <t>Bet</t>
        </is>
      </c>
      <c r="H188" s="41" t="n">
        <v>6.9</v>
      </c>
      <c r="I188" s="41" t="n">
        <v>9.5</v>
      </c>
      <c r="J188" s="16" t="n">
        <v>0.0206</v>
      </c>
      <c r="K188" s="42" t="n">
        <v>1</v>
      </c>
      <c r="L188" s="15" t="n">
        <v>5</v>
      </c>
      <c r="M188" s="43" t="inlineStr">
        <is>
          <t>Loss</t>
        </is>
      </c>
      <c r="N188" s="17">
        <f>IF(M188="Win",IF(F188="Bet",(I188-1)*K188,K188),IF(M188="Loss",IF(F188="Bet",-K188,-(I188-1)*K188),IF(M188="Void",0,"")))</f>
        <v/>
      </c>
      <c r="O188" s="18">
        <f>IF(OR(M188="Win",M188="Loss"),IF(F188="Bet",K188,(I188-1)*K188),"")</f>
        <v/>
      </c>
    </row>
    <row r="189">
      <c r="A189" s="44" t="n">
        <v>46290</v>
      </c>
      <c r="B189" s="45" t="inlineStr">
        <is>
          <t>Lismore</t>
        </is>
      </c>
      <c r="C189" s="21" t="n">
        <v>4</v>
      </c>
      <c r="D189" s="21" t="n">
        <v>2</v>
      </c>
      <c r="E189" s="20" t="inlineStr">
        <is>
          <t>Jade Trees</t>
        </is>
      </c>
      <c r="F189" s="52" t="inlineStr">
        <is>
          <t>Bet</t>
        </is>
      </c>
      <c r="G189" s="40" t="inlineStr">
        <is>
          <t>Bet</t>
        </is>
      </c>
      <c r="H189" s="48" t="n">
        <v>2.9</v>
      </c>
      <c r="I189" s="48" t="n">
        <v>3.3</v>
      </c>
      <c r="J189" s="22" t="n">
        <v>0.0426</v>
      </c>
      <c r="K189" s="49" t="n">
        <v>1</v>
      </c>
      <c r="L189" s="21" t="n">
        <v>6</v>
      </c>
      <c r="M189" s="46" t="inlineStr">
        <is>
          <t>Loss</t>
        </is>
      </c>
      <c r="N189" s="23">
        <f>IF(M189="Win",IF(F189="Bet",(I189-1)*K189,K189),IF(M189="Loss",IF(F189="Bet",-K189,-(I189-1)*K189),IF(M189="Void",0,"")))</f>
        <v/>
      </c>
      <c r="O189" s="24">
        <f>IF(OR(M189="Win",M189="Loss"),IF(F189="Bet",K189,(I189-1)*K189),"")</f>
        <v/>
      </c>
    </row>
    <row r="190">
      <c r="A190" s="37" t="n">
        <v>46290</v>
      </c>
      <c r="B190" s="38" t="inlineStr">
        <is>
          <t>Scone</t>
        </is>
      </c>
      <c r="C190" s="15" t="n">
        <v>3</v>
      </c>
      <c r="D190" s="15" t="n">
        <v>4</v>
      </c>
      <c r="E190" s="14" t="inlineStr">
        <is>
          <t>Think Back</t>
        </is>
      </c>
      <c r="F190" s="39" t="inlineStr">
        <is>
          <t>Bet</t>
        </is>
      </c>
      <c r="G190" s="40" t="inlineStr">
        <is>
          <t>Bet</t>
        </is>
      </c>
      <c r="H190" s="41" t="n">
        <v>2.35</v>
      </c>
      <c r="I190" s="41" t="n">
        <v>2.6</v>
      </c>
      <c r="J190" s="16" t="n">
        <v>0.037</v>
      </c>
      <c r="K190" s="42" t="n">
        <v>1</v>
      </c>
      <c r="L190" s="15" t="n">
        <v>3</v>
      </c>
      <c r="M190" s="43" t="inlineStr">
        <is>
          <t>Loss</t>
        </is>
      </c>
      <c r="N190" s="17">
        <f>IF(M190="Win",IF(F190="Bet",(I190-1)*K190,K190),IF(M190="Loss",IF(F190="Bet",-K190,-(I190-1)*K190),IF(M190="Void",0,"")))</f>
        <v/>
      </c>
      <c r="O190" s="18">
        <f>IF(OR(M190="Win",M190="Loss"),IF(F190="Bet",K190,(I190-1)*K190),"")</f>
        <v/>
      </c>
    </row>
    <row r="191">
      <c r="A191" s="44" t="n">
        <v>46290</v>
      </c>
      <c r="B191" s="45" t="inlineStr">
        <is>
          <t>Cranbourne</t>
        </is>
      </c>
      <c r="C191" s="21" t="n">
        <v>4</v>
      </c>
      <c r="D191" s="21" t="n">
        <v>1</v>
      </c>
      <c r="E191" s="20" t="inlineStr">
        <is>
          <t>Ocean Bay</t>
        </is>
      </c>
      <c r="F191" s="52" t="inlineStr">
        <is>
          <t>Bet</t>
        </is>
      </c>
      <c r="G191" s="53" t="inlineStr">
        <is>
          <t>Prime</t>
        </is>
      </c>
      <c r="H191" s="48" t="n">
        <v>2.75</v>
      </c>
      <c r="I191" s="48" t="n">
        <v>3.35</v>
      </c>
      <c r="J191" s="22" t="n">
        <v>0.0397</v>
      </c>
      <c r="K191" s="49" t="n">
        <v>1</v>
      </c>
      <c r="L191" s="21" t="n">
        <v>2</v>
      </c>
      <c r="M191" s="46" t="inlineStr">
        <is>
          <t>Loss</t>
        </is>
      </c>
      <c r="N191" s="23">
        <f>IF(M191="Win",IF(F191="Bet",(I191-1)*K191,K191),IF(M191="Loss",IF(F191="Bet",-K191,-(I191-1)*K191),IF(M191="Void",0,"")))</f>
        <v/>
      </c>
      <c r="O191" s="24">
        <f>IF(OR(M191="Win",M191="Loss"),IF(F191="Bet",K191,(I191-1)*K191),"")</f>
        <v/>
      </c>
    </row>
    <row r="192">
      <c r="A192" s="37" t="n">
        <v>46290</v>
      </c>
      <c r="B192" s="38" t="inlineStr">
        <is>
          <t>Cranbourne</t>
        </is>
      </c>
      <c r="C192" s="15" t="n">
        <v>1</v>
      </c>
      <c r="D192" s="15" t="n">
        <v>5</v>
      </c>
      <c r="E192" s="14" t="inlineStr">
        <is>
          <t>Over The Bridge</t>
        </is>
      </c>
      <c r="F192" s="39" t="inlineStr">
        <is>
          <t>Bet</t>
        </is>
      </c>
      <c r="G192" s="40" t="inlineStr">
        <is>
          <t>Bet</t>
        </is>
      </c>
      <c r="H192" s="41" t="n">
        <v>1.75</v>
      </c>
      <c r="I192" s="41" t="n">
        <v>1.9</v>
      </c>
      <c r="J192" s="16" t="n">
        <v>0.0514</v>
      </c>
      <c r="K192" s="42" t="n">
        <v>1</v>
      </c>
      <c r="L192" s="15" t="n"/>
      <c r="M192" s="54" t="inlineStr">
        <is>
          <t>Void</t>
        </is>
      </c>
      <c r="N192" s="17">
        <f>IF(M192="Win",IF(F192="Bet",(I192-1)*K192,K192),IF(M192="Loss",IF(F192="Bet",-K192,-(I192-1)*K192),IF(M192="Void",0,"")))</f>
        <v/>
      </c>
      <c r="O192" s="18">
        <f>IF(OR(M192="Win",M192="Loss"),IF(F192="Bet",K192,(I192-1)*K192),"")</f>
        <v/>
      </c>
    </row>
    <row r="193">
      <c r="A193" s="44" t="n">
        <v>46290</v>
      </c>
      <c r="B193" s="45" t="inlineStr">
        <is>
          <t>Darwin</t>
        </is>
      </c>
      <c r="C193" s="21" t="n">
        <v>4</v>
      </c>
      <c r="D193" s="21" t="n">
        <v>3</v>
      </c>
      <c r="E193" s="20" t="inlineStr">
        <is>
          <t>Bruno Bruno</t>
        </is>
      </c>
      <c r="F193" s="52" t="inlineStr">
        <is>
          <t>Bet</t>
        </is>
      </c>
      <c r="G193" s="53" t="inlineStr">
        <is>
          <t>Prime</t>
        </is>
      </c>
      <c r="H193" s="48" t="n">
        <v>3.1</v>
      </c>
      <c r="I193" s="48" t="n">
        <v>4.2</v>
      </c>
      <c r="J193" s="22" t="n">
        <v>0.0575</v>
      </c>
      <c r="K193" s="49" t="n">
        <v>1</v>
      </c>
      <c r="L193" s="21" t="n">
        <v>2</v>
      </c>
      <c r="M193" s="46" t="inlineStr">
        <is>
          <t>Loss</t>
        </is>
      </c>
      <c r="N193" s="23">
        <f>IF(M193="Win",IF(F193="Bet",(I193-1)*K193,K193),IF(M193="Loss",IF(F193="Bet",-K193,-(I193-1)*K193),IF(M193="Void",0,"")))</f>
        <v/>
      </c>
      <c r="O193" s="24">
        <f>IF(OR(M193="Win",M193="Loss"),IF(F193="Bet",K193,(I193-1)*K193),"")</f>
        <v/>
      </c>
    </row>
    <row r="194">
      <c r="A194" s="37" t="n">
        <v>46290</v>
      </c>
      <c r="B194" s="38" t="inlineStr">
        <is>
          <t>Darwin</t>
        </is>
      </c>
      <c r="C194" s="15" t="n">
        <v>5</v>
      </c>
      <c r="D194" s="15" t="n">
        <v>1</v>
      </c>
      <c r="E194" s="14" t="inlineStr">
        <is>
          <t>I'm A Dreamer</t>
        </is>
      </c>
      <c r="F194" s="39" t="inlineStr">
        <is>
          <t>Bet</t>
        </is>
      </c>
      <c r="G194" s="40" t="inlineStr">
        <is>
          <t>Bet</t>
        </is>
      </c>
      <c r="H194" s="41" t="n">
        <v>6.8</v>
      </c>
      <c r="I194" s="41" t="n">
        <v>12</v>
      </c>
      <c r="J194" s="16" t="n">
        <v>0.0226</v>
      </c>
      <c r="K194" s="42" t="n">
        <v>1</v>
      </c>
      <c r="L194" s="15" t="n">
        <v>6</v>
      </c>
      <c r="M194" s="43" t="inlineStr">
        <is>
          <t>Loss</t>
        </is>
      </c>
      <c r="N194" s="17">
        <f>IF(M194="Win",IF(F194="Bet",(I194-1)*K194,K194),IF(M194="Loss",IF(F194="Bet",-K194,-(I194-1)*K194),IF(M194="Void",0,"")))</f>
        <v/>
      </c>
      <c r="O194" s="18">
        <f>IF(OR(M194="Win",M194="Loss"),IF(F194="Bet",K194,(I194-1)*K194),"")</f>
        <v/>
      </c>
    </row>
    <row r="195">
      <c r="A195" s="44" t="n">
        <v>46290</v>
      </c>
      <c r="B195" s="45" t="inlineStr">
        <is>
          <t>Sunshine Coast</t>
        </is>
      </c>
      <c r="C195" s="21" t="n">
        <v>4</v>
      </c>
      <c r="D195" s="21" t="n">
        <v>1</v>
      </c>
      <c r="E195" s="20" t="inlineStr">
        <is>
          <t>Oohlalouvre</t>
        </is>
      </c>
      <c r="F195" s="52" t="inlineStr">
        <is>
          <t>Bet</t>
        </is>
      </c>
      <c r="G195" s="53" t="inlineStr">
        <is>
          <t>Prime</t>
        </is>
      </c>
      <c r="H195" s="48" t="n">
        <v>2.25</v>
      </c>
      <c r="I195" s="48" t="n">
        <v>2.7</v>
      </c>
      <c r="J195" s="22" t="n">
        <v>0.0207</v>
      </c>
      <c r="K195" s="49" t="n">
        <v>1</v>
      </c>
      <c r="L195" s="21" t="n">
        <v>1</v>
      </c>
      <c r="M195" s="50" t="inlineStr">
        <is>
          <t>Win</t>
        </is>
      </c>
      <c r="N195" s="23">
        <f>IF(M195="Win",IF(F195="Bet",(I195-1)*K195,K195),IF(M195="Loss",IF(F195="Bet",-K195,-(I195-1)*K195),IF(M195="Void",0,"")))</f>
        <v/>
      </c>
      <c r="O195" s="24">
        <f>IF(OR(M195="Win",M195="Loss"),IF(F195="Bet",K195,(I195-1)*K195),"")</f>
        <v/>
      </c>
    </row>
    <row r="196">
      <c r="A196" s="37" t="n">
        <v>46290</v>
      </c>
      <c r="B196" s="38" t="inlineStr">
        <is>
          <t>Darwin</t>
        </is>
      </c>
      <c r="C196" s="15" t="n">
        <v>6</v>
      </c>
      <c r="D196" s="15" t="n">
        <v>4</v>
      </c>
      <c r="E196" s="14" t="inlineStr">
        <is>
          <t>Awash</t>
        </is>
      </c>
      <c r="F196" s="39" t="inlineStr">
        <is>
          <t>Bet</t>
        </is>
      </c>
      <c r="G196" s="40" t="inlineStr">
        <is>
          <t>Bet</t>
        </is>
      </c>
      <c r="H196" s="41" t="n">
        <v>5</v>
      </c>
      <c r="I196" s="41" t="n">
        <v>6.5</v>
      </c>
      <c r="J196" s="16" t="n">
        <v>0.02</v>
      </c>
      <c r="K196" s="42" t="n">
        <v>1</v>
      </c>
      <c r="L196" s="15" t="n">
        <v>5</v>
      </c>
      <c r="M196" s="43" t="inlineStr">
        <is>
          <t>Loss</t>
        </is>
      </c>
      <c r="N196" s="17">
        <f>IF(M196="Win",IF(F196="Bet",(I196-1)*K196,K196),IF(M196="Loss",IF(F196="Bet",-K196,-(I196-1)*K196),IF(M196="Void",0,"")))</f>
        <v/>
      </c>
      <c r="O196" s="18">
        <f>IF(OR(M196="Win",M196="Loss"),IF(F196="Bet",K196,(I196-1)*K196),"")</f>
        <v/>
      </c>
    </row>
    <row r="197">
      <c r="A197" s="44" t="n">
        <v>46290</v>
      </c>
      <c r="B197" s="45" t="inlineStr">
        <is>
          <t>Launceston</t>
        </is>
      </c>
      <c r="C197" s="21" t="n">
        <v>8</v>
      </c>
      <c r="D197" s="21" t="n">
        <v>1</v>
      </c>
      <c r="E197" s="20" t="inlineStr">
        <is>
          <t>Ozonica</t>
        </is>
      </c>
      <c r="F197" s="52" t="inlineStr">
        <is>
          <t>Bet</t>
        </is>
      </c>
      <c r="G197" s="53" t="inlineStr">
        <is>
          <t>Prime</t>
        </is>
      </c>
      <c r="H197" s="48" t="n">
        <v>2.45</v>
      </c>
      <c r="I197" s="48" t="n">
        <v>3.76</v>
      </c>
      <c r="J197" s="22" t="n">
        <v>0.0206</v>
      </c>
      <c r="K197" s="49" t="n">
        <v>1</v>
      </c>
      <c r="L197" s="21" t="n">
        <v>2</v>
      </c>
      <c r="M197" s="46" t="inlineStr">
        <is>
          <t>Loss</t>
        </is>
      </c>
      <c r="N197" s="23">
        <f>IF(M197="Win",IF(F197="Bet",(I197-1)*K197,K197),IF(M197="Loss",IF(F197="Bet",-K197,-(I197-1)*K197),IF(M197="Void",0,"")))</f>
        <v/>
      </c>
      <c r="O197" s="24">
        <f>IF(OR(M197="Win",M197="Loss"),IF(F197="Bet",K197,(I197-1)*K197),"")</f>
        <v/>
      </c>
    </row>
    <row r="198">
      <c r="A198" s="37" t="n">
        <v>46290</v>
      </c>
      <c r="B198" s="38" t="inlineStr">
        <is>
          <t>Sunshine Coast</t>
        </is>
      </c>
      <c r="C198" s="15" t="n">
        <v>3</v>
      </c>
      <c r="D198" s="15" t="n">
        <v>6</v>
      </c>
      <c r="E198" s="14" t="inlineStr">
        <is>
          <t>Mishani Crown</t>
        </is>
      </c>
      <c r="F198" s="39" t="inlineStr">
        <is>
          <t>Bet</t>
        </is>
      </c>
      <c r="G198" s="53" t="inlineStr">
        <is>
          <t>Prime</t>
        </is>
      </c>
      <c r="H198" s="41" t="n">
        <v>2.35</v>
      </c>
      <c r="I198" s="41" t="n">
        <v>3</v>
      </c>
      <c r="J198" s="16" t="n">
        <v>0.0573</v>
      </c>
      <c r="K198" s="42" t="n">
        <v>1</v>
      </c>
      <c r="L198" s="15" t="n">
        <v>1</v>
      </c>
      <c r="M198" s="51" t="inlineStr">
        <is>
          <t>Win</t>
        </is>
      </c>
      <c r="N198" s="17">
        <f>IF(M198="Win",IF(F198="Bet",(I198-1)*K198,K198),IF(M198="Loss",IF(F198="Bet",-K198,-(I198-1)*K198),IF(M198="Void",0,"")))</f>
        <v/>
      </c>
      <c r="O198" s="18">
        <f>IF(OR(M198="Win",M198="Loss"),IF(F198="Bet",K198,(I198-1)*K198),"")</f>
        <v/>
      </c>
    </row>
    <row r="199">
      <c r="A199" s="44" t="n">
        <v>46290</v>
      </c>
      <c r="B199" s="45" t="inlineStr">
        <is>
          <t>Lismore</t>
        </is>
      </c>
      <c r="C199" s="21" t="n">
        <v>1</v>
      </c>
      <c r="D199" s="21" t="n">
        <v>6</v>
      </c>
      <c r="E199" s="20" t="inlineStr">
        <is>
          <t>So Sain</t>
        </is>
      </c>
      <c r="F199" s="52" t="inlineStr">
        <is>
          <t>Bet</t>
        </is>
      </c>
      <c r="G199" s="40" t="inlineStr">
        <is>
          <t>Bet</t>
        </is>
      </c>
      <c r="H199" s="48" t="n">
        <v>4.8</v>
      </c>
      <c r="I199" s="48" t="n">
        <v>6</v>
      </c>
      <c r="J199" s="22" t="n">
        <v>0.0264</v>
      </c>
      <c r="K199" s="49" t="n">
        <v>1</v>
      </c>
      <c r="L199" s="21" t="n">
        <v>5</v>
      </c>
      <c r="M199" s="46" t="inlineStr">
        <is>
          <t>Loss</t>
        </is>
      </c>
      <c r="N199" s="23">
        <f>IF(M199="Win",IF(F199="Bet",(I199-1)*K199,K199),IF(M199="Loss",IF(F199="Bet",-K199,-(I199-1)*K199),IF(M199="Void",0,"")))</f>
        <v/>
      </c>
      <c r="O199" s="24">
        <f>IF(OR(M199="Win",M199="Loss"),IF(F199="Bet",K199,(I199-1)*K199),"")</f>
        <v/>
      </c>
    </row>
    <row r="200">
      <c r="A200" s="37" t="n">
        <v>46290</v>
      </c>
      <c r="B200" s="38" t="inlineStr">
        <is>
          <t>Coleraine</t>
        </is>
      </c>
      <c r="C200" s="15" t="n">
        <v>7</v>
      </c>
      <c r="D200" s="15" t="n">
        <v>2</v>
      </c>
      <c r="E200" s="14" t="inlineStr">
        <is>
          <t>Miracle Spin</t>
        </is>
      </c>
      <c r="F200" s="39" t="inlineStr">
        <is>
          <t>Bet</t>
        </is>
      </c>
      <c r="G200" s="40" t="inlineStr">
        <is>
          <t>Bet</t>
        </is>
      </c>
      <c r="H200" s="41" t="n">
        <v>4.7</v>
      </c>
      <c r="I200" s="41" t="n">
        <v>5.75</v>
      </c>
      <c r="J200" s="16" t="n">
        <v>0.0224</v>
      </c>
      <c r="K200" s="42" t="n">
        <v>1</v>
      </c>
      <c r="L200" s="15" t="n">
        <v>7</v>
      </c>
      <c r="M200" s="43" t="inlineStr">
        <is>
          <t>Loss</t>
        </is>
      </c>
      <c r="N200" s="17">
        <f>IF(M200="Win",IF(F200="Bet",(I200-1)*K200,K200),IF(M200="Loss",IF(F200="Bet",-K200,-(I200-1)*K200),IF(M200="Void",0,"")))</f>
        <v/>
      </c>
      <c r="O200" s="18">
        <f>IF(OR(M200="Win",M200="Loss"),IF(F200="Bet",K200,(I200-1)*K200),"")</f>
        <v/>
      </c>
    </row>
    <row r="201">
      <c r="A201" s="44" t="n">
        <v>46290</v>
      </c>
      <c r="B201" s="45" t="inlineStr">
        <is>
          <t>Ewan</t>
        </is>
      </c>
      <c r="C201" s="21" t="n">
        <v>3</v>
      </c>
      <c r="D201" s="21" t="n">
        <v>1</v>
      </c>
      <c r="E201" s="20" t="inlineStr">
        <is>
          <t>Yes Dream</t>
        </is>
      </c>
      <c r="F201" s="52" t="inlineStr">
        <is>
          <t>Bet</t>
        </is>
      </c>
      <c r="G201" s="40" t="inlineStr">
        <is>
          <t>Bet</t>
        </is>
      </c>
      <c r="H201" s="48" t="n">
        <v>6</v>
      </c>
      <c r="I201" s="48" t="n">
        <v>8</v>
      </c>
      <c r="J201" s="22" t="n">
        <v>0.0225</v>
      </c>
      <c r="K201" s="49" t="n">
        <v>1</v>
      </c>
      <c r="L201" s="21" t="n">
        <v>1</v>
      </c>
      <c r="M201" s="50" t="inlineStr">
        <is>
          <t>Win</t>
        </is>
      </c>
      <c r="N201" s="23">
        <f>IF(M201="Win",IF(F201="Bet",(I201-1)*K201,K201),IF(M201="Loss",IF(F201="Bet",-K201,-(I201-1)*K201),IF(M201="Void",0,"")))</f>
        <v/>
      </c>
      <c r="O201" s="24">
        <f>IF(OR(M201="Win",M201="Loss"),IF(F201="Bet",K201,(I201-1)*K201),"")</f>
        <v/>
      </c>
    </row>
    <row r="202">
      <c r="A202" s="37" t="n">
        <v>46290</v>
      </c>
      <c r="B202" s="38" t="inlineStr">
        <is>
          <t>Cranbourne</t>
        </is>
      </c>
      <c r="C202" s="15" t="n">
        <v>3</v>
      </c>
      <c r="D202" s="15" t="n">
        <v>9</v>
      </c>
      <c r="E202" s="14" t="inlineStr">
        <is>
          <t>Shooting Brake</t>
        </is>
      </c>
      <c r="F202" s="39" t="inlineStr">
        <is>
          <t>Bet</t>
        </is>
      </c>
      <c r="G202" s="40" t="inlineStr">
        <is>
          <t>Bet</t>
        </is>
      </c>
      <c r="H202" s="41" t="n">
        <v>3</v>
      </c>
      <c r="I202" s="41" t="n">
        <v>4.4</v>
      </c>
      <c r="J202" s="16" t="n">
        <v>0.0255</v>
      </c>
      <c r="K202" s="42" t="n">
        <v>1</v>
      </c>
      <c r="L202" s="15" t="n">
        <v>4</v>
      </c>
      <c r="M202" s="43" t="inlineStr">
        <is>
          <t>Loss</t>
        </is>
      </c>
      <c r="N202" s="17">
        <f>IF(M202="Win",IF(F202="Bet",(I202-1)*K202,K202),IF(M202="Loss",IF(F202="Bet",-K202,-(I202-1)*K202),IF(M202="Void",0,"")))</f>
        <v/>
      </c>
      <c r="O202" s="18">
        <f>IF(OR(M202="Win",M202="Loss"),IF(F202="Bet",K202,(I202-1)*K202),"")</f>
        <v/>
      </c>
    </row>
    <row r="203">
      <c r="A203" s="44" t="n">
        <v>46290</v>
      </c>
      <c r="B203" s="45" t="inlineStr">
        <is>
          <t>Coleraine</t>
        </is>
      </c>
      <c r="C203" s="21" t="n">
        <v>1</v>
      </c>
      <c r="D203" s="21" t="n">
        <v>5</v>
      </c>
      <c r="E203" s="20" t="inlineStr">
        <is>
          <t>Mister Solly</t>
        </is>
      </c>
      <c r="F203" s="52" t="inlineStr">
        <is>
          <t>Bet</t>
        </is>
      </c>
      <c r="G203" s="40" t="inlineStr">
        <is>
          <t>Bet</t>
        </is>
      </c>
      <c r="H203" s="48" t="n">
        <v>6.4</v>
      </c>
      <c r="I203" s="48" t="n">
        <v>8</v>
      </c>
      <c r="J203" s="22" t="n">
        <v>0.0222</v>
      </c>
      <c r="K203" s="49" t="n">
        <v>1</v>
      </c>
      <c r="L203" s="21" t="n">
        <v>8</v>
      </c>
      <c r="M203" s="46" t="inlineStr">
        <is>
          <t>Loss</t>
        </is>
      </c>
      <c r="N203" s="23">
        <f>IF(M203="Win",IF(F203="Bet",(I203-1)*K203,K203),IF(M203="Loss",IF(F203="Bet",-K203,-(I203-1)*K203),IF(M203="Void",0,"")))</f>
        <v/>
      </c>
      <c r="O203" s="24">
        <f>IF(OR(M203="Win",M203="Loss"),IF(F203="Bet",K203,(I203-1)*K203),"")</f>
        <v/>
      </c>
    </row>
    <row r="204">
      <c r="A204" s="37" t="n">
        <v>46290</v>
      </c>
      <c r="B204" s="38" t="inlineStr">
        <is>
          <t>Lismore</t>
        </is>
      </c>
      <c r="C204" s="15" t="n">
        <v>3</v>
      </c>
      <c r="D204" s="15" t="n">
        <v>1</v>
      </c>
      <c r="E204" s="14" t="inlineStr">
        <is>
          <t>Barello</t>
        </is>
      </c>
      <c r="F204" s="39" t="inlineStr">
        <is>
          <t>Bet</t>
        </is>
      </c>
      <c r="G204" s="40" t="inlineStr">
        <is>
          <t>Bet</t>
        </is>
      </c>
      <c r="H204" s="41" t="n">
        <v>5.6</v>
      </c>
      <c r="I204" s="41" t="n">
        <v>6.5</v>
      </c>
      <c r="J204" s="16" t="n">
        <v>0.0248</v>
      </c>
      <c r="K204" s="42" t="n">
        <v>1</v>
      </c>
      <c r="L204" s="15" t="n">
        <v>5</v>
      </c>
      <c r="M204" s="43" t="inlineStr">
        <is>
          <t>Loss</t>
        </is>
      </c>
      <c r="N204" s="17">
        <f>IF(M204="Win",IF(F204="Bet",(I204-1)*K204,K204),IF(M204="Loss",IF(F204="Bet",-K204,-(I204-1)*K204),IF(M204="Void",0,"")))</f>
        <v/>
      </c>
      <c r="O204" s="18">
        <f>IF(OR(M204="Win",M204="Loss"),IF(F204="Bet",K204,(I204-1)*K204),"")</f>
        <v/>
      </c>
    </row>
    <row r="205">
      <c r="A205" s="44" t="n">
        <v>46290</v>
      </c>
      <c r="B205" s="45" t="inlineStr">
        <is>
          <t>Ewan</t>
        </is>
      </c>
      <c r="C205" s="21" t="n">
        <v>2</v>
      </c>
      <c r="D205" s="21" t="n">
        <v>6</v>
      </c>
      <c r="E205" s="20" t="inlineStr">
        <is>
          <t>Tarong</t>
        </is>
      </c>
      <c r="F205" s="52" t="inlineStr">
        <is>
          <t>Bet</t>
        </is>
      </c>
      <c r="G205" s="40" t="inlineStr">
        <is>
          <t>Bet</t>
        </is>
      </c>
      <c r="H205" s="48" t="n">
        <v>7.1</v>
      </c>
      <c r="I205" s="48" t="n">
        <v>8.5</v>
      </c>
      <c r="J205" s="22" t="n">
        <v>0.0232</v>
      </c>
      <c r="K205" s="49" t="n">
        <v>1</v>
      </c>
      <c r="L205" s="21" t="n">
        <v>5</v>
      </c>
      <c r="M205" s="46" t="inlineStr">
        <is>
          <t>Loss</t>
        </is>
      </c>
      <c r="N205" s="23">
        <f>IF(M205="Win",IF(F205="Bet",(I205-1)*K205,K205),IF(M205="Loss",IF(F205="Bet",-K205,-(I205-1)*K205),IF(M205="Void",0,"")))</f>
        <v/>
      </c>
      <c r="O205" s="24">
        <f>IF(OR(M205="Win",M205="Loss"),IF(F205="Bet",K205,(I205-1)*K205),"")</f>
        <v/>
      </c>
    </row>
    <row r="206">
      <c r="A206" s="37" t="n">
        <v>46290</v>
      </c>
      <c r="B206" s="38" t="inlineStr">
        <is>
          <t>Ewan</t>
        </is>
      </c>
      <c r="C206" s="15" t="n">
        <v>5</v>
      </c>
      <c r="D206" s="15" t="n">
        <v>1</v>
      </c>
      <c r="E206" s="14" t="inlineStr">
        <is>
          <t>Airwaves</t>
        </is>
      </c>
      <c r="F206" s="39" t="inlineStr">
        <is>
          <t>Bet</t>
        </is>
      </c>
      <c r="G206" s="40" t="inlineStr">
        <is>
          <t>Bet</t>
        </is>
      </c>
      <c r="H206" s="41" t="n">
        <v>5.4</v>
      </c>
      <c r="I206" s="41" t="n">
        <v>6.51</v>
      </c>
      <c r="J206" s="16" t="n">
        <v>0.0202</v>
      </c>
      <c r="K206" s="42" t="n">
        <v>1</v>
      </c>
      <c r="L206" s="15" t="n">
        <v>1</v>
      </c>
      <c r="M206" s="51" t="inlineStr">
        <is>
          <t>Win</t>
        </is>
      </c>
      <c r="N206" s="17">
        <f>IF(M206="Win",IF(F206="Bet",(I206-1)*K206,K206),IF(M206="Loss",IF(F206="Bet",-K206,-(I206-1)*K206),IF(M206="Void",0,"")))</f>
        <v/>
      </c>
      <c r="O206" s="18">
        <f>IF(OR(M206="Win",M206="Loss"),IF(F206="Bet",K206,(I206-1)*K206),"")</f>
        <v/>
      </c>
    </row>
    <row r="207">
      <c r="A207" s="44" t="n">
        <v>46290</v>
      </c>
      <c r="B207" s="45" t="inlineStr">
        <is>
          <t>Coleraine</t>
        </is>
      </c>
      <c r="C207" s="21" t="n">
        <v>6</v>
      </c>
      <c r="D207" s="21" t="n">
        <v>6</v>
      </c>
      <c r="E207" s="20" t="inlineStr">
        <is>
          <t>Cool Star</t>
        </is>
      </c>
      <c r="F207" s="52" t="inlineStr">
        <is>
          <t>Bet</t>
        </is>
      </c>
      <c r="G207" s="40" t="inlineStr">
        <is>
          <t>Bet</t>
        </is>
      </c>
      <c r="H207" s="48" t="n">
        <v>5.7</v>
      </c>
      <c r="I207" s="48" t="n">
        <v>7.8</v>
      </c>
      <c r="J207" s="22" t="n">
        <v>0.0208</v>
      </c>
      <c r="K207" s="49" t="n">
        <v>1</v>
      </c>
      <c r="L207" s="21" t="n">
        <v>2</v>
      </c>
      <c r="M207" s="46" t="inlineStr">
        <is>
          <t>Loss</t>
        </is>
      </c>
      <c r="N207" s="23">
        <f>IF(M207="Win",IF(F207="Bet",(I207-1)*K207,K207),IF(M207="Loss",IF(F207="Bet",-K207,-(I207-1)*K207),IF(M207="Void",0,"")))</f>
        <v/>
      </c>
      <c r="O207" s="24">
        <f>IF(OR(M207="Win",M207="Loss"),IF(F207="Bet",K207,(I207-1)*K207),"")</f>
        <v/>
      </c>
    </row>
    <row r="208">
      <c r="A208" s="37" t="n">
        <v>46290</v>
      </c>
      <c r="B208" s="38" t="inlineStr">
        <is>
          <t>Sunshine Coast</t>
        </is>
      </c>
      <c r="C208" s="15" t="n">
        <v>1</v>
      </c>
      <c r="D208" s="15" t="n">
        <v>3</v>
      </c>
      <c r="E208" s="14" t="inlineStr">
        <is>
          <t>Seaticflash</t>
        </is>
      </c>
      <c r="F208" s="39" t="inlineStr">
        <is>
          <t>Bet</t>
        </is>
      </c>
      <c r="G208" s="40" t="inlineStr">
        <is>
          <t>Bet</t>
        </is>
      </c>
      <c r="H208" s="41" t="n">
        <v>4.3</v>
      </c>
      <c r="I208" s="41" t="n">
        <v>7.54</v>
      </c>
      <c r="J208" s="16" t="n">
        <v>0.0236</v>
      </c>
      <c r="K208" s="42" t="n">
        <v>1</v>
      </c>
      <c r="L208" s="15" t="n">
        <v>2</v>
      </c>
      <c r="M208" s="43" t="inlineStr">
        <is>
          <t>Loss</t>
        </is>
      </c>
      <c r="N208" s="17">
        <f>IF(M208="Win",IF(F208="Bet",(I208-1)*K208,K208),IF(M208="Loss",IF(F208="Bet",-K208,-(I208-1)*K208),IF(M208="Void",0,"")))</f>
        <v/>
      </c>
      <c r="O208" s="18">
        <f>IF(OR(M208="Win",M208="Loss"),IF(F208="Bet",K208,(I208-1)*K208),"")</f>
        <v/>
      </c>
    </row>
    <row r="209">
      <c r="A209" s="44" t="n">
        <v>46290</v>
      </c>
      <c r="B209" s="45" t="inlineStr">
        <is>
          <t>Coleraine</t>
        </is>
      </c>
      <c r="C209" s="21" t="n">
        <v>8</v>
      </c>
      <c r="D209" s="21" t="n">
        <v>1</v>
      </c>
      <c r="E209" s="20" t="inlineStr">
        <is>
          <t>Interjection</t>
        </is>
      </c>
      <c r="F209" s="52" t="inlineStr">
        <is>
          <t>Bet</t>
        </is>
      </c>
      <c r="G209" s="40" t="inlineStr">
        <is>
          <t>Bet</t>
        </is>
      </c>
      <c r="H209" s="48" t="n">
        <v>7.9</v>
      </c>
      <c r="I209" s="48" t="n">
        <v>10</v>
      </c>
      <c r="J209" s="22" t="n">
        <v>0.0213</v>
      </c>
      <c r="K209" s="49" t="n">
        <v>1</v>
      </c>
      <c r="L209" s="21" t="n">
        <v>8</v>
      </c>
      <c r="M209" s="46" t="inlineStr">
        <is>
          <t>Loss</t>
        </is>
      </c>
      <c r="N209" s="23">
        <f>IF(M209="Win",IF(F209="Bet",(I209-1)*K209,K209),IF(M209="Loss",IF(F209="Bet",-K209,-(I209-1)*K209),IF(M209="Void",0,"")))</f>
        <v/>
      </c>
      <c r="O209" s="24">
        <f>IF(OR(M209="Win",M209="Loss"),IF(F209="Bet",K209,(I209-1)*K209),"")</f>
        <v/>
      </c>
    </row>
    <row r="210">
      <c r="A210" s="37" t="n">
        <v>46290</v>
      </c>
      <c r="B210" s="38" t="inlineStr">
        <is>
          <t>Launceston</t>
        </is>
      </c>
      <c r="C210" s="15" t="n">
        <v>4</v>
      </c>
      <c r="D210" s="15" t="n">
        <v>1</v>
      </c>
      <c r="E210" s="14" t="inlineStr">
        <is>
          <t>Kakia</t>
        </is>
      </c>
      <c r="F210" s="39" t="inlineStr">
        <is>
          <t>Bet</t>
        </is>
      </c>
      <c r="G210" s="40" t="inlineStr">
        <is>
          <t>Bet</t>
        </is>
      </c>
      <c r="H210" s="41" t="n">
        <v>6.9</v>
      </c>
      <c r="I210" s="41" t="n">
        <v>9.34</v>
      </c>
      <c r="J210" s="16" t="n">
        <v>0.0202</v>
      </c>
      <c r="K210" s="42" t="n">
        <v>1</v>
      </c>
      <c r="L210" s="15" t="n">
        <v>3</v>
      </c>
      <c r="M210" s="43" t="inlineStr">
        <is>
          <t>Loss</t>
        </is>
      </c>
      <c r="N210" s="17">
        <f>IF(M210="Win",IF(F210="Bet",(I210-1)*K210,K210),IF(M210="Loss",IF(F210="Bet",-K210,-(I210-1)*K210),IF(M210="Void",0,"")))</f>
        <v/>
      </c>
      <c r="O210" s="18">
        <f>IF(OR(M210="Win",M210="Loss"),IF(F210="Bet",K210,(I210-1)*K210),"")</f>
        <v/>
      </c>
    </row>
    <row r="211">
      <c r="A211" s="44" t="n">
        <v>46290</v>
      </c>
      <c r="B211" s="45" t="inlineStr">
        <is>
          <t>Cranbourne</t>
        </is>
      </c>
      <c r="C211" s="21" t="n">
        <v>5</v>
      </c>
      <c r="D211" s="21" t="n">
        <v>1</v>
      </c>
      <c r="E211" s="20" t="inlineStr">
        <is>
          <t>Euphoric</t>
        </is>
      </c>
      <c r="F211" s="52" t="inlineStr">
        <is>
          <t>Bet</t>
        </is>
      </c>
      <c r="G211" s="40" t="inlineStr">
        <is>
          <t>Bet</t>
        </is>
      </c>
      <c r="H211" s="48" t="n">
        <v>6.1</v>
      </c>
      <c r="I211" s="48" t="n">
        <v>7.5</v>
      </c>
      <c r="J211" s="22" t="n">
        <v>0.0216</v>
      </c>
      <c r="K211" s="49" t="n">
        <v>1</v>
      </c>
      <c r="L211" s="21" t="n">
        <v>6</v>
      </c>
      <c r="M211" s="46" t="inlineStr">
        <is>
          <t>Loss</t>
        </is>
      </c>
      <c r="N211" s="23">
        <f>IF(M211="Win",IF(F211="Bet",(I211-1)*K211,K211),IF(M211="Loss",IF(F211="Bet",-K211,-(I211-1)*K211),IF(M211="Void",0,"")))</f>
        <v/>
      </c>
      <c r="O211" s="24">
        <f>IF(OR(M211="Win",M211="Loss"),IF(F211="Bet",K211,(I211-1)*K211),"")</f>
        <v/>
      </c>
    </row>
    <row r="212">
      <c r="A212" s="37" t="n">
        <v>46290</v>
      </c>
      <c r="B212" s="38" t="inlineStr">
        <is>
          <t>Cranbourne</t>
        </is>
      </c>
      <c r="C212" s="15" t="n">
        <v>6</v>
      </c>
      <c r="D212" s="15" t="n">
        <v>1</v>
      </c>
      <c r="E212" s="14" t="inlineStr">
        <is>
          <t>Farcited</t>
        </is>
      </c>
      <c r="F212" s="39" t="inlineStr">
        <is>
          <t>Bet</t>
        </is>
      </c>
      <c r="G212" s="40" t="inlineStr">
        <is>
          <t>Bet</t>
        </is>
      </c>
      <c r="H212" s="41" t="n">
        <v>7.9</v>
      </c>
      <c r="I212" s="41" t="n">
        <v>10.93</v>
      </c>
      <c r="J212" s="16" t="n">
        <v>0.0214</v>
      </c>
      <c r="K212" s="42" t="n">
        <v>1</v>
      </c>
      <c r="L212" s="15" t="n">
        <v>4</v>
      </c>
      <c r="M212" s="43" t="inlineStr">
        <is>
          <t>Loss</t>
        </is>
      </c>
      <c r="N212" s="17">
        <f>IF(M212="Win",IF(F212="Bet",(I212-1)*K212,K212),IF(M212="Loss",IF(F212="Bet",-K212,-(I212-1)*K212),IF(M212="Void",0,"")))</f>
        <v/>
      </c>
      <c r="O212" s="18">
        <f>IF(OR(M212="Win",M212="Loss"),IF(F212="Bet",K212,(I212-1)*K212),"")</f>
        <v/>
      </c>
    </row>
    <row r="213">
      <c r="A213" s="44" t="n">
        <v>46290</v>
      </c>
      <c r="B213" s="45" t="inlineStr">
        <is>
          <t>Sunshine Coast</t>
        </is>
      </c>
      <c r="C213" s="21" t="n">
        <v>7</v>
      </c>
      <c r="D213" s="21" t="n">
        <v>9</v>
      </c>
      <c r="E213" s="20" t="inlineStr">
        <is>
          <t>Flaressence</t>
        </is>
      </c>
      <c r="F213" s="52" t="inlineStr">
        <is>
          <t>Bet</t>
        </is>
      </c>
      <c r="G213" s="40" t="inlineStr">
        <is>
          <t>Bet</t>
        </is>
      </c>
      <c r="H213" s="48" t="n">
        <v>2</v>
      </c>
      <c r="I213" s="48" t="n">
        <v>2.1</v>
      </c>
      <c r="J213" s="22" t="n">
        <v>0.0203</v>
      </c>
      <c r="K213" s="49" t="n">
        <v>1</v>
      </c>
      <c r="L213" s="21" t="n">
        <v>1</v>
      </c>
      <c r="M213" s="50" t="inlineStr">
        <is>
          <t>Win</t>
        </is>
      </c>
      <c r="N213" s="23">
        <f>IF(M213="Win",IF(F213="Bet",(I213-1)*K213,K213),IF(M213="Loss",IF(F213="Bet",-K213,-(I213-1)*K213),IF(M213="Void",0,"")))</f>
        <v/>
      </c>
      <c r="O213" s="24">
        <f>IF(OR(M213="Win",M213="Loss"),IF(F213="Bet",K213,(I213-1)*K213),"")</f>
        <v/>
      </c>
    </row>
    <row r="214">
      <c r="A214" s="37" t="n">
        <v>46291</v>
      </c>
      <c r="B214" s="38" t="inlineStr">
        <is>
          <t>Gold Coast</t>
        </is>
      </c>
      <c r="C214" s="15" t="n">
        <v>6</v>
      </c>
      <c r="D214" s="15" t="n">
        <v>3</v>
      </c>
      <c r="E214" s="14" t="inlineStr">
        <is>
          <t>Champagne Lane</t>
        </is>
      </c>
      <c r="F214" s="39" t="inlineStr">
        <is>
          <t>Bet</t>
        </is>
      </c>
      <c r="G214" s="40" t="inlineStr">
        <is>
          <t>Bet</t>
        </is>
      </c>
      <c r="H214" s="41" t="n">
        <v>2.6</v>
      </c>
      <c r="I214" s="41" t="n">
        <v>3</v>
      </c>
      <c r="J214" s="16" t="n">
        <v>0.0409</v>
      </c>
      <c r="K214" s="42" t="n">
        <v>1</v>
      </c>
      <c r="L214" s="15" t="n">
        <v>1</v>
      </c>
      <c r="M214" s="51" t="inlineStr">
        <is>
          <t>Win</t>
        </is>
      </c>
      <c r="N214" s="17">
        <f>IF(M214="Win",IF(F214="Bet",(I214-1)*K214,K214),IF(M214="Loss",IF(F214="Bet",-K214,-(I214-1)*K214),IF(M214="Void",0,"")))</f>
        <v/>
      </c>
      <c r="O214" s="18">
        <f>IF(OR(M214="Win",M214="Loss"),IF(F214="Bet",K214,(I214-1)*K214),"")</f>
        <v/>
      </c>
    </row>
    <row r="215">
      <c r="A215" s="44" t="n">
        <v>46291</v>
      </c>
      <c r="B215" s="45" t="inlineStr">
        <is>
          <t>Belmont</t>
        </is>
      </c>
      <c r="C215" s="21" t="n">
        <v>1</v>
      </c>
      <c r="D215" s="21" t="n">
        <v>4</v>
      </c>
      <c r="E215" s="20" t="inlineStr">
        <is>
          <t>Anaballistic</t>
        </is>
      </c>
      <c r="F215" s="52" t="inlineStr">
        <is>
          <t>Bet</t>
        </is>
      </c>
      <c r="G215" s="53" t="inlineStr">
        <is>
          <t>Prime</t>
        </is>
      </c>
      <c r="H215" s="48" t="n">
        <v>2.75</v>
      </c>
      <c r="I215" s="48" t="n">
        <v>4.3</v>
      </c>
      <c r="J215" s="22" t="n">
        <v>0.0682</v>
      </c>
      <c r="K215" s="49" t="n">
        <v>1</v>
      </c>
      <c r="L215" s="21" t="n">
        <v>1</v>
      </c>
      <c r="M215" s="50" t="inlineStr">
        <is>
          <t>Win</t>
        </is>
      </c>
      <c r="N215" s="23">
        <f>IF(M215="Win",IF(F215="Bet",(I215-1)*K215,K215),IF(M215="Loss",IF(F215="Bet",-K215,-(I215-1)*K215),IF(M215="Void",0,"")))</f>
        <v/>
      </c>
      <c r="O215" s="24">
        <f>IF(OR(M215="Win",M215="Loss"),IF(F215="Bet",K215,(I215-1)*K215),"")</f>
        <v/>
      </c>
    </row>
    <row r="216">
      <c r="A216" s="37" t="n">
        <v>46291</v>
      </c>
      <c r="B216" s="38" t="inlineStr">
        <is>
          <t>Belmont</t>
        </is>
      </c>
      <c r="C216" s="15" t="n">
        <v>3</v>
      </c>
      <c r="D216" s="15" t="n">
        <v>1</v>
      </c>
      <c r="E216" s="14" t="inlineStr">
        <is>
          <t>Champagne Crusader</t>
        </is>
      </c>
      <c r="F216" s="39" t="inlineStr">
        <is>
          <t>Bet</t>
        </is>
      </c>
      <c r="G216" s="53" t="inlineStr">
        <is>
          <t>Prime</t>
        </is>
      </c>
      <c r="H216" s="41" t="n">
        <v>2.8</v>
      </c>
      <c r="I216" s="41" t="n">
        <v>3.2</v>
      </c>
      <c r="J216" s="16" t="n">
        <v>0.0436</v>
      </c>
      <c r="K216" s="42" t="n">
        <v>1</v>
      </c>
      <c r="L216" s="15" t="n">
        <v>5</v>
      </c>
      <c r="M216" s="43" t="inlineStr">
        <is>
          <t>Loss</t>
        </is>
      </c>
      <c r="N216" s="17">
        <f>IF(M216="Win",IF(F216="Bet",(I216-1)*K216,K216),IF(M216="Loss",IF(F216="Bet",-K216,-(I216-1)*K216),IF(M216="Void",0,"")))</f>
        <v/>
      </c>
      <c r="O216" s="18">
        <f>IF(OR(M216="Win",M216="Loss"),IF(F216="Bet",K216,(I216-1)*K216),"")</f>
        <v/>
      </c>
    </row>
    <row r="217">
      <c r="A217" s="44" t="n">
        <v>46291</v>
      </c>
      <c r="B217" s="45" t="inlineStr">
        <is>
          <t>Gold Coast</t>
        </is>
      </c>
      <c r="C217" s="21" t="n">
        <v>2</v>
      </c>
      <c r="D217" s="21" t="n">
        <v>3</v>
      </c>
      <c r="E217" s="20" t="inlineStr">
        <is>
          <t>Magic Invader</t>
        </is>
      </c>
      <c r="F217" s="52" t="inlineStr">
        <is>
          <t>Bet</t>
        </is>
      </c>
      <c r="G217" s="53" t="inlineStr">
        <is>
          <t>Prime</t>
        </is>
      </c>
      <c r="H217" s="48" t="n">
        <v>3.1</v>
      </c>
      <c r="I217" s="48" t="n">
        <v>4.6</v>
      </c>
      <c r="J217" s="22" t="n">
        <v>0.0728</v>
      </c>
      <c r="K217" s="49" t="n">
        <v>1</v>
      </c>
      <c r="L217" s="21" t="n">
        <v>3</v>
      </c>
      <c r="M217" s="46" t="inlineStr">
        <is>
          <t>Loss</t>
        </is>
      </c>
      <c r="N217" s="23">
        <f>IF(M217="Win",IF(F217="Bet",(I217-1)*K217,K217),IF(M217="Loss",IF(F217="Bet",-K217,-(I217-1)*K217),IF(M217="Void",0,"")))</f>
        <v/>
      </c>
      <c r="O217" s="24">
        <f>IF(OR(M217="Win",M217="Loss"),IF(F217="Bet",K217,(I217-1)*K217),"")</f>
        <v/>
      </c>
    </row>
    <row r="218">
      <c r="A218" s="37" t="n">
        <v>46291</v>
      </c>
      <c r="B218" s="38" t="inlineStr">
        <is>
          <t>Gold Coast</t>
        </is>
      </c>
      <c r="C218" s="15" t="n">
        <v>3</v>
      </c>
      <c r="D218" s="15" t="n">
        <v>7</v>
      </c>
      <c r="E218" s="14" t="inlineStr">
        <is>
          <t>Brain Wave</t>
        </is>
      </c>
      <c r="F218" s="39" t="inlineStr">
        <is>
          <t>Bet</t>
        </is>
      </c>
      <c r="G218" s="53" t="inlineStr">
        <is>
          <t>Prime</t>
        </is>
      </c>
      <c r="H218" s="41" t="n">
        <v>2.85</v>
      </c>
      <c r="I218" s="41" t="n">
        <v>4.4</v>
      </c>
      <c r="J218" s="16" t="n">
        <v>0.0539</v>
      </c>
      <c r="K218" s="42" t="n">
        <v>1</v>
      </c>
      <c r="L218" s="15" t="n">
        <v>1</v>
      </c>
      <c r="M218" s="51" t="inlineStr">
        <is>
          <t>Win</t>
        </is>
      </c>
      <c r="N218" s="17">
        <f>IF(M218="Win",IF(F218="Bet",(I218-1)*K218,K218),IF(M218="Loss",IF(F218="Bet",-K218,-(I218-1)*K218),IF(M218="Void",0,"")))</f>
        <v/>
      </c>
      <c r="O218" s="18">
        <f>IF(OR(M218="Win",M218="Loss"),IF(F218="Bet",K218,(I218-1)*K218),"")</f>
        <v/>
      </c>
    </row>
    <row r="219">
      <c r="A219" s="44" t="n">
        <v>46291</v>
      </c>
      <c r="B219" s="45" t="inlineStr">
        <is>
          <t>Rosehill</t>
        </is>
      </c>
      <c r="C219" s="21" t="n">
        <v>4</v>
      </c>
      <c r="D219" s="21" t="n">
        <v>6</v>
      </c>
      <c r="E219" s="20" t="inlineStr">
        <is>
          <t>Pinhole</t>
        </is>
      </c>
      <c r="F219" s="52" t="inlineStr">
        <is>
          <t>Bet</t>
        </is>
      </c>
      <c r="G219" s="40" t="inlineStr">
        <is>
          <t>Bet</t>
        </is>
      </c>
      <c r="H219" s="48" t="n">
        <v>7.4</v>
      </c>
      <c r="I219" s="48" t="n">
        <v>16.5</v>
      </c>
      <c r="J219" s="22" t="n">
        <v>0.0237</v>
      </c>
      <c r="K219" s="49" t="n">
        <v>1</v>
      </c>
      <c r="L219" s="21" t="n">
        <v>1</v>
      </c>
      <c r="M219" s="50" t="inlineStr">
        <is>
          <t>Win</t>
        </is>
      </c>
      <c r="N219" s="23">
        <f>IF(M219="Win",IF(F219="Bet",(I219-1)*K219,K219),IF(M219="Loss",IF(F219="Bet",-K219,-(I219-1)*K219),IF(M219="Void",0,"")))</f>
        <v/>
      </c>
      <c r="O219" s="24">
        <f>IF(OR(M219="Win",M219="Loss"),IF(F219="Bet",K219,(I219-1)*K219),"")</f>
        <v/>
      </c>
    </row>
    <row r="220">
      <c r="A220" s="37" t="n">
        <v>46291</v>
      </c>
      <c r="B220" s="38" t="inlineStr">
        <is>
          <t>Mornington</t>
        </is>
      </c>
      <c r="C220" s="15" t="n">
        <v>1</v>
      </c>
      <c r="D220" s="15" t="n">
        <v>2</v>
      </c>
      <c r="E220" s="14" t="inlineStr">
        <is>
          <t>Savitri</t>
        </is>
      </c>
      <c r="F220" s="39" t="inlineStr">
        <is>
          <t>Bet</t>
        </is>
      </c>
      <c r="G220" s="40" t="inlineStr">
        <is>
          <t>Bet</t>
        </is>
      </c>
      <c r="H220" s="41" t="n">
        <v>3.7</v>
      </c>
      <c r="I220" s="41" t="n">
        <v>4.2</v>
      </c>
      <c r="J220" s="16" t="n">
        <v>0.0346</v>
      </c>
      <c r="K220" s="42" t="n">
        <v>1</v>
      </c>
      <c r="L220" s="15" t="n">
        <v>1</v>
      </c>
      <c r="M220" s="51" t="inlineStr">
        <is>
          <t>Win</t>
        </is>
      </c>
      <c r="N220" s="17">
        <f>IF(M220="Win",IF(F220="Bet",(I220-1)*K220,K220),IF(M220="Loss",IF(F220="Bet",-K220,-(I220-1)*K220),IF(M220="Void",0,"")))</f>
        <v/>
      </c>
      <c r="O220" s="18">
        <f>IF(OR(M220="Win",M220="Loss"),IF(F220="Bet",K220,(I220-1)*K220),"")</f>
        <v/>
      </c>
    </row>
    <row r="221">
      <c r="A221" s="44" t="n">
        <v>46291</v>
      </c>
      <c r="B221" s="45" t="inlineStr">
        <is>
          <t>Rosehill</t>
        </is>
      </c>
      <c r="C221" s="21" t="n">
        <v>1</v>
      </c>
      <c r="D221" s="21" t="n">
        <v>2</v>
      </c>
      <c r="E221" s="20" t="inlineStr">
        <is>
          <t>Miss Spacegirl</t>
        </is>
      </c>
      <c r="F221" s="52" t="inlineStr">
        <is>
          <t>Bet</t>
        </is>
      </c>
      <c r="G221" s="40" t="inlineStr">
        <is>
          <t>Bet</t>
        </is>
      </c>
      <c r="H221" s="48" t="n">
        <v>6.8</v>
      </c>
      <c r="I221" s="48" t="n">
        <v>9.800000000000001</v>
      </c>
      <c r="J221" s="22" t="n">
        <v>0.023</v>
      </c>
      <c r="K221" s="49" t="n">
        <v>1</v>
      </c>
      <c r="L221" s="21" t="n">
        <v>2</v>
      </c>
      <c r="M221" s="46" t="inlineStr">
        <is>
          <t>Loss</t>
        </is>
      </c>
      <c r="N221" s="23">
        <f>IF(M221="Win",IF(F221="Bet",(I221-1)*K221,K221),IF(M221="Loss",IF(F221="Bet",-K221,-(I221-1)*K221),IF(M221="Void",0,"")))</f>
        <v/>
      </c>
      <c r="O221" s="24">
        <f>IF(OR(M221="Win",M221="Loss"),IF(F221="Bet",K221,(I221-1)*K221),"")</f>
        <v/>
      </c>
    </row>
    <row r="222">
      <c r="A222" s="37" t="n">
        <v>46291</v>
      </c>
      <c r="B222" s="38" t="inlineStr">
        <is>
          <t>Toowoomba</t>
        </is>
      </c>
      <c r="C222" s="15" t="n">
        <v>5</v>
      </c>
      <c r="D222" s="15" t="n">
        <v>16</v>
      </c>
      <c r="E222" s="14" t="inlineStr">
        <is>
          <t>Superalloy</t>
        </is>
      </c>
      <c r="F222" s="39" t="inlineStr">
        <is>
          <t>Bet</t>
        </is>
      </c>
      <c r="G222" s="40" t="inlineStr">
        <is>
          <t>Bet</t>
        </is>
      </c>
      <c r="H222" s="41" t="n">
        <v>6.5</v>
      </c>
      <c r="I222" s="41" t="n">
        <v>7.5</v>
      </c>
      <c r="J222" s="16" t="n">
        <v>0.02</v>
      </c>
      <c r="K222" s="42" t="n">
        <v>1</v>
      </c>
      <c r="L222" s="15" t="n">
        <v>1</v>
      </c>
      <c r="M222" s="51" t="inlineStr">
        <is>
          <t>Win</t>
        </is>
      </c>
      <c r="N222" s="17">
        <f>IF(M222="Win",IF(F222="Bet",(I222-1)*K222,K222),IF(M222="Loss",IF(F222="Bet",-K222,-(I222-1)*K222),IF(M222="Void",0,"")))</f>
        <v/>
      </c>
      <c r="O222" s="18">
        <f>IF(OR(M222="Win",M222="Loss"),IF(F222="Bet",K222,(I222-1)*K222),"")</f>
        <v/>
      </c>
    </row>
    <row r="223">
      <c r="A223" s="44" t="n">
        <v>46291</v>
      </c>
      <c r="B223" s="45" t="inlineStr">
        <is>
          <t>Kembla Grange</t>
        </is>
      </c>
      <c r="C223" s="21" t="n">
        <v>8</v>
      </c>
      <c r="D223" s="21" t="n">
        <v>5</v>
      </c>
      <c r="E223" s="20" t="inlineStr">
        <is>
          <t>Be Quiet</t>
        </is>
      </c>
      <c r="F223" s="52" t="inlineStr">
        <is>
          <t>Bet</t>
        </is>
      </c>
      <c r="G223" s="40" t="inlineStr">
        <is>
          <t>Bet</t>
        </is>
      </c>
      <c r="H223" s="48" t="n">
        <v>3.8</v>
      </c>
      <c r="I223" s="48" t="n">
        <v>4.2</v>
      </c>
      <c r="J223" s="22" t="n">
        <v>0.0261</v>
      </c>
      <c r="K223" s="49" t="n">
        <v>1</v>
      </c>
      <c r="L223" s="21" t="n">
        <v>5</v>
      </c>
      <c r="M223" s="46" t="inlineStr">
        <is>
          <t>Loss</t>
        </is>
      </c>
      <c r="N223" s="23">
        <f>IF(M223="Win",IF(F223="Bet",(I223-1)*K223,K223),IF(M223="Loss",IF(F223="Bet",-K223,-(I223-1)*K223),IF(M223="Void",0,"")))</f>
        <v/>
      </c>
      <c r="O223" s="24">
        <f>IF(OR(M223="Win",M223="Loss"),IF(F223="Bet",K223,(I223-1)*K223),"")</f>
        <v/>
      </c>
    </row>
    <row r="224">
      <c r="A224" s="37" t="n">
        <v>46291</v>
      </c>
      <c r="B224" s="38" t="inlineStr">
        <is>
          <t>Mornington</t>
        </is>
      </c>
      <c r="C224" s="15" t="n">
        <v>6</v>
      </c>
      <c r="D224" s="15" t="n">
        <v>4</v>
      </c>
      <c r="E224" s="14" t="inlineStr">
        <is>
          <t>Grand Pierro</t>
        </is>
      </c>
      <c r="F224" s="39" t="inlineStr">
        <is>
          <t>Bet</t>
        </is>
      </c>
      <c r="G224" s="40" t="inlineStr">
        <is>
          <t>Bet</t>
        </is>
      </c>
      <c r="H224" s="41" t="n">
        <v>7.6</v>
      </c>
      <c r="I224" s="41" t="n">
        <v>9.5</v>
      </c>
      <c r="J224" s="16" t="n">
        <v>0.0201</v>
      </c>
      <c r="K224" s="42" t="n">
        <v>1</v>
      </c>
      <c r="L224" s="15" t="n">
        <v>6</v>
      </c>
      <c r="M224" s="43" t="inlineStr">
        <is>
          <t>Loss</t>
        </is>
      </c>
      <c r="N224" s="17">
        <f>IF(M224="Win",IF(F224="Bet",(I224-1)*K224,K224),IF(M224="Loss",IF(F224="Bet",-K224,-(I224-1)*K224),IF(M224="Void",0,"")))</f>
        <v/>
      </c>
      <c r="O224" s="18">
        <f>IF(OR(M224="Win",M224="Loss"),IF(F224="Bet",K224,(I224-1)*K224),"")</f>
        <v/>
      </c>
    </row>
    <row r="225">
      <c r="A225" s="44" t="n">
        <v>46291</v>
      </c>
      <c r="B225" s="45" t="inlineStr">
        <is>
          <t>Canberra</t>
        </is>
      </c>
      <c r="C225" s="21" t="n">
        <v>2</v>
      </c>
      <c r="D225" s="21" t="n">
        <v>3</v>
      </c>
      <c r="E225" s="20" t="inlineStr">
        <is>
          <t>Graceful Ellen</t>
        </is>
      </c>
      <c r="F225" s="52" t="inlineStr">
        <is>
          <t>Bet</t>
        </is>
      </c>
      <c r="G225" s="40" t="inlineStr">
        <is>
          <t>Bet</t>
        </is>
      </c>
      <c r="H225" s="48" t="n">
        <v>5.2</v>
      </c>
      <c r="I225" s="48" t="n">
        <v>6.8</v>
      </c>
      <c r="J225" s="22" t="n">
        <v>0.025</v>
      </c>
      <c r="K225" s="49" t="n">
        <v>1</v>
      </c>
      <c r="L225" s="21" t="n">
        <v>3</v>
      </c>
      <c r="M225" s="46" t="inlineStr">
        <is>
          <t>Loss</t>
        </is>
      </c>
      <c r="N225" s="23">
        <f>IF(M225="Win",IF(F225="Bet",(I225-1)*K225,K225),IF(M225="Loss",IF(F225="Bet",-K225,-(I225-1)*K225),IF(M225="Void",0,"")))</f>
        <v/>
      </c>
      <c r="O225" s="24">
        <f>IF(OR(M225="Win",M225="Loss"),IF(F225="Bet",K225,(I225-1)*K225),"")</f>
        <v/>
      </c>
    </row>
    <row r="226">
      <c r="A226" s="37" t="n">
        <v>46291</v>
      </c>
      <c r="B226" s="38" t="inlineStr">
        <is>
          <t>Longreach</t>
        </is>
      </c>
      <c r="C226" s="15" t="n">
        <v>2</v>
      </c>
      <c r="D226" s="15" t="n">
        <v>5</v>
      </c>
      <c r="E226" s="14" t="inlineStr">
        <is>
          <t>Salt Lake Betty</t>
        </is>
      </c>
      <c r="F226" s="39" t="inlineStr">
        <is>
          <t>Bet</t>
        </is>
      </c>
      <c r="G226" s="40" t="inlineStr">
        <is>
          <t>Bet</t>
        </is>
      </c>
      <c r="H226" s="41" t="n">
        <v>4.9</v>
      </c>
      <c r="I226" s="41" t="n">
        <v>5.5</v>
      </c>
      <c r="J226" s="16" t="n">
        <v>0.0224</v>
      </c>
      <c r="K226" s="42" t="n">
        <v>1</v>
      </c>
      <c r="L226" s="15" t="n">
        <v>5</v>
      </c>
      <c r="M226" s="43" t="inlineStr">
        <is>
          <t>Loss</t>
        </is>
      </c>
      <c r="N226" s="17">
        <f>IF(M226="Win",IF(F226="Bet",(I226-1)*K226,K226),IF(M226="Loss",IF(F226="Bet",-K226,-(I226-1)*K226),IF(M226="Void",0,"")))</f>
        <v/>
      </c>
      <c r="O226" s="18">
        <f>IF(OR(M226="Win",M226="Loss"),IF(F226="Bet",K226,(I226-1)*K226),"")</f>
        <v/>
      </c>
    </row>
    <row r="227">
      <c r="A227" s="44" t="n">
        <v>46291</v>
      </c>
      <c r="B227" s="45" t="inlineStr">
        <is>
          <t>Longreach</t>
        </is>
      </c>
      <c r="C227" s="21" t="n">
        <v>3</v>
      </c>
      <c r="D227" s="21" t="n">
        <v>1</v>
      </c>
      <c r="E227" s="20" t="inlineStr">
        <is>
          <t>Noble Intent</t>
        </is>
      </c>
      <c r="F227" s="52" t="inlineStr">
        <is>
          <t>Bet</t>
        </is>
      </c>
      <c r="G227" s="40" t="inlineStr">
        <is>
          <t>Bet</t>
        </is>
      </c>
      <c r="H227" s="48" t="n">
        <v>4.5</v>
      </c>
      <c r="I227" s="48" t="n">
        <v>6</v>
      </c>
      <c r="J227" s="22" t="n">
        <v>0.0222</v>
      </c>
      <c r="K227" s="49" t="n">
        <v>1</v>
      </c>
      <c r="L227" s="21" t="inlineStr">
        <is>
          <t>Unplaced</t>
        </is>
      </c>
      <c r="M227" s="46" t="inlineStr">
        <is>
          <t>Loss</t>
        </is>
      </c>
      <c r="N227" s="23">
        <f>IF(M227="Win",IF(F227="Bet",(I227-1)*K227,K227),IF(M227="Loss",IF(F227="Bet",-K227,-(I227-1)*K227),IF(M227="Void",0,"")))</f>
        <v/>
      </c>
      <c r="O227" s="24">
        <f>IF(OR(M227="Win",M227="Loss"),IF(F227="Bet",K227,(I227-1)*K227),"")</f>
        <v/>
      </c>
    </row>
    <row r="228">
      <c r="A228" s="37" t="n">
        <v>46291</v>
      </c>
      <c r="B228" s="38" t="inlineStr">
        <is>
          <t>Rosehill</t>
        </is>
      </c>
      <c r="C228" s="15" t="n">
        <v>8</v>
      </c>
      <c r="D228" s="15" t="n">
        <v>1</v>
      </c>
      <c r="E228" s="14" t="inlineStr">
        <is>
          <t>Guest House</t>
        </is>
      </c>
      <c r="F228" s="39" t="inlineStr">
        <is>
          <t>Bet</t>
        </is>
      </c>
      <c r="G228" s="40" t="inlineStr">
        <is>
          <t>Bet</t>
        </is>
      </c>
      <c r="H228" s="41" t="n">
        <v>2.55</v>
      </c>
      <c r="I228" s="41" t="n">
        <v>2.7</v>
      </c>
      <c r="J228" s="16" t="n">
        <v>0.0212</v>
      </c>
      <c r="K228" s="42" t="n">
        <v>1</v>
      </c>
      <c r="L228" s="15" t="n">
        <v>6</v>
      </c>
      <c r="M228" s="43" t="inlineStr">
        <is>
          <t>Loss</t>
        </is>
      </c>
      <c r="N228" s="17">
        <f>IF(M228="Win",IF(F228="Bet",(I228-1)*K228,K228),IF(M228="Loss",IF(F228="Bet",-K228,-(I228-1)*K228),IF(M228="Void",0,"")))</f>
        <v/>
      </c>
      <c r="O228" s="18">
        <f>IF(OR(M228="Win",M228="Loss"),IF(F228="Bet",K228,(I228-1)*K228),"")</f>
        <v/>
      </c>
    </row>
    <row r="229">
      <c r="A229" s="44" t="n">
        <v>46291</v>
      </c>
      <c r="B229" s="45" t="inlineStr">
        <is>
          <t>Longreach</t>
        </is>
      </c>
      <c r="C229" s="21" t="n">
        <v>6</v>
      </c>
      <c r="D229" s="21" t="n">
        <v>13</v>
      </c>
      <c r="E229" s="20" t="inlineStr">
        <is>
          <t>Straya Pride</t>
        </is>
      </c>
      <c r="F229" s="52" t="inlineStr">
        <is>
          <t>Bet</t>
        </is>
      </c>
      <c r="G229" s="40" t="inlineStr">
        <is>
          <t>Bet</t>
        </is>
      </c>
      <c r="H229" s="48" t="n">
        <v>6</v>
      </c>
      <c r="I229" s="48" t="n">
        <v>9.94</v>
      </c>
      <c r="J229" s="22" t="n">
        <v>0.0244</v>
      </c>
      <c r="K229" s="49" t="n">
        <v>1</v>
      </c>
      <c r="L229" s="21" t="n">
        <v>4</v>
      </c>
      <c r="M229" s="46" t="inlineStr">
        <is>
          <t>Loss</t>
        </is>
      </c>
      <c r="N229" s="23">
        <f>IF(M229="Win",IF(F229="Bet",(I229-1)*K229,K229),IF(M229="Loss",IF(F229="Bet",-K229,-(I229-1)*K229),IF(M229="Void",0,"")))</f>
        <v/>
      </c>
      <c r="O229" s="24">
        <f>IF(OR(M229="Win",M229="Loss"),IF(F229="Bet",K229,(I229-1)*K229),"")</f>
        <v/>
      </c>
    </row>
    <row r="230">
      <c r="A230" s="37" t="n">
        <v>46291</v>
      </c>
      <c r="B230" s="38" t="inlineStr">
        <is>
          <t>Toowoomba</t>
        </is>
      </c>
      <c r="C230" s="15" t="n">
        <v>6</v>
      </c>
      <c r="D230" s="15" t="n">
        <v>6</v>
      </c>
      <c r="E230" s="14" t="inlineStr">
        <is>
          <t>Estrondo</t>
        </is>
      </c>
      <c r="F230" s="39" t="inlineStr">
        <is>
          <t>Bet</t>
        </is>
      </c>
      <c r="G230" s="40" t="inlineStr">
        <is>
          <t>Bet</t>
        </is>
      </c>
      <c r="H230" s="41" t="n">
        <v>7.5</v>
      </c>
      <c r="I230" s="41" t="n">
        <v>9</v>
      </c>
      <c r="J230" s="16" t="n">
        <v>0.0215</v>
      </c>
      <c r="K230" s="42" t="n">
        <v>1</v>
      </c>
      <c r="L230" s="15" t="n">
        <v>8</v>
      </c>
      <c r="M230" s="43" t="inlineStr">
        <is>
          <t>Loss</t>
        </is>
      </c>
      <c r="N230" s="17">
        <f>IF(M230="Win",IF(F230="Bet",(I230-1)*K230,K230),IF(M230="Loss",IF(F230="Bet",-K230,-(I230-1)*K230),IF(M230="Void",0,"")))</f>
        <v/>
      </c>
      <c r="O230" s="18">
        <f>IF(OR(M230="Win",M230="Loss"),IF(F230="Bet",K230,(I230-1)*K230),"")</f>
        <v/>
      </c>
    </row>
    <row r="231">
      <c r="A231" s="44" t="n">
        <v>46291</v>
      </c>
      <c r="B231" s="45" t="inlineStr">
        <is>
          <t>Mingenew</t>
        </is>
      </c>
      <c r="C231" s="21" t="n">
        <v>3</v>
      </c>
      <c r="D231" s="21" t="n">
        <v>5</v>
      </c>
      <c r="E231" s="20" t="inlineStr">
        <is>
          <t>Addictive Dream</t>
        </is>
      </c>
      <c r="F231" s="52" t="inlineStr">
        <is>
          <t>Bet</t>
        </is>
      </c>
      <c r="G231" s="40" t="inlineStr">
        <is>
          <t>Bet</t>
        </is>
      </c>
      <c r="H231" s="48" t="n">
        <v>5.7</v>
      </c>
      <c r="I231" s="48" t="n">
        <v>8.19</v>
      </c>
      <c r="J231" s="22" t="n">
        <v>0.022</v>
      </c>
      <c r="K231" s="49" t="n">
        <v>1</v>
      </c>
      <c r="L231" s="21" t="n">
        <v>1</v>
      </c>
      <c r="M231" s="50" t="inlineStr">
        <is>
          <t>Win</t>
        </is>
      </c>
      <c r="N231" s="23">
        <f>IF(M231="Win",IF(F231="Bet",(I231-1)*K231,K231),IF(M231="Loss",IF(F231="Bet",-K231,-(I231-1)*K231),IF(M231="Void",0,"")))</f>
        <v/>
      </c>
      <c r="O231" s="24">
        <f>IF(OR(M231="Win",M231="Loss"),IF(F231="Bet",K231,(I231-1)*K231),"")</f>
        <v/>
      </c>
    </row>
    <row r="232">
      <c r="A232" s="37" t="n">
        <v>46291</v>
      </c>
      <c r="B232" s="38" t="inlineStr">
        <is>
          <t>Mingenew</t>
        </is>
      </c>
      <c r="C232" s="15" t="n">
        <v>5</v>
      </c>
      <c r="D232" s="15" t="n">
        <v>1</v>
      </c>
      <c r="E232" s="14" t="inlineStr">
        <is>
          <t>Hard Questions</t>
        </is>
      </c>
      <c r="F232" s="39" t="inlineStr">
        <is>
          <t>Bet</t>
        </is>
      </c>
      <c r="G232" s="53" t="inlineStr">
        <is>
          <t>Prime</t>
        </is>
      </c>
      <c r="H232" s="41" t="n">
        <v>2.25</v>
      </c>
      <c r="I232" s="41" t="n">
        <v>3.16</v>
      </c>
      <c r="J232" s="16" t="n">
        <v>0.0351</v>
      </c>
      <c r="K232" s="42" t="n">
        <v>1</v>
      </c>
      <c r="L232" s="15" t="n">
        <v>1</v>
      </c>
      <c r="M232" s="51" t="inlineStr">
        <is>
          <t>Win</t>
        </is>
      </c>
      <c r="N232" s="17">
        <f>IF(M232="Win",IF(F232="Bet",(I232-1)*K232,K232),IF(M232="Loss",IF(F232="Bet",-K232,-(I232-1)*K232),IF(M232="Void",0,"")))</f>
        <v/>
      </c>
      <c r="O232" s="18">
        <f>IF(OR(M232="Win",M232="Loss"),IF(F232="Bet",K232,(I232-1)*K232),"")</f>
        <v/>
      </c>
    </row>
    <row r="233">
      <c r="A233" s="44" t="n">
        <v>46291</v>
      </c>
      <c r="B233" s="45" t="inlineStr">
        <is>
          <t>Toowoomba</t>
        </is>
      </c>
      <c r="C233" s="21" t="n">
        <v>10</v>
      </c>
      <c r="D233" s="21" t="n">
        <v>2</v>
      </c>
      <c r="E233" s="20" t="inlineStr">
        <is>
          <t>Facundo</t>
        </is>
      </c>
      <c r="F233" s="52" t="inlineStr">
        <is>
          <t>Bet</t>
        </is>
      </c>
      <c r="G233" s="40" t="inlineStr">
        <is>
          <t>Bet</t>
        </is>
      </c>
      <c r="H233" s="48" t="n">
        <v>4.5</v>
      </c>
      <c r="I233" s="48" t="n">
        <v>6.4</v>
      </c>
      <c r="J233" s="22" t="n">
        <v>0.0203</v>
      </c>
      <c r="K233" s="49" t="n">
        <v>1</v>
      </c>
      <c r="L233" s="21" t="n">
        <v>4</v>
      </c>
      <c r="M233" s="46" t="inlineStr">
        <is>
          <t>Loss</t>
        </is>
      </c>
      <c r="N233" s="23">
        <f>IF(M233="Win",IF(F233="Bet",(I233-1)*K233,K233),IF(M233="Loss",IF(F233="Bet",-K233,-(I233-1)*K233),IF(M233="Void",0,"")))</f>
        <v/>
      </c>
      <c r="O233" s="24">
        <f>IF(OR(M233="Win",M233="Loss"),IF(F233="Bet",K233,(I233-1)*K233),"")</f>
        <v/>
      </c>
    </row>
    <row r="234">
      <c r="A234" s="37" t="n">
        <v>46292</v>
      </c>
      <c r="B234" s="38" t="inlineStr">
        <is>
          <t>Caulfield</t>
        </is>
      </c>
      <c r="C234" s="15" t="n">
        <v>2</v>
      </c>
      <c r="D234" s="15" t="n">
        <v>4</v>
      </c>
      <c r="E234" s="14" t="inlineStr">
        <is>
          <t>Pretty Baby</t>
        </is>
      </c>
      <c r="F234" s="39" t="inlineStr">
        <is>
          <t>Bet</t>
        </is>
      </c>
      <c r="G234" s="40" t="inlineStr">
        <is>
          <t>Bet</t>
        </is>
      </c>
      <c r="H234" s="41" t="n">
        <v>1.95</v>
      </c>
      <c r="I234" s="41" t="n">
        <v>2.5</v>
      </c>
      <c r="J234" s="16" t="n">
        <v>0.0228</v>
      </c>
      <c r="K234" s="42" t="n">
        <v>1</v>
      </c>
      <c r="L234" s="15" t="n">
        <v>2</v>
      </c>
      <c r="M234" s="43" t="inlineStr">
        <is>
          <t>Loss</t>
        </is>
      </c>
      <c r="N234" s="17">
        <f>IF(M234="Win",IF(F234="Bet",(I234-1)*K234,K234),IF(M234="Loss",IF(F234="Bet",-K234,-(I234-1)*K234),IF(M234="Void",0,"")))</f>
        <v/>
      </c>
      <c r="O234" s="18">
        <f>IF(OR(M234="Win",M234="Loss"),IF(F234="Bet",K234,(I234-1)*K234),"")</f>
        <v/>
      </c>
    </row>
    <row r="235">
      <c r="A235" s="44" t="n">
        <v>46292</v>
      </c>
      <c r="B235" s="45" t="inlineStr">
        <is>
          <t>Caulfield</t>
        </is>
      </c>
      <c r="C235" s="21" t="n">
        <v>6</v>
      </c>
      <c r="D235" s="21" t="n">
        <v>10</v>
      </c>
      <c r="E235" s="20" t="inlineStr">
        <is>
          <t>Lara Antipova</t>
        </is>
      </c>
      <c r="F235" s="52" t="inlineStr">
        <is>
          <t>Bet</t>
        </is>
      </c>
      <c r="G235" s="53" t="inlineStr">
        <is>
          <t>Prime</t>
        </is>
      </c>
      <c r="H235" s="48" t="n">
        <v>2.55</v>
      </c>
      <c r="I235" s="48" t="n">
        <v>3.2</v>
      </c>
      <c r="J235" s="22" t="n">
        <v>0.0349</v>
      </c>
      <c r="K235" s="49" t="n">
        <v>1</v>
      </c>
      <c r="L235" s="21" t="n">
        <v>4</v>
      </c>
      <c r="M235" s="46" t="inlineStr">
        <is>
          <t>Loss</t>
        </is>
      </c>
      <c r="N235" s="23">
        <f>IF(M235="Win",IF(F235="Bet",(I235-1)*K235,K235),IF(M235="Loss",IF(F235="Bet",-K235,-(I235-1)*K235),IF(M235="Void",0,"")))</f>
        <v/>
      </c>
      <c r="O235" s="24">
        <f>IF(OR(M235="Win",M235="Loss"),IF(F235="Bet",K235,(I235-1)*K235),"")</f>
        <v/>
      </c>
    </row>
    <row r="236">
      <c r="A236" s="37" t="n">
        <v>46292</v>
      </c>
      <c r="B236" s="38" t="inlineStr">
        <is>
          <t>Sunshine Coast</t>
        </is>
      </c>
      <c r="C236" s="15" t="n">
        <v>1</v>
      </c>
      <c r="D236" s="15" t="n">
        <v>6</v>
      </c>
      <c r="E236" s="14" t="inlineStr">
        <is>
          <t>Highland Kitty</t>
        </is>
      </c>
      <c r="F236" s="39" t="inlineStr">
        <is>
          <t>Bet</t>
        </is>
      </c>
      <c r="G236" s="53" t="inlineStr">
        <is>
          <t>Prime</t>
        </is>
      </c>
      <c r="H236" s="41" t="n">
        <v>1.6</v>
      </c>
      <c r="I236" s="41" t="n">
        <v>2.42</v>
      </c>
      <c r="J236" s="16" t="n">
        <v>0.0441</v>
      </c>
      <c r="K236" s="42" t="n">
        <v>1</v>
      </c>
      <c r="L236" s="15" t="n">
        <v>2</v>
      </c>
      <c r="M236" s="43" t="inlineStr">
        <is>
          <t>Loss</t>
        </is>
      </c>
      <c r="N236" s="17">
        <f>IF(M236="Win",IF(F236="Bet",(I236-1)*K236,K236),IF(M236="Loss",IF(F236="Bet",-K236,-(I236-1)*K236),IF(M236="Void",0,"")))</f>
        <v/>
      </c>
      <c r="O236" s="18">
        <f>IF(OR(M236="Win",M236="Loss"),IF(F236="Bet",K236,(I236-1)*K236),"")</f>
        <v/>
      </c>
    </row>
    <row r="237">
      <c r="A237" s="44" t="n">
        <v>46292</v>
      </c>
      <c r="B237" s="45" t="inlineStr">
        <is>
          <t>Dubbo</t>
        </is>
      </c>
      <c r="C237" s="21" t="n">
        <v>7</v>
      </c>
      <c r="D237" s="21" t="n">
        <v>5</v>
      </c>
      <c r="E237" s="20" t="inlineStr">
        <is>
          <t>Marvel Man</t>
        </is>
      </c>
      <c r="F237" s="52" t="inlineStr">
        <is>
          <t>Bet</t>
        </is>
      </c>
      <c r="G237" s="40" t="inlineStr">
        <is>
          <t>Bet</t>
        </is>
      </c>
      <c r="H237" s="48" t="n">
        <v>5.8</v>
      </c>
      <c r="I237" s="48" t="n">
        <v>7</v>
      </c>
      <c r="J237" s="22" t="n">
        <v>0.02</v>
      </c>
      <c r="K237" s="49" t="n">
        <v>1</v>
      </c>
      <c r="L237" s="21" t="n">
        <v>4</v>
      </c>
      <c r="M237" s="46" t="inlineStr">
        <is>
          <t>Loss</t>
        </is>
      </c>
      <c r="N237" s="23">
        <f>IF(M237="Win",IF(F237="Bet",(I237-1)*K237,K237),IF(M237="Loss",IF(F237="Bet",-K237,-(I237-1)*K237),IF(M237="Void",0,"")))</f>
        <v/>
      </c>
      <c r="O237" s="24">
        <f>IF(OR(M237="Win",M237="Loss"),IF(F237="Bet",K237,(I237-1)*K237),"")</f>
        <v/>
      </c>
    </row>
    <row r="238">
      <c r="A238" s="37" t="n">
        <v>46292</v>
      </c>
      <c r="B238" s="38" t="inlineStr">
        <is>
          <t>Strathalbyn</t>
        </is>
      </c>
      <c r="C238" s="15" t="n">
        <v>7</v>
      </c>
      <c r="D238" s="15" t="n">
        <v>5</v>
      </c>
      <c r="E238" s="14" t="inlineStr">
        <is>
          <t>Or Am I</t>
        </is>
      </c>
      <c r="F238" s="39" t="inlineStr">
        <is>
          <t>Bet</t>
        </is>
      </c>
      <c r="G238" s="40" t="inlineStr">
        <is>
          <t>Bet</t>
        </is>
      </c>
      <c r="H238" s="41" t="n">
        <v>8.9</v>
      </c>
      <c r="I238" s="41" t="n">
        <v>19</v>
      </c>
      <c r="J238" s="16" t="n">
        <v>0.0212</v>
      </c>
      <c r="K238" s="42" t="n">
        <v>1</v>
      </c>
      <c r="L238" s="15" t="n">
        <v>8</v>
      </c>
      <c r="M238" s="43" t="inlineStr">
        <is>
          <t>Loss</t>
        </is>
      </c>
      <c r="N238" s="17">
        <f>IF(M238="Win",IF(F238="Bet",(I238-1)*K238,K238),IF(M238="Loss",IF(F238="Bet",-K238,-(I238-1)*K238),IF(M238="Void",0,"")))</f>
        <v/>
      </c>
      <c r="O238" s="18">
        <f>IF(OR(M238="Win",M238="Loss"),IF(F238="Bet",K238,(I238-1)*K238),"")</f>
        <v/>
      </c>
    </row>
    <row r="239">
      <c r="A239" s="44" t="n">
        <v>46292</v>
      </c>
      <c r="B239" s="45" t="inlineStr">
        <is>
          <t>Strathalbyn</t>
        </is>
      </c>
      <c r="C239" s="21" t="n">
        <v>4</v>
      </c>
      <c r="D239" s="21" t="n">
        <v>2</v>
      </c>
      <c r="E239" s="20" t="inlineStr">
        <is>
          <t>Sacred Chord</t>
        </is>
      </c>
      <c r="F239" s="52" t="inlineStr">
        <is>
          <t>Bet</t>
        </is>
      </c>
      <c r="G239" s="53" t="inlineStr">
        <is>
          <t>Prime</t>
        </is>
      </c>
      <c r="H239" s="48" t="n">
        <v>4.5</v>
      </c>
      <c r="I239" s="48" t="n">
        <v>6.75</v>
      </c>
      <c r="J239" s="22" t="n">
        <v>0.0534</v>
      </c>
      <c r="K239" s="49" t="n">
        <v>1</v>
      </c>
      <c r="L239" s="21" t="n">
        <v>1</v>
      </c>
      <c r="M239" s="50" t="inlineStr">
        <is>
          <t>Win</t>
        </is>
      </c>
      <c r="N239" s="23">
        <f>IF(M239="Win",IF(F239="Bet",(I239-1)*K239,K239),IF(M239="Loss",IF(F239="Bet",-K239,-(I239-1)*K239),IF(M239="Void",0,"")))</f>
        <v/>
      </c>
      <c r="O239" s="24">
        <f>IF(OR(M239="Win",M239="Loss"),IF(F239="Bet",K239,(I239-1)*K239),"")</f>
        <v/>
      </c>
    </row>
    <row r="240">
      <c r="A240" s="37" t="n">
        <v>46292</v>
      </c>
      <c r="B240" s="38" t="inlineStr">
        <is>
          <t>Toodyay</t>
        </is>
      </c>
      <c r="C240" s="15" t="n">
        <v>3</v>
      </c>
      <c r="D240" s="15" t="n">
        <v>4</v>
      </c>
      <c r="E240" s="14" t="inlineStr">
        <is>
          <t>Che Figata</t>
        </is>
      </c>
      <c r="F240" s="39" t="inlineStr">
        <is>
          <t>Bet</t>
        </is>
      </c>
      <c r="G240" s="40" t="inlineStr">
        <is>
          <t>Bet</t>
        </is>
      </c>
      <c r="H240" s="41" t="n">
        <v>2.9</v>
      </c>
      <c r="I240" s="41" t="n">
        <v>3.4</v>
      </c>
      <c r="J240" s="16" t="n">
        <v>0.0303</v>
      </c>
      <c r="K240" s="42" t="n">
        <v>1</v>
      </c>
      <c r="L240" s="15" t="n"/>
      <c r="M240" s="54" t="inlineStr">
        <is>
          <t>Void</t>
        </is>
      </c>
      <c r="N240" s="17">
        <f>IF(M240="Win",IF(F240="Bet",(I240-1)*K240,K240),IF(M240="Loss",IF(F240="Bet",-K240,-(I240-1)*K240),IF(M240="Void",0,"")))</f>
        <v/>
      </c>
      <c r="O240" s="18">
        <f>IF(OR(M240="Win",M240="Loss"),IF(F240="Bet",K240,(I240-1)*K240),"")</f>
        <v/>
      </c>
    </row>
    <row r="241">
      <c r="A241" s="44" t="n">
        <v>46292</v>
      </c>
      <c r="B241" s="45" t="inlineStr">
        <is>
          <t>Strathalbyn</t>
        </is>
      </c>
      <c r="C241" s="21" t="n">
        <v>3</v>
      </c>
      <c r="D241" s="21" t="n">
        <v>1</v>
      </c>
      <c r="E241" s="20" t="inlineStr">
        <is>
          <t>Justica's Bonus</t>
        </is>
      </c>
      <c r="F241" s="52" t="inlineStr">
        <is>
          <t>Bet</t>
        </is>
      </c>
      <c r="G241" s="40" t="inlineStr">
        <is>
          <t>Bet</t>
        </is>
      </c>
      <c r="H241" s="48" t="n">
        <v>2.55</v>
      </c>
      <c r="I241" s="48" t="n">
        <v>2.7</v>
      </c>
      <c r="J241" s="22" t="n">
        <v>0.0214</v>
      </c>
      <c r="K241" s="49" t="n">
        <v>1</v>
      </c>
      <c r="L241" s="21" t="n">
        <v>7</v>
      </c>
      <c r="M241" s="46" t="inlineStr">
        <is>
          <t>Loss</t>
        </is>
      </c>
      <c r="N241" s="23">
        <f>IF(M241="Win",IF(F241="Bet",(I241-1)*K241,K241),IF(M241="Loss",IF(F241="Bet",-K241,-(I241-1)*K241),IF(M241="Void",0,"")))</f>
        <v/>
      </c>
      <c r="O241" s="24">
        <f>IF(OR(M241="Win",M241="Loss"),IF(F241="Bet",K241,(I241-1)*K241),"")</f>
        <v/>
      </c>
    </row>
    <row r="242">
      <c r="A242" s="37" t="n">
        <v>46292</v>
      </c>
      <c r="B242" s="38" t="inlineStr">
        <is>
          <t>Port Macquarie</t>
        </is>
      </c>
      <c r="C242" s="15" t="n">
        <v>1</v>
      </c>
      <c r="D242" s="15" t="n">
        <v>6</v>
      </c>
      <c r="E242" s="14" t="inlineStr">
        <is>
          <t>Sleuth</t>
        </is>
      </c>
      <c r="F242" s="39" t="inlineStr">
        <is>
          <t>Bet</t>
        </is>
      </c>
      <c r="G242" s="40" t="inlineStr">
        <is>
          <t>Bet</t>
        </is>
      </c>
      <c r="H242" s="41" t="n">
        <v>10.9</v>
      </c>
      <c r="I242" s="41" t="n">
        <v>14</v>
      </c>
      <c r="J242" s="16" t="n">
        <v>0.0205</v>
      </c>
      <c r="K242" s="42" t="n">
        <v>1</v>
      </c>
      <c r="L242" s="15" t="n">
        <v>8</v>
      </c>
      <c r="M242" s="43" t="inlineStr">
        <is>
          <t>Loss</t>
        </is>
      </c>
      <c r="N242" s="17">
        <f>IF(M242="Win",IF(F242="Bet",(I242-1)*K242,K242),IF(M242="Loss",IF(F242="Bet",-K242,-(I242-1)*K242),IF(M242="Void",0,"")))</f>
        <v/>
      </c>
      <c r="O242" s="18">
        <f>IF(OR(M242="Win",M242="Loss"),IF(F242="Bet",K242,(I242-1)*K242),"")</f>
        <v/>
      </c>
    </row>
    <row r="243">
      <c r="A243" s="44" t="n">
        <v>46292</v>
      </c>
      <c r="B243" s="45" t="inlineStr">
        <is>
          <t>Caulfield</t>
        </is>
      </c>
      <c r="C243" s="21" t="n">
        <v>3</v>
      </c>
      <c r="D243" s="21" t="n">
        <v>4</v>
      </c>
      <c r="E243" s="20" t="inlineStr">
        <is>
          <t>Land Legend</t>
        </is>
      </c>
      <c r="F243" s="52" t="inlineStr">
        <is>
          <t>Bet</t>
        </is>
      </c>
      <c r="G243" s="40" t="inlineStr">
        <is>
          <t>Bet</t>
        </is>
      </c>
      <c r="H243" s="48" t="n">
        <v>10.9</v>
      </c>
      <c r="I243" s="48" t="n">
        <v>14</v>
      </c>
      <c r="J243" s="22" t="n">
        <v>0.02</v>
      </c>
      <c r="K243" s="49" t="n">
        <v>1</v>
      </c>
      <c r="L243" s="21" t="n">
        <v>11</v>
      </c>
      <c r="M243" s="46" t="inlineStr">
        <is>
          <t>Loss</t>
        </is>
      </c>
      <c r="N243" s="23">
        <f>IF(M243="Win",IF(F243="Bet",(I243-1)*K243,K243),IF(M243="Loss",IF(F243="Bet",-K243,-(I243-1)*K243),IF(M243="Void",0,"")))</f>
        <v/>
      </c>
      <c r="O243" s="24">
        <f>IF(OR(M243="Win",M243="Loss"),IF(F243="Bet",K243,(I243-1)*K243),"")</f>
        <v/>
      </c>
    </row>
    <row r="244">
      <c r="A244" s="37" t="n">
        <v>46292</v>
      </c>
      <c r="B244" s="38" t="inlineStr">
        <is>
          <t>Sunshine Coast</t>
        </is>
      </c>
      <c r="C244" s="15" t="n">
        <v>2</v>
      </c>
      <c r="D244" s="15" t="n">
        <v>2</v>
      </c>
      <c r="E244" s="14" t="inlineStr">
        <is>
          <t>Wanted Hillbilly</t>
        </is>
      </c>
      <c r="F244" s="39" t="inlineStr">
        <is>
          <t>Bet</t>
        </is>
      </c>
      <c r="G244" s="40" t="inlineStr">
        <is>
          <t>Bet</t>
        </is>
      </c>
      <c r="H244" s="41" t="n">
        <v>5.7</v>
      </c>
      <c r="I244" s="41" t="n">
        <v>8.5</v>
      </c>
      <c r="J244" s="16" t="n">
        <v>0.0201</v>
      </c>
      <c r="K244" s="42" t="n">
        <v>1</v>
      </c>
      <c r="L244" s="15" t="n">
        <v>7</v>
      </c>
      <c r="M244" s="43" t="inlineStr">
        <is>
          <t>Loss</t>
        </is>
      </c>
      <c r="N244" s="17">
        <f>IF(M244="Win",IF(F244="Bet",(I244-1)*K244,K244),IF(M244="Loss",IF(F244="Bet",-K244,-(I244-1)*K244),IF(M244="Void",0,"")))</f>
        <v/>
      </c>
      <c r="O244" s="18">
        <f>IF(OR(M244="Win",M244="Loss"),IF(F244="Bet",K244,(I244-1)*K244),"")</f>
        <v/>
      </c>
    </row>
    <row r="245">
      <c r="A245" s="44" t="n">
        <v>46292</v>
      </c>
      <c r="B245" s="45" t="inlineStr">
        <is>
          <t>Sunshine Coast</t>
        </is>
      </c>
      <c r="C245" s="21" t="n">
        <v>2</v>
      </c>
      <c r="D245" s="21" t="n">
        <v>3</v>
      </c>
      <c r="E245" s="20" t="inlineStr">
        <is>
          <t>Weekend Spirit</t>
        </is>
      </c>
      <c r="F245" s="52" t="inlineStr">
        <is>
          <t>Bet</t>
        </is>
      </c>
      <c r="G245" s="40" t="inlineStr">
        <is>
          <t>Bet</t>
        </is>
      </c>
      <c r="H245" s="48" t="n">
        <v>8.199999999999999</v>
      </c>
      <c r="I245" s="48" t="n">
        <v>13.5</v>
      </c>
      <c r="J245" s="22" t="n">
        <v>0.0212</v>
      </c>
      <c r="K245" s="49" t="n">
        <v>1</v>
      </c>
      <c r="L245" s="21" t="n">
        <v>2</v>
      </c>
      <c r="M245" s="46" t="inlineStr">
        <is>
          <t>Loss</t>
        </is>
      </c>
      <c r="N245" s="23">
        <f>IF(M245="Win",IF(F245="Bet",(I245-1)*K245,K245),IF(M245="Loss",IF(F245="Bet",-K245,-(I245-1)*K245),IF(M245="Void",0,"")))</f>
        <v/>
      </c>
      <c r="O245" s="24">
        <f>IF(OR(M245="Win",M245="Loss"),IF(F245="Bet",K245,(I245-1)*K245),"")</f>
        <v/>
      </c>
    </row>
    <row r="246">
      <c r="A246" s="37" t="n">
        <v>46292</v>
      </c>
      <c r="B246" s="38" t="inlineStr">
        <is>
          <t>Strathalbyn</t>
        </is>
      </c>
      <c r="C246" s="15" t="n">
        <v>1</v>
      </c>
      <c r="D246" s="15" t="n">
        <v>9</v>
      </c>
      <c r="E246" s="14" t="inlineStr">
        <is>
          <t>Just Comet</t>
        </is>
      </c>
      <c r="F246" s="39" t="inlineStr">
        <is>
          <t>Bet</t>
        </is>
      </c>
      <c r="G246" s="40" t="inlineStr">
        <is>
          <t>Bet</t>
        </is>
      </c>
      <c r="H246" s="41" t="n">
        <v>3.8</v>
      </c>
      <c r="I246" s="41" t="n">
        <v>4.2</v>
      </c>
      <c r="J246" s="16" t="n">
        <v>0.0222</v>
      </c>
      <c r="K246" s="42" t="n">
        <v>1</v>
      </c>
      <c r="L246" s="15" t="n">
        <v>3</v>
      </c>
      <c r="M246" s="43" t="inlineStr">
        <is>
          <t>Loss</t>
        </is>
      </c>
      <c r="N246" s="17">
        <f>IF(M246="Win",IF(F246="Bet",(I246-1)*K246,K246),IF(M246="Loss",IF(F246="Bet",-K246,-(I246-1)*K246),IF(M246="Void",0,"")))</f>
        <v/>
      </c>
      <c r="O246" s="18">
        <f>IF(OR(M246="Win",M246="Loss"),IF(F246="Bet",K246,(I246-1)*K246),"")</f>
        <v/>
      </c>
    </row>
    <row r="247">
      <c r="A247" s="44" t="n">
        <v>46292</v>
      </c>
      <c r="B247" s="45" t="inlineStr">
        <is>
          <t>Strathalbyn</t>
        </is>
      </c>
      <c r="C247" s="21" t="n">
        <v>2</v>
      </c>
      <c r="D247" s="21" t="n">
        <v>12</v>
      </c>
      <c r="E247" s="20" t="inlineStr">
        <is>
          <t>Make Me A Match</t>
        </is>
      </c>
      <c r="F247" s="52" t="inlineStr">
        <is>
          <t>Bet</t>
        </is>
      </c>
      <c r="G247" s="40" t="inlineStr">
        <is>
          <t>Bet</t>
        </is>
      </c>
      <c r="H247" s="48" t="n">
        <v>3.6</v>
      </c>
      <c r="I247" s="48" t="n">
        <v>4</v>
      </c>
      <c r="J247" s="22" t="n">
        <v>0.0275</v>
      </c>
      <c r="K247" s="49" t="n">
        <v>1</v>
      </c>
      <c r="L247" s="21" t="n">
        <v>1</v>
      </c>
      <c r="M247" s="50" t="inlineStr">
        <is>
          <t>Win</t>
        </is>
      </c>
      <c r="N247" s="23">
        <f>IF(M247="Win",IF(F247="Bet",(I247-1)*K247,K247),IF(M247="Loss",IF(F247="Bet",-K247,-(I247-1)*K247),IF(M247="Void",0,"")))</f>
        <v/>
      </c>
      <c r="O247" s="24">
        <f>IF(OR(M247="Win",M247="Loss"),IF(F247="Bet",K247,(I247-1)*K247),"")</f>
        <v/>
      </c>
    </row>
    <row r="248">
      <c r="A248" s="37" t="n">
        <v>46292</v>
      </c>
      <c r="B248" s="38" t="inlineStr">
        <is>
          <t>Sunshine Coast</t>
        </is>
      </c>
      <c r="C248" s="15" t="n">
        <v>4</v>
      </c>
      <c r="D248" s="15" t="n">
        <v>7</v>
      </c>
      <c r="E248" s="14" t="inlineStr">
        <is>
          <t>Bring Me Kash</t>
        </is>
      </c>
      <c r="F248" s="39" t="inlineStr">
        <is>
          <t>Bet</t>
        </is>
      </c>
      <c r="G248" s="40" t="inlineStr">
        <is>
          <t>Bet</t>
        </is>
      </c>
      <c r="H248" s="41" t="n">
        <v>6</v>
      </c>
      <c r="I248" s="41" t="n">
        <v>11</v>
      </c>
      <c r="J248" s="16" t="n">
        <v>0.0239</v>
      </c>
      <c r="K248" s="42" t="n">
        <v>1</v>
      </c>
      <c r="L248" s="15" t="n">
        <v>1</v>
      </c>
      <c r="M248" s="51" t="inlineStr">
        <is>
          <t>Win</t>
        </is>
      </c>
      <c r="N248" s="17">
        <f>IF(M248="Win",IF(F248="Bet",(I248-1)*K248,K248),IF(M248="Loss",IF(F248="Bet",-K248,-(I248-1)*K248),IF(M248="Void",0,"")))</f>
        <v/>
      </c>
      <c r="O248" s="18">
        <f>IF(OR(M248="Win",M248="Loss"),IF(F248="Bet",K248,(I248-1)*K248),"")</f>
        <v/>
      </c>
    </row>
    <row r="249">
      <c r="A249" s="44" t="n">
        <v>46292</v>
      </c>
      <c r="B249" s="45" t="inlineStr">
        <is>
          <t>Caulfield</t>
        </is>
      </c>
      <c r="C249" s="21" t="n">
        <v>7</v>
      </c>
      <c r="D249" s="21" t="n">
        <v>5</v>
      </c>
      <c r="E249" s="20" t="inlineStr">
        <is>
          <t>Changing Colours</t>
        </is>
      </c>
      <c r="F249" s="52" t="inlineStr">
        <is>
          <t>Bet</t>
        </is>
      </c>
      <c r="G249" s="40" t="inlineStr">
        <is>
          <t>Bet</t>
        </is>
      </c>
      <c r="H249" s="48" t="n">
        <v>3.5</v>
      </c>
      <c r="I249" s="48" t="n">
        <v>4</v>
      </c>
      <c r="J249" s="22" t="n">
        <v>0.0266</v>
      </c>
      <c r="K249" s="49" t="n">
        <v>1</v>
      </c>
      <c r="L249" s="21" t="n">
        <v>1</v>
      </c>
      <c r="M249" s="50" t="inlineStr">
        <is>
          <t>Win</t>
        </is>
      </c>
      <c r="N249" s="23">
        <f>IF(M249="Win",IF(F249="Bet",(I249-1)*K249,K249),IF(M249="Loss",IF(F249="Bet",-K249,-(I249-1)*K249),IF(M249="Void",0,"")))</f>
        <v/>
      </c>
      <c r="O249" s="24">
        <f>IF(OR(M249="Win",M249="Loss"),IF(F249="Bet",K249,(I249-1)*K249),"")</f>
        <v/>
      </c>
    </row>
    <row r="250">
      <c r="A250" s="37" t="n">
        <v>46292</v>
      </c>
      <c r="B250" s="38" t="inlineStr">
        <is>
          <t>Sunshine Coast</t>
        </is>
      </c>
      <c r="C250" s="15" t="n">
        <v>7</v>
      </c>
      <c r="D250" s="15" t="n">
        <v>10</v>
      </c>
      <c r="E250" s="14" t="inlineStr">
        <is>
          <t>Sweet Pretender</t>
        </is>
      </c>
      <c r="F250" s="39" t="inlineStr">
        <is>
          <t>Bet</t>
        </is>
      </c>
      <c r="G250" s="40" t="inlineStr">
        <is>
          <t>Bet</t>
        </is>
      </c>
      <c r="H250" s="41" t="n">
        <v>6.5</v>
      </c>
      <c r="I250" s="41" t="n">
        <v>8</v>
      </c>
      <c r="J250" s="16" t="n">
        <v>0.0213</v>
      </c>
      <c r="K250" s="42" t="n">
        <v>1</v>
      </c>
      <c r="L250" s="15" t="n">
        <v>8</v>
      </c>
      <c r="M250" s="43" t="inlineStr">
        <is>
          <t>Loss</t>
        </is>
      </c>
      <c r="N250" s="17">
        <f>IF(M250="Win",IF(F250="Bet",(I250-1)*K250,K250),IF(M250="Loss",IF(F250="Bet",-K250,-(I250-1)*K250),IF(M250="Void",0,"")))</f>
        <v/>
      </c>
      <c r="O250" s="18">
        <f>IF(OR(M250="Win",M250="Loss"),IF(F250="Bet",K250,(I250-1)*K250),"")</f>
        <v/>
      </c>
    </row>
    <row r="251">
      <c r="A251" s="44" t="n">
        <v>46292</v>
      </c>
      <c r="B251" s="45" t="inlineStr">
        <is>
          <t>Dubbo</t>
        </is>
      </c>
      <c r="C251" s="21" t="n">
        <v>10</v>
      </c>
      <c r="D251" s="21" t="n">
        <v>1</v>
      </c>
      <c r="E251" s="20" t="inlineStr">
        <is>
          <t>Lang Park</t>
        </is>
      </c>
      <c r="F251" s="52" t="inlineStr">
        <is>
          <t>Bet</t>
        </is>
      </c>
      <c r="G251" s="40" t="inlineStr">
        <is>
          <t>Bet</t>
        </is>
      </c>
      <c r="H251" s="48" t="n">
        <v>4.9</v>
      </c>
      <c r="I251" s="48" t="n">
        <v>6.6</v>
      </c>
      <c r="J251" s="22" t="n">
        <v>0.0216</v>
      </c>
      <c r="K251" s="49" t="n">
        <v>1</v>
      </c>
      <c r="L251" s="21" t="n">
        <v>4</v>
      </c>
      <c r="M251" s="46" t="inlineStr">
        <is>
          <t>Loss</t>
        </is>
      </c>
      <c r="N251" s="23">
        <f>IF(M251="Win",IF(F251="Bet",(I251-1)*K251,K251),IF(M251="Loss",IF(F251="Bet",-K251,-(I251-1)*K251),IF(M251="Void",0,"")))</f>
        <v/>
      </c>
      <c r="O251" s="24">
        <f>IF(OR(M251="Win",M251="Loss"),IF(F251="Bet",K251,(I251-1)*K251),"")</f>
        <v/>
      </c>
    </row>
    <row r="252">
      <c r="A252" s="37" t="n">
        <v>46293</v>
      </c>
      <c r="B252" s="38" t="inlineStr">
        <is>
          <t>Wagga</t>
        </is>
      </c>
      <c r="C252" s="15" t="n">
        <v>2</v>
      </c>
      <c r="D252" s="15" t="n">
        <v>1</v>
      </c>
      <c r="E252" s="14" t="inlineStr">
        <is>
          <t>Philadelphia Storm</t>
        </is>
      </c>
      <c r="F252" s="39" t="inlineStr">
        <is>
          <t>Bet</t>
        </is>
      </c>
      <c r="G252" s="40" t="inlineStr">
        <is>
          <t>Bet</t>
        </is>
      </c>
      <c r="H252" s="41" t="n">
        <v>5.3</v>
      </c>
      <c r="I252" s="41" t="n">
        <v>13</v>
      </c>
      <c r="J252" s="16" t="n">
        <v>0.0213</v>
      </c>
      <c r="K252" s="42" t="n">
        <v>1</v>
      </c>
      <c r="L252" s="15" t="n">
        <v>2</v>
      </c>
      <c r="M252" s="43" t="inlineStr">
        <is>
          <t>Loss</t>
        </is>
      </c>
      <c r="N252" s="17">
        <f>IF(M252="Win",IF(F252="Bet",(I252-1)*K252,K252),IF(M252="Loss",IF(F252="Bet",-K252,-(I252-1)*K252),IF(M252="Void",0,"")))</f>
        <v/>
      </c>
      <c r="O252" s="18">
        <f>IF(OR(M252="Win",M252="Loss"),IF(F252="Bet",K252,(I252-1)*K252),"")</f>
        <v/>
      </c>
    </row>
    <row r="253">
      <c r="A253" s="44" t="n">
        <v>46293</v>
      </c>
      <c r="B253" s="45" t="inlineStr">
        <is>
          <t>Kilmore</t>
        </is>
      </c>
      <c r="C253" s="21" t="n">
        <v>5</v>
      </c>
      <c r="D253" s="21" t="n">
        <v>2</v>
      </c>
      <c r="E253" s="20" t="inlineStr">
        <is>
          <t>Royal Rendezvous</t>
        </is>
      </c>
      <c r="F253" s="52" t="inlineStr">
        <is>
          <t>Bet</t>
        </is>
      </c>
      <c r="G253" s="40" t="inlineStr">
        <is>
          <t>Bet</t>
        </is>
      </c>
      <c r="H253" s="48" t="n">
        <v>3.4</v>
      </c>
      <c r="I253" s="48" t="n">
        <v>4</v>
      </c>
      <c r="J253" s="22" t="n">
        <v>0.0432</v>
      </c>
      <c r="K253" s="49" t="n">
        <v>1</v>
      </c>
      <c r="L253" s="21" t="n">
        <v>2</v>
      </c>
      <c r="M253" s="46" t="inlineStr">
        <is>
          <t>Loss</t>
        </is>
      </c>
      <c r="N253" s="23">
        <f>IF(M253="Win",IF(F253="Bet",(I253-1)*K253,K253),IF(M253="Loss",IF(F253="Bet",-K253,-(I253-1)*K253),IF(M253="Void",0,"")))</f>
        <v/>
      </c>
      <c r="O253" s="24">
        <f>IF(OR(M253="Win",M253="Loss"),IF(F253="Bet",K253,(I253-1)*K253),"")</f>
        <v/>
      </c>
    </row>
    <row r="254">
      <c r="A254" s="37" t="n">
        <v>46294</v>
      </c>
      <c r="B254" s="38" t="inlineStr">
        <is>
          <t>Tatura</t>
        </is>
      </c>
      <c r="C254" s="15" t="n">
        <v>7</v>
      </c>
      <c r="D254" s="15" t="n">
        <v>7</v>
      </c>
      <c r="E254" s="14" t="inlineStr">
        <is>
          <t>Lujaego</t>
        </is>
      </c>
      <c r="F254" s="39" t="inlineStr">
        <is>
          <t>Bet</t>
        </is>
      </c>
      <c r="G254" s="40" t="inlineStr">
        <is>
          <t>Bet</t>
        </is>
      </c>
      <c r="H254" s="41" t="n">
        <v>6.9</v>
      </c>
      <c r="I254" s="41" t="n">
        <v>8</v>
      </c>
      <c r="J254" s="16" t="n">
        <v>0.0203</v>
      </c>
      <c r="K254" s="42" t="n">
        <v>1</v>
      </c>
      <c r="L254" s="15" t="n">
        <v>8</v>
      </c>
      <c r="M254" s="43" t="inlineStr">
        <is>
          <t>Loss</t>
        </is>
      </c>
      <c r="N254" s="17">
        <f>IF(M254="Win",IF(F254="Bet",(I254-1)*K254,K254),IF(M254="Loss",IF(F254="Bet",-K254,-(I254-1)*K254),IF(M254="Void",0,"")))</f>
        <v/>
      </c>
      <c r="O254" s="18">
        <f>IF(OR(M254="Win",M254="Loss"),IF(F254="Bet",K254,(I254-1)*K254),"")</f>
        <v/>
      </c>
    </row>
    <row r="255">
      <c r="A255" s="44" t="n">
        <v>46295</v>
      </c>
      <c r="B255" s="45" t="inlineStr">
        <is>
          <t>Balaklava</t>
        </is>
      </c>
      <c r="C255" s="21" t="n">
        <v>1</v>
      </c>
      <c r="D255" s="21" t="n">
        <v>1</v>
      </c>
      <c r="E255" s="20" t="inlineStr">
        <is>
          <t>Synthesise</t>
        </is>
      </c>
      <c r="F255" s="52" t="inlineStr">
        <is>
          <t>Bet</t>
        </is>
      </c>
      <c r="G255" s="53" t="inlineStr">
        <is>
          <t>Prime</t>
        </is>
      </c>
      <c r="H255" s="48" t="n">
        <v>1.8</v>
      </c>
      <c r="I255" s="48" t="n">
        <v>2.45</v>
      </c>
      <c r="J255" s="22" t="n">
        <v>0.0725</v>
      </c>
      <c r="K255" s="49" t="n">
        <v>1</v>
      </c>
      <c r="L255" s="21" t="n">
        <v>2</v>
      </c>
      <c r="M255" s="46" t="inlineStr">
        <is>
          <t>Loss</t>
        </is>
      </c>
      <c r="N255" s="23">
        <f>IF(M255="Win",IF(F255="Bet",(I255-1)*K255,K255),IF(M255="Loss",IF(F255="Bet",-K255,-(I255-1)*K255),IF(M255="Void",0,"")))</f>
        <v/>
      </c>
      <c r="O255" s="24">
        <f>IF(OR(M255="Win",M255="Loss"),IF(F255="Bet",K255,(I255-1)*K255),"")</f>
        <v/>
      </c>
    </row>
    <row r="256">
      <c r="A256" s="37" t="n">
        <v>46295</v>
      </c>
      <c r="B256" s="38" t="inlineStr">
        <is>
          <t>Doomben</t>
        </is>
      </c>
      <c r="C256" s="15" t="n">
        <v>3</v>
      </c>
      <c r="D256" s="15" t="n">
        <v>1</v>
      </c>
      <c r="E256" s="14" t="inlineStr">
        <is>
          <t>Perfect Play</t>
        </is>
      </c>
      <c r="F256" s="39" t="inlineStr">
        <is>
          <t>Bet</t>
        </is>
      </c>
      <c r="G256" s="53" t="inlineStr">
        <is>
          <t>Prime</t>
        </is>
      </c>
      <c r="H256" s="41" t="n">
        <v>2.4</v>
      </c>
      <c r="I256" s="41" t="n">
        <v>2.6</v>
      </c>
      <c r="J256" s="16" t="n">
        <v>0.0348</v>
      </c>
      <c r="K256" s="42" t="n">
        <v>1</v>
      </c>
      <c r="L256" s="15" t="n">
        <v>1</v>
      </c>
      <c r="M256" s="51" t="inlineStr">
        <is>
          <t>Win</t>
        </is>
      </c>
      <c r="N256" s="17">
        <f>IF(M256="Win",IF(F256="Bet",(I256-1)*K256,K256),IF(M256="Loss",IF(F256="Bet",-K256,-(I256-1)*K256),IF(M256="Void",0,"")))</f>
        <v/>
      </c>
      <c r="O256" s="18">
        <f>IF(OR(M256="Win",M256="Loss"),IF(F256="Bet",K256,(I256-1)*K256),"")</f>
        <v/>
      </c>
    </row>
    <row r="257">
      <c r="A257" s="44" t="n">
        <v>46295</v>
      </c>
      <c r="B257" s="45" t="inlineStr">
        <is>
          <t>Doomben</t>
        </is>
      </c>
      <c r="C257" s="21" t="n">
        <v>5</v>
      </c>
      <c r="D257" s="21" t="n">
        <v>9</v>
      </c>
      <c r="E257" s="20" t="inlineStr">
        <is>
          <t>Spiethtacular</t>
        </is>
      </c>
      <c r="F257" s="52" t="inlineStr">
        <is>
          <t>Bet</t>
        </is>
      </c>
      <c r="G257" s="40" t="inlineStr">
        <is>
          <t>Bet</t>
        </is>
      </c>
      <c r="H257" s="48" t="n">
        <v>2.75</v>
      </c>
      <c r="I257" s="48" t="n">
        <v>3.06</v>
      </c>
      <c r="J257" s="22" t="n">
        <v>0.033</v>
      </c>
      <c r="K257" s="49" t="n">
        <v>1</v>
      </c>
      <c r="L257" s="21" t="n">
        <v>1</v>
      </c>
      <c r="M257" s="50" t="inlineStr">
        <is>
          <t>Win</t>
        </is>
      </c>
      <c r="N257" s="23">
        <f>IF(M257="Win",IF(F257="Bet",(I257-1)*K257,K257),IF(M257="Loss",IF(F257="Bet",-K257,-(I257-1)*K257),IF(M257="Void",0,"")))</f>
        <v/>
      </c>
      <c r="O257" s="24">
        <f>IF(OR(M257="Win",M257="Loss"),IF(F257="Bet",K257,(I257-1)*K257),"")</f>
        <v/>
      </c>
    </row>
    <row r="258">
      <c r="A258" s="37" t="n">
        <v>46295</v>
      </c>
      <c r="B258" s="38" t="inlineStr">
        <is>
          <t>Ballarat</t>
        </is>
      </c>
      <c r="C258" s="15" t="n">
        <v>1</v>
      </c>
      <c r="D258" s="15" t="n">
        <v>2</v>
      </c>
      <c r="E258" s="14" t="inlineStr">
        <is>
          <t>Egyptian Dancer</t>
        </is>
      </c>
      <c r="F258" s="39" t="inlineStr">
        <is>
          <t>Bet</t>
        </is>
      </c>
      <c r="G258" s="40" t="inlineStr">
        <is>
          <t>Bet</t>
        </is>
      </c>
      <c r="H258" s="41" t="n">
        <v>5.7</v>
      </c>
      <c r="I258" s="41" t="n">
        <v>6.5</v>
      </c>
      <c r="J258" s="16" t="n">
        <v>0.0224</v>
      </c>
      <c r="K258" s="42" t="n">
        <v>1</v>
      </c>
      <c r="L258" s="15" t="n">
        <v>6</v>
      </c>
      <c r="M258" s="43" t="inlineStr">
        <is>
          <t>Loss</t>
        </is>
      </c>
      <c r="N258" s="17">
        <f>IF(M258="Win",IF(F258="Bet",(I258-1)*K258,K258),IF(M258="Loss",IF(F258="Bet",-K258,-(I258-1)*K258),IF(M258="Void",0,"")))</f>
        <v/>
      </c>
      <c r="O258" s="18">
        <f>IF(OR(M258="Win",M258="Loss"),IF(F258="Bet",K258,(I258-1)*K258),"")</f>
        <v/>
      </c>
    </row>
    <row r="259">
      <c r="A259" s="44" t="n">
        <v>46295</v>
      </c>
      <c r="B259" s="45" t="inlineStr">
        <is>
          <t>Ballarat</t>
        </is>
      </c>
      <c r="C259" s="21" t="n">
        <v>2</v>
      </c>
      <c r="D259" s="21" t="n">
        <v>7</v>
      </c>
      <c r="E259" s="20" t="inlineStr">
        <is>
          <t>Sister's Run</t>
        </is>
      </c>
      <c r="F259" s="52" t="inlineStr">
        <is>
          <t>Bet</t>
        </is>
      </c>
      <c r="G259" s="40" t="inlineStr">
        <is>
          <t>Bet</t>
        </is>
      </c>
      <c r="H259" s="48" t="n">
        <v>7.3</v>
      </c>
      <c r="I259" s="48" t="n">
        <v>8.5</v>
      </c>
      <c r="J259" s="22" t="n">
        <v>0.0202</v>
      </c>
      <c r="K259" s="49" t="n">
        <v>1</v>
      </c>
      <c r="L259" s="21" t="n">
        <v>1</v>
      </c>
      <c r="M259" s="50" t="inlineStr">
        <is>
          <t>Win</t>
        </is>
      </c>
      <c r="N259" s="23">
        <f>IF(M259="Win",IF(F259="Bet",(I259-1)*K259,K259),IF(M259="Loss",IF(F259="Bet",-K259,-(I259-1)*K259),IF(M259="Void",0,"")))</f>
        <v/>
      </c>
      <c r="O259" s="24">
        <f>IF(OR(M259="Win",M259="Loss"),IF(F259="Bet",K259,(I259-1)*K259),"")</f>
        <v/>
      </c>
    </row>
    <row r="260">
      <c r="A260" s="37" t="n">
        <v>46295</v>
      </c>
      <c r="B260" s="38" t="inlineStr">
        <is>
          <t>Rosehill</t>
        </is>
      </c>
      <c r="C260" s="15" t="n">
        <v>4</v>
      </c>
      <c r="D260" s="15" t="n">
        <v>4</v>
      </c>
      <c r="E260" s="14" t="inlineStr">
        <is>
          <t>Golden Century</t>
        </is>
      </c>
      <c r="F260" s="39" t="inlineStr">
        <is>
          <t>Bet</t>
        </is>
      </c>
      <c r="G260" s="40" t="inlineStr">
        <is>
          <t>Bet</t>
        </is>
      </c>
      <c r="H260" s="41" t="n">
        <v>3</v>
      </c>
      <c r="I260" s="41" t="n">
        <v>3.51</v>
      </c>
      <c r="J260" s="16" t="n">
        <v>0.0203</v>
      </c>
      <c r="K260" s="42" t="n">
        <v>1</v>
      </c>
      <c r="L260" s="15" t="n">
        <v>2</v>
      </c>
      <c r="M260" s="43" t="inlineStr">
        <is>
          <t>Loss</t>
        </is>
      </c>
      <c r="N260" s="17">
        <f>IF(M260="Win",IF(F260="Bet",(I260-1)*K260,K260),IF(M260="Loss",IF(F260="Bet",-K260,-(I260-1)*K260),IF(M260="Void",0,"")))</f>
        <v/>
      </c>
      <c r="O260" s="18">
        <f>IF(OR(M260="Win",M260="Loss"),IF(F260="Bet",K260,(I260-1)*K260),"")</f>
        <v/>
      </c>
    </row>
    <row r="261">
      <c r="A261" s="44" t="n">
        <v>46295</v>
      </c>
      <c r="B261" s="45" t="inlineStr">
        <is>
          <t>Rosehill</t>
        </is>
      </c>
      <c r="C261" s="21" t="n">
        <v>5</v>
      </c>
      <c r="D261" s="21" t="n">
        <v>9</v>
      </c>
      <c r="E261" s="20" t="inlineStr">
        <is>
          <t>Aura</t>
        </is>
      </c>
      <c r="F261" s="52" t="inlineStr">
        <is>
          <t>Bet</t>
        </is>
      </c>
      <c r="G261" s="40" t="inlineStr">
        <is>
          <t>Bet</t>
        </is>
      </c>
      <c r="H261" s="48" t="n">
        <v>5.5</v>
      </c>
      <c r="I261" s="48" t="n">
        <v>7</v>
      </c>
      <c r="J261" s="22" t="n">
        <v>0.0269</v>
      </c>
      <c r="K261" s="49" t="n">
        <v>1</v>
      </c>
      <c r="L261" s="21" t="n">
        <v>7</v>
      </c>
      <c r="M261" s="46" t="inlineStr">
        <is>
          <t>Loss</t>
        </is>
      </c>
      <c r="N261" s="23">
        <f>IF(M261="Win",IF(F261="Bet",(I261-1)*K261,K261),IF(M261="Loss",IF(F261="Bet",-K261,-(I261-1)*K261),IF(M261="Void",0,"")))</f>
        <v/>
      </c>
      <c r="O261" s="24">
        <f>IF(OR(M261="Win",M261="Loss"),IF(F261="Bet",K261,(I261-1)*K261),"")</f>
        <v/>
      </c>
    </row>
    <row r="262">
      <c r="A262" s="37" t="n">
        <v>46296</v>
      </c>
      <c r="B262" s="38" t="inlineStr">
        <is>
          <t>Kalgoorlie</t>
        </is>
      </c>
      <c r="C262" s="15" t="n">
        <v>1</v>
      </c>
      <c r="D262" s="15" t="n">
        <v>1</v>
      </c>
      <c r="E262" s="14" t="inlineStr">
        <is>
          <t>Call Me Invincible</t>
        </is>
      </c>
      <c r="F262" s="39" t="inlineStr">
        <is>
          <t>Bet</t>
        </is>
      </c>
      <c r="G262" s="53" t="inlineStr">
        <is>
          <t>Prime</t>
        </is>
      </c>
      <c r="H262" s="41" t="n">
        <v>2.75</v>
      </c>
      <c r="I262" s="41" t="n">
        <v>3.5</v>
      </c>
      <c r="J262" s="16" t="n">
        <v>0.0489</v>
      </c>
      <c r="K262" s="42" t="n">
        <v>1</v>
      </c>
      <c r="L262" s="15" t="n">
        <v>1</v>
      </c>
      <c r="M262" s="51" t="inlineStr">
        <is>
          <t>Win</t>
        </is>
      </c>
      <c r="N262" s="17">
        <f>IF(M262="Win",IF(F262="Bet",(I262-1)*K262,K262),IF(M262="Loss",IF(F262="Bet",-K262,-(I262-1)*K262),IF(M262="Void",0,"")))</f>
        <v/>
      </c>
      <c r="O262" s="18">
        <f>IF(OR(M262="Win",M262="Loss"),IF(F262="Bet",K262,(I262-1)*K262),"")</f>
        <v/>
      </c>
    </row>
    <row r="263">
      <c r="A263" s="44" t="n">
        <v>46296</v>
      </c>
      <c r="B263" s="45" t="inlineStr">
        <is>
          <t>Illawarra Grange</t>
        </is>
      </c>
      <c r="C263" s="21" t="n">
        <v>5</v>
      </c>
      <c r="D263" s="21" t="n">
        <v>2</v>
      </c>
      <c r="E263" s="20" t="inlineStr">
        <is>
          <t>Pierata's Gem</t>
        </is>
      </c>
      <c r="F263" s="52" t="inlineStr">
        <is>
          <t>Bet</t>
        </is>
      </c>
      <c r="G263" s="53" t="inlineStr">
        <is>
          <t>Prime</t>
        </is>
      </c>
      <c r="H263" s="48" t="n">
        <v>2.65</v>
      </c>
      <c r="I263" s="48" t="n">
        <v>3.1</v>
      </c>
      <c r="J263" s="22" t="n">
        <v>0.0516</v>
      </c>
      <c r="K263" s="49" t="n">
        <v>1</v>
      </c>
      <c r="L263" s="21" t="n">
        <v>8</v>
      </c>
      <c r="M263" s="46" t="inlineStr">
        <is>
          <t>Loss</t>
        </is>
      </c>
      <c r="N263" s="23">
        <f>IF(M263="Win",IF(F263="Bet",(I263-1)*K263,K263),IF(M263="Loss",IF(F263="Bet",-K263,-(I263-1)*K263),IF(M263="Void",0,"")))</f>
        <v/>
      </c>
      <c r="O263" s="24">
        <f>IF(OR(M263="Win",M263="Loss"),IF(F263="Bet",K263,(I263-1)*K263),"")</f>
        <v/>
      </c>
    </row>
    <row r="264">
      <c r="A264" s="37" t="n">
        <v>46296</v>
      </c>
      <c r="B264" s="38" t="inlineStr">
        <is>
          <t>Illawarra Grange</t>
        </is>
      </c>
      <c r="C264" s="15" t="n">
        <v>8</v>
      </c>
      <c r="D264" s="15" t="n">
        <v>1</v>
      </c>
      <c r="E264" s="14" t="inlineStr">
        <is>
          <t>Los Padres</t>
        </is>
      </c>
      <c r="F264" s="39" t="inlineStr">
        <is>
          <t>Bet</t>
        </is>
      </c>
      <c r="G264" s="40" t="inlineStr">
        <is>
          <t>Bet</t>
        </is>
      </c>
      <c r="H264" s="41" t="n">
        <v>7.4</v>
      </c>
      <c r="I264" s="41" t="n">
        <v>9.5</v>
      </c>
      <c r="J264" s="16" t="n">
        <v>0.0305</v>
      </c>
      <c r="K264" s="42" t="n">
        <v>1</v>
      </c>
      <c r="L264" s="15" t="n">
        <v>3</v>
      </c>
      <c r="M264" s="43" t="inlineStr">
        <is>
          <t>Loss</t>
        </is>
      </c>
      <c r="N264" s="17">
        <f>IF(M264="Win",IF(F264="Bet",(I264-1)*K264,K264),IF(M264="Loss",IF(F264="Bet",-K264,-(I264-1)*K264),IF(M264="Void",0,"")))</f>
        <v/>
      </c>
      <c r="O264" s="18">
        <f>IF(OR(M264="Win",M264="Loss"),IF(F264="Bet",K264,(I264-1)*K264),"")</f>
        <v/>
      </c>
    </row>
    <row r="265">
      <c r="A265" s="44" t="n">
        <v>46296</v>
      </c>
      <c r="B265" s="45" t="inlineStr">
        <is>
          <t>Tamworth</t>
        </is>
      </c>
      <c r="C265" s="21" t="n">
        <v>6</v>
      </c>
      <c r="D265" s="21" t="n">
        <v>5</v>
      </c>
      <c r="E265" s="20" t="inlineStr">
        <is>
          <t>Samita</t>
        </is>
      </c>
      <c r="F265" s="52" t="inlineStr">
        <is>
          <t>Bet</t>
        </is>
      </c>
      <c r="G265" s="40" t="inlineStr">
        <is>
          <t>Bet</t>
        </is>
      </c>
      <c r="H265" s="48" t="n">
        <v>6.8</v>
      </c>
      <c r="I265" s="48" t="n">
        <v>9</v>
      </c>
      <c r="J265" s="22" t="n">
        <v>0.0222</v>
      </c>
      <c r="K265" s="49" t="n">
        <v>1</v>
      </c>
      <c r="L265" s="21" t="n">
        <v>10</v>
      </c>
      <c r="M265" s="46" t="inlineStr">
        <is>
          <t>Loss</t>
        </is>
      </c>
      <c r="N265" s="23">
        <f>IF(M265="Win",IF(F265="Bet",(I265-1)*K265,K265),IF(M265="Loss",IF(F265="Bet",-K265,-(I265-1)*K265),IF(M265="Void",0,"")))</f>
        <v/>
      </c>
      <c r="O265" s="24">
        <f>IF(OR(M265="Win",M265="Loss"),IF(F265="Bet",K265,(I265-1)*K265),"")</f>
        <v/>
      </c>
    </row>
    <row r="266">
      <c r="A266" s="37" t="n">
        <v>46296</v>
      </c>
      <c r="B266" s="38" t="inlineStr">
        <is>
          <t>Warrnambool</t>
        </is>
      </c>
      <c r="C266" s="15" t="n">
        <v>5</v>
      </c>
      <c r="D266" s="15" t="n">
        <v>3</v>
      </c>
      <c r="E266" s="14" t="inlineStr">
        <is>
          <t>Celibate</t>
        </is>
      </c>
      <c r="F266" s="39" t="inlineStr">
        <is>
          <t>Bet</t>
        </is>
      </c>
      <c r="G266" s="53" t="inlineStr">
        <is>
          <t>Prime</t>
        </is>
      </c>
      <c r="H266" s="41" t="n">
        <v>2.9</v>
      </c>
      <c r="I266" s="41" t="n">
        <v>3.7</v>
      </c>
      <c r="J266" s="16" t="n">
        <v>0.0659</v>
      </c>
      <c r="K266" s="42" t="n">
        <v>1</v>
      </c>
      <c r="L266" s="15" t="n">
        <v>1</v>
      </c>
      <c r="M266" s="51" t="inlineStr">
        <is>
          <t>Win</t>
        </is>
      </c>
      <c r="N266" s="17">
        <f>IF(M266="Win",IF(F266="Bet",(I266-1)*K266,K266),IF(M266="Loss",IF(F266="Bet",-K266,-(I266-1)*K266),IF(M266="Void",0,"")))</f>
        <v/>
      </c>
      <c r="O266" s="18">
        <f>IF(OR(M266="Win",M266="Loss"),IF(F266="Bet",K266,(I266-1)*K266),"")</f>
        <v/>
      </c>
    </row>
    <row r="267">
      <c r="A267" s="44" t="n">
        <v>46296</v>
      </c>
      <c r="B267" s="45" t="inlineStr">
        <is>
          <t>Gatton</t>
        </is>
      </c>
      <c r="C267" s="21" t="n">
        <v>4</v>
      </c>
      <c r="D267" s="21" t="n">
        <v>4</v>
      </c>
      <c r="E267" s="20" t="inlineStr">
        <is>
          <t>Headline Legend</t>
        </is>
      </c>
      <c r="F267" s="52" t="inlineStr">
        <is>
          <t>Bet</t>
        </is>
      </c>
      <c r="G267" s="53" t="inlineStr">
        <is>
          <t>Prime</t>
        </is>
      </c>
      <c r="H267" s="48" t="n">
        <v>5</v>
      </c>
      <c r="I267" s="48" t="n">
        <v>13</v>
      </c>
      <c r="J267" s="22" t="n">
        <v>0.0445</v>
      </c>
      <c r="K267" s="49" t="n">
        <v>1</v>
      </c>
      <c r="L267" s="21" t="n">
        <v>9</v>
      </c>
      <c r="M267" s="46" t="inlineStr">
        <is>
          <t>Loss</t>
        </is>
      </c>
      <c r="N267" s="23">
        <f>IF(M267="Win",IF(F267="Bet",(I267-1)*K267,K267),IF(M267="Loss",IF(F267="Bet",-K267,-(I267-1)*K267),IF(M267="Void",0,"")))</f>
        <v/>
      </c>
      <c r="O267" s="24">
        <f>IF(OR(M267="Win",M267="Loss"),IF(F267="Bet",K267,(I267-1)*K267),"")</f>
        <v/>
      </c>
    </row>
    <row r="268">
      <c r="A268" s="37" t="n">
        <v>46296</v>
      </c>
      <c r="B268" s="38" t="inlineStr">
        <is>
          <t>Warrnambool</t>
        </is>
      </c>
      <c r="C268" s="15" t="n">
        <v>8</v>
      </c>
      <c r="D268" s="15" t="n">
        <v>2</v>
      </c>
      <c r="E268" s="14" t="inlineStr">
        <is>
          <t>Invisible Magic</t>
        </is>
      </c>
      <c r="F268" s="39" t="inlineStr">
        <is>
          <t>Bet</t>
        </is>
      </c>
      <c r="G268" s="53" t="inlineStr">
        <is>
          <t>Prime</t>
        </is>
      </c>
      <c r="H268" s="41" t="n">
        <v>2.8</v>
      </c>
      <c r="I268" s="41" t="n">
        <v>3.8</v>
      </c>
      <c r="J268" s="16" t="n">
        <v>0.0556</v>
      </c>
      <c r="K268" s="42" t="n">
        <v>1</v>
      </c>
      <c r="L268" s="15" t="n">
        <v>2</v>
      </c>
      <c r="M268" s="43" t="inlineStr">
        <is>
          <t>Loss</t>
        </is>
      </c>
      <c r="N268" s="17">
        <f>IF(M268="Win",IF(F268="Bet",(I268-1)*K268,K268),IF(M268="Loss",IF(F268="Bet",-K268,-(I268-1)*K268),IF(M268="Void",0,"")))</f>
        <v/>
      </c>
      <c r="O268" s="18">
        <f>IF(OR(M268="Win",M268="Loss"),IF(F268="Bet",K268,(I268-1)*K268),"")</f>
        <v/>
      </c>
    </row>
    <row r="269">
      <c r="A269" s="44" t="n">
        <v>46296</v>
      </c>
      <c r="B269" s="45" t="inlineStr">
        <is>
          <t>Kalgoorlie</t>
        </is>
      </c>
      <c r="C269" s="21" t="n">
        <v>2</v>
      </c>
      <c r="D269" s="21" t="n">
        <v>10</v>
      </c>
      <c r="E269" s="20" t="inlineStr">
        <is>
          <t>Budino</t>
        </is>
      </c>
      <c r="F269" s="52" t="inlineStr">
        <is>
          <t>Bet</t>
        </is>
      </c>
      <c r="G269" s="40" t="inlineStr">
        <is>
          <t>Bet</t>
        </is>
      </c>
      <c r="H269" s="48" t="n">
        <v>7.9</v>
      </c>
      <c r="I269" s="48" t="n">
        <v>9.5</v>
      </c>
      <c r="J269" s="22" t="n">
        <v>0.0208</v>
      </c>
      <c r="K269" s="49" t="n">
        <v>1</v>
      </c>
      <c r="L269" s="21" t="n">
        <v>8</v>
      </c>
      <c r="M269" s="46" t="inlineStr">
        <is>
          <t>Loss</t>
        </is>
      </c>
      <c r="N269" s="23">
        <f>IF(M269="Win",IF(F269="Bet",(I269-1)*K269,K269),IF(M269="Loss",IF(F269="Bet",-K269,-(I269-1)*K269),IF(M269="Void",0,"")))</f>
        <v/>
      </c>
      <c r="O269" s="24">
        <f>IF(OR(M269="Win",M269="Loss"),IF(F269="Bet",K269,(I269-1)*K269),"")</f>
        <v/>
      </c>
    </row>
    <row r="270">
      <c r="A270" s="37" t="n">
        <v>46297</v>
      </c>
      <c r="B270" s="38" t="inlineStr">
        <is>
          <t>Cranbourne</t>
        </is>
      </c>
      <c r="C270" s="15" t="n">
        <v>5</v>
      </c>
      <c r="D270" s="15" t="n">
        <v>2</v>
      </c>
      <c r="E270" s="14" t="inlineStr">
        <is>
          <t>Milos Filos</t>
        </is>
      </c>
      <c r="F270" s="39" t="inlineStr">
        <is>
          <t>Bet</t>
        </is>
      </c>
      <c r="G270" s="40" t="inlineStr">
        <is>
          <t>Bet</t>
        </is>
      </c>
      <c r="H270" s="41" t="n">
        <v>6.8</v>
      </c>
      <c r="I270" s="41" t="n">
        <v>8.5</v>
      </c>
      <c r="J270" s="16" t="n">
        <v>0.0299</v>
      </c>
      <c r="K270" s="42" t="n">
        <v>1</v>
      </c>
      <c r="L270" s="15" t="n"/>
      <c r="M270" s="54" t="inlineStr">
        <is>
          <t>Void</t>
        </is>
      </c>
      <c r="N270" s="17">
        <f>IF(M270="Win",IF(F270="Bet",(I270-1)*K270,K270),IF(M270="Loss",IF(F270="Bet",-K270,-(I270-1)*K270),IF(M270="Void",0,"")))</f>
        <v/>
      </c>
      <c r="O270" s="18">
        <f>IF(OR(M270="Win",M270="Loss"),IF(F270="Bet",K270,(I270-1)*K270),"")</f>
        <v/>
      </c>
    </row>
    <row r="271">
      <c r="A271" s="44" t="n">
        <v>46297</v>
      </c>
      <c r="B271" s="45" t="inlineStr">
        <is>
          <t>Launceston</t>
        </is>
      </c>
      <c r="C271" s="21" t="n">
        <v>2</v>
      </c>
      <c r="D271" s="21" t="n">
        <v>6</v>
      </c>
      <c r="E271" s="20" t="inlineStr">
        <is>
          <t>Fluffy's Girl</t>
        </is>
      </c>
      <c r="F271" s="52" t="inlineStr">
        <is>
          <t>Bet</t>
        </is>
      </c>
      <c r="G271" s="40" t="inlineStr">
        <is>
          <t>Bet</t>
        </is>
      </c>
      <c r="H271" s="48" t="n">
        <v>4.9</v>
      </c>
      <c r="I271" s="48" t="n">
        <v>6</v>
      </c>
      <c r="J271" s="22" t="n">
        <v>0.0212</v>
      </c>
      <c r="K271" s="49" t="n">
        <v>1</v>
      </c>
      <c r="L271" s="21" t="n"/>
      <c r="M271" s="55" t="inlineStr">
        <is>
          <t>Pending</t>
        </is>
      </c>
      <c r="N271" s="23">
        <f>IF(M271="Win",IF(F271="Bet",(I271-1)*K271,K271),IF(M271="Loss",IF(F271="Bet",-K271,-(I271-1)*K271),IF(M271="Void",0,"")))</f>
        <v/>
      </c>
      <c r="O271" s="24">
        <f>IF(OR(M271="Win",M271="Loss"),IF(F271="Bet",K271,(I271-1)*K271),"")</f>
        <v/>
      </c>
    </row>
    <row r="272">
      <c r="A272" s="37" t="n">
        <v>46297</v>
      </c>
      <c r="B272" s="38" t="inlineStr">
        <is>
          <t>Sunshine Coast</t>
        </is>
      </c>
      <c r="C272" s="15" t="n">
        <v>5</v>
      </c>
      <c r="D272" s="15" t="n">
        <v>3</v>
      </c>
      <c r="E272" s="14" t="inlineStr">
        <is>
          <t>Shako</t>
        </is>
      </c>
      <c r="F272" s="39" t="inlineStr">
        <is>
          <t>Bet</t>
        </is>
      </c>
      <c r="G272" s="40" t="inlineStr">
        <is>
          <t>Bet</t>
        </is>
      </c>
      <c r="H272" s="41" t="n">
        <v>4.7</v>
      </c>
      <c r="I272" s="41" t="n">
        <v>5.5</v>
      </c>
      <c r="J272" s="16" t="n">
        <v>0.0293</v>
      </c>
      <c r="K272" s="42" t="n">
        <v>1</v>
      </c>
      <c r="L272" s="15" t="n"/>
      <c r="M272" s="54" t="inlineStr">
        <is>
          <t>Pending</t>
        </is>
      </c>
      <c r="N272" s="17">
        <f>IF(M272="Win",IF(F272="Bet",(I272-1)*K272,K272),IF(M272="Loss",IF(F272="Bet",-K272,-(I272-1)*K272),IF(M272="Void",0,"")))</f>
        <v/>
      </c>
      <c r="O272" s="18">
        <f>IF(OR(M272="Win",M272="Loss"),IF(F272="Bet",K272,(I272-1)*K272),"")</f>
        <v/>
      </c>
    </row>
    <row r="273">
      <c r="A273" s="44" t="n">
        <v>46297</v>
      </c>
      <c r="B273" s="45" t="inlineStr">
        <is>
          <t>Sunshine Coast</t>
        </is>
      </c>
      <c r="C273" s="21" t="n">
        <v>5</v>
      </c>
      <c r="D273" s="21" t="n">
        <v>5</v>
      </c>
      <c r="E273" s="20" t="inlineStr">
        <is>
          <t>Chalice Well</t>
        </is>
      </c>
      <c r="F273" s="52" t="inlineStr">
        <is>
          <t>Bet</t>
        </is>
      </c>
      <c r="G273" s="40" t="inlineStr">
        <is>
          <t>Bet</t>
        </is>
      </c>
      <c r="H273" s="48" t="n">
        <v>5</v>
      </c>
      <c r="I273" s="48" t="n">
        <v>6</v>
      </c>
      <c r="J273" s="22" t="n">
        <v>0.0353</v>
      </c>
      <c r="K273" s="49" t="n">
        <v>1</v>
      </c>
      <c r="L273" s="21" t="n"/>
      <c r="M273" s="55" t="inlineStr">
        <is>
          <t>Pending</t>
        </is>
      </c>
      <c r="N273" s="23">
        <f>IF(M273="Win",IF(F273="Bet",(I273-1)*K273,K273),IF(M273="Loss",IF(F273="Bet",-K273,-(I273-1)*K273),IF(M273="Void",0,"")))</f>
        <v/>
      </c>
      <c r="O273" s="24">
        <f>IF(OR(M273="Win",M273="Loss"),IF(F273="Bet",K273,(I273-1)*K273),"")</f>
        <v/>
      </c>
    </row>
    <row r="274">
      <c r="A274" s="37" t="n">
        <v>46297</v>
      </c>
      <c r="B274" s="38" t="inlineStr">
        <is>
          <t>Sunshine Coast</t>
        </is>
      </c>
      <c r="C274" s="15" t="n">
        <v>2</v>
      </c>
      <c r="D274" s="15" t="n">
        <v>4</v>
      </c>
      <c r="E274" s="14" t="inlineStr">
        <is>
          <t>Miss Dynamo</t>
        </is>
      </c>
      <c r="F274" s="39" t="inlineStr">
        <is>
          <t>Bet</t>
        </is>
      </c>
      <c r="G274" s="40" t="inlineStr">
        <is>
          <t>Bet</t>
        </is>
      </c>
      <c r="H274" s="41" t="n">
        <v>2.5</v>
      </c>
      <c r="I274" s="41" t="n">
        <v>2.7</v>
      </c>
      <c r="J274" s="16" t="n">
        <v>0.0314</v>
      </c>
      <c r="K274" s="42" t="n">
        <v>1</v>
      </c>
      <c r="L274" s="15" t="n"/>
      <c r="M274" s="54" t="inlineStr">
        <is>
          <t>Pending</t>
        </is>
      </c>
      <c r="N274" s="17">
        <f>IF(M274="Win",IF(F274="Bet",(I274-1)*K274,K274),IF(M274="Loss",IF(F274="Bet",-K274,-(I274-1)*K274),IF(M274="Void",0,"")))</f>
        <v/>
      </c>
      <c r="O274" s="18">
        <f>IF(OR(M274="Win",M274="Loss"),IF(F274="Bet",K274,(I274-1)*K274),"")</f>
        <v/>
      </c>
    </row>
    <row r="275">
      <c r="A275" s="44" t="n">
        <v>46297</v>
      </c>
      <c r="B275" s="45" t="inlineStr">
        <is>
          <t>Launceston</t>
        </is>
      </c>
      <c r="C275" s="21" t="n">
        <v>4</v>
      </c>
      <c r="D275" s="21" t="n">
        <v>3</v>
      </c>
      <c r="E275" s="20" t="inlineStr">
        <is>
          <t>Thickskinned</t>
        </is>
      </c>
      <c r="F275" s="52" t="inlineStr">
        <is>
          <t>Bet</t>
        </is>
      </c>
      <c r="G275" s="53" t="inlineStr">
        <is>
          <t>Prime</t>
        </is>
      </c>
      <c r="H275" s="48" t="n">
        <v>2</v>
      </c>
      <c r="I275" s="48" t="n">
        <v>2.45</v>
      </c>
      <c r="J275" s="22" t="n">
        <v>0.0948</v>
      </c>
      <c r="K275" s="49" t="n">
        <v>1</v>
      </c>
      <c r="L275" s="21" t="n"/>
      <c r="M275" s="55" t="inlineStr">
        <is>
          <t>Pending</t>
        </is>
      </c>
      <c r="N275" s="23">
        <f>IF(M275="Win",IF(F275="Bet",(I275-1)*K275,K275),IF(M275="Loss",IF(F275="Bet",-K275,-(I275-1)*K275),IF(M275="Void",0,"")))</f>
        <v/>
      </c>
      <c r="O275" s="24">
        <f>IF(OR(M275="Win",M275="Loss"),IF(F275="Bet",K275,(I275-1)*K275),"")</f>
        <v/>
      </c>
    </row>
    <row r="276">
      <c r="A276" s="37" t="n">
        <v>46297</v>
      </c>
      <c r="B276" s="38" t="inlineStr">
        <is>
          <t>Rockhampton</t>
        </is>
      </c>
      <c r="C276" s="15" t="n">
        <v>2</v>
      </c>
      <c r="D276" s="15" t="n">
        <v>6</v>
      </c>
      <c r="E276" s="14" t="inlineStr">
        <is>
          <t>August Joe</t>
        </is>
      </c>
      <c r="F276" s="39" t="inlineStr">
        <is>
          <t>Bet</t>
        </is>
      </c>
      <c r="G276" s="40" t="inlineStr">
        <is>
          <t>Bet</t>
        </is>
      </c>
      <c r="H276" s="41" t="n">
        <v>6.2</v>
      </c>
      <c r="I276" s="41" t="n">
        <v>8.5</v>
      </c>
      <c r="J276" s="16" t="n">
        <v>0.0442</v>
      </c>
      <c r="K276" s="42" t="n">
        <v>1</v>
      </c>
      <c r="L276" s="15" t="n"/>
      <c r="M276" s="54" t="inlineStr">
        <is>
          <t>Pending</t>
        </is>
      </c>
      <c r="N276" s="17">
        <f>IF(M276="Win",IF(F276="Bet",(I276-1)*K276,K276),IF(M276="Loss",IF(F276="Bet",-K276,-(I276-1)*K276),IF(M276="Void",0,"")))</f>
        <v/>
      </c>
      <c r="O276" s="18">
        <f>IF(OR(M276="Win",M276="Loss"),IF(F276="Bet",K276,(I276-1)*K276),"")</f>
        <v/>
      </c>
    </row>
    <row r="277">
      <c r="A277" s="44" t="n">
        <v>46297</v>
      </c>
      <c r="B277" s="45" t="inlineStr">
        <is>
          <t>Rockhampton</t>
        </is>
      </c>
      <c r="C277" s="21" t="n">
        <v>4</v>
      </c>
      <c r="D277" s="21" t="n">
        <v>15</v>
      </c>
      <c r="E277" s="20" t="inlineStr">
        <is>
          <t>Varejao</t>
        </is>
      </c>
      <c r="F277" s="52" t="inlineStr">
        <is>
          <t>Bet</t>
        </is>
      </c>
      <c r="G277" s="40" t="inlineStr">
        <is>
          <t>Bet</t>
        </is>
      </c>
      <c r="H277" s="48" t="n">
        <v>6.8</v>
      </c>
      <c r="I277" s="48" t="n">
        <v>8</v>
      </c>
      <c r="J277" s="22" t="n">
        <v>0.0222</v>
      </c>
      <c r="K277" s="49" t="n">
        <v>1</v>
      </c>
      <c r="L277" s="21" t="n"/>
      <c r="M277" s="55" t="inlineStr">
        <is>
          <t>Pending</t>
        </is>
      </c>
      <c r="N277" s="23">
        <f>IF(M277="Win",IF(F277="Bet",(I277-1)*K277,K277),IF(M277="Loss",IF(F277="Bet",-K277,-(I277-1)*K277),IF(M277="Void",0,"")))</f>
        <v/>
      </c>
      <c r="O277" s="24">
        <f>IF(OR(M277="Win",M277="Loss"),IF(F277="Bet",K277,(I277-1)*K277),"")</f>
        <v/>
      </c>
    </row>
    <row r="278">
      <c r="A278" s="37" t="n">
        <v>46297</v>
      </c>
      <c r="B278" s="38" t="inlineStr">
        <is>
          <t>Rockhampton</t>
        </is>
      </c>
      <c r="C278" s="15" t="n">
        <v>1</v>
      </c>
      <c r="D278" s="15" t="n">
        <v>3</v>
      </c>
      <c r="E278" s="14" t="inlineStr">
        <is>
          <t>Red Scentsation</t>
        </is>
      </c>
      <c r="F278" s="39" t="inlineStr">
        <is>
          <t>Bet</t>
        </is>
      </c>
      <c r="G278" s="40" t="inlineStr">
        <is>
          <t>Bet</t>
        </is>
      </c>
      <c r="H278" s="41" t="n">
        <v>2.05</v>
      </c>
      <c r="I278" s="41" t="n">
        <v>2.15</v>
      </c>
      <c r="J278" s="16" t="n">
        <v>0.0232</v>
      </c>
      <c r="K278" s="42" t="n">
        <v>1</v>
      </c>
      <c r="L278" s="15" t="n"/>
      <c r="M278" s="54" t="inlineStr">
        <is>
          <t>Pending</t>
        </is>
      </c>
      <c r="N278" s="17">
        <f>IF(M278="Win",IF(F278="Bet",(I278-1)*K278,K278),IF(M278="Loss",IF(F278="Bet",-K278,-(I278-1)*K278),IF(M278="Void",0,"")))</f>
        <v/>
      </c>
      <c r="O278" s="18">
        <f>IF(OR(M278="Win",M278="Loss"),IF(F278="Bet",K278,(I278-1)*K278),"")</f>
        <v/>
      </c>
    </row>
    <row r="280" ht="24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57" t="inlineStr">
        <is>
          <t>Total</t>
        </is>
      </c>
      <c r="N280" s="58">
        <f>SUM(N6:N278)</f>
        <v/>
      </c>
      <c r="O280" s="59">
        <f>SUM(O6:O278)</f>
        <v/>
      </c>
    </row>
  </sheetData>
  <autoFilter ref="A5:O278"/>
  <conditionalFormatting sqref="N6:N278">
    <cfRule type="cellIs" priority="1" operator="greaterThan" dxfId="1">
      <formula>0.0001</formula>
    </cfRule>
    <cfRule type="cellIs" priority="2" operator="lessThan" dxfId="2">
      <formula>-0.0001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D93636"/>
    <outlinePr summaryBelow="1" summaryRight="1"/>
    <pageSetUpPr/>
  </sheetPr>
  <dimension ref="A1:O5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9" customWidth="1" min="3" max="3"/>
    <col width="8" customWidth="1" min="4" max="4"/>
    <col width="24" customWidth="1" min="5" max="5"/>
    <col width="9" customWidth="1" min="6" max="6"/>
    <col width="16" customWidth="1" min="7" max="7"/>
    <col width="12" customWidth="1" min="8" max="8"/>
    <col width="12" customWidth="1" min="9" max="9"/>
    <col width="11" customWidth="1" min="10" max="10"/>
    <col width="13" customWidth="1" min="11" max="11"/>
    <col width="12" customWidth="1" min="12" max="12"/>
    <col width="12" customWidth="1" min="13" max="13"/>
    <col width="14" customWidth="1" min="14" max="14"/>
    <col width="14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2" t="inlineStr">
        <is>
          <t>Lays</t>
        </is>
      </c>
    </row>
    <row r="3" ht="3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3" t="inlineStr">
        <is>
          <t>Every lay, 11 Sep to 2 Oct 2026</t>
        </is>
      </c>
    </row>
    <row r="4" ht="22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24" customHeight="1">
      <c r="A5" s="13" t="inlineStr">
        <is>
          <t>Date</t>
        </is>
      </c>
      <c r="B5" s="26" t="inlineStr">
        <is>
          <t>Track</t>
        </is>
      </c>
      <c r="C5" s="13" t="inlineStr">
        <is>
          <t>Race</t>
        </is>
      </c>
      <c r="D5" s="13" t="inlineStr">
        <is>
          <t>No.</t>
        </is>
      </c>
      <c r="E5" s="26" t="inlineStr">
        <is>
          <t>Horse</t>
        </is>
      </c>
      <c r="F5" s="13" t="inlineStr">
        <is>
          <t>Call</t>
        </is>
      </c>
      <c r="G5" s="26" t="inlineStr">
        <is>
          <t>Tag</t>
        </is>
      </c>
      <c r="H5" s="13" t="inlineStr">
        <is>
          <t>Rated $</t>
        </is>
      </c>
      <c r="I5" s="13" t="inlineStr">
        <is>
          <t>Price $</t>
        </is>
      </c>
      <c r="J5" s="13" t="inlineStr">
        <is>
          <t>Edge</t>
        </is>
      </c>
      <c r="K5" s="13" t="inlineStr">
        <is>
          <t>Stake (u)</t>
        </is>
      </c>
      <c r="L5" s="13" t="inlineStr">
        <is>
          <t>Finish</t>
        </is>
      </c>
      <c r="M5" s="13" t="inlineStr">
        <is>
          <t>Result</t>
        </is>
      </c>
      <c r="N5" s="13" t="inlineStr">
        <is>
          <t>Profit (u)</t>
        </is>
      </c>
      <c r="O5" s="13" t="inlineStr">
        <is>
          <t>At risk (u)</t>
        </is>
      </c>
    </row>
    <row r="6">
      <c r="A6" s="37" t="n">
        <v>46276</v>
      </c>
      <c r="B6" s="38" t="inlineStr">
        <is>
          <t>Geelong</t>
        </is>
      </c>
      <c r="C6" s="15" t="n">
        <v>6</v>
      </c>
      <c r="D6" s="15" t="n">
        <v>10</v>
      </c>
      <c r="E6" s="14" t="inlineStr">
        <is>
          <t>Karren</t>
        </is>
      </c>
      <c r="F6" s="43" t="inlineStr">
        <is>
          <t>Lay</t>
        </is>
      </c>
      <c r="G6" s="47" t="inlineStr">
        <is>
          <t>Lay</t>
        </is>
      </c>
      <c r="H6" s="41" t="n">
        <v>2.85</v>
      </c>
      <c r="I6" s="41" t="n">
        <v>1.98</v>
      </c>
      <c r="J6" s="16" t="n">
        <v>-0.1505</v>
      </c>
      <c r="K6" s="42" t="n">
        <v>1</v>
      </c>
      <c r="L6" s="15" t="n">
        <v>2</v>
      </c>
      <c r="M6" s="51" t="inlineStr">
        <is>
          <t>Win</t>
        </is>
      </c>
      <c r="N6" s="17">
        <f>IF(M6="Win",IF(F6="Bet",(I6-1)*K6,K6),IF(M6="Loss",IF(F6="Bet",-K6,-(I6-1)*K6),IF(M6="Void",0,"")))</f>
        <v/>
      </c>
      <c r="O6" s="18">
        <f>IF(OR(M6="Win",M6="Loss"),IF(F6="Bet",K6,(I6-1)*K6),"")</f>
        <v/>
      </c>
    </row>
    <row r="7">
      <c r="A7" s="44" t="n">
        <v>46276</v>
      </c>
      <c r="B7" s="45" t="inlineStr">
        <is>
          <t>Bordertown</t>
        </is>
      </c>
      <c r="C7" s="21" t="n">
        <v>1</v>
      </c>
      <c r="D7" s="21" t="n">
        <v>6</v>
      </c>
      <c r="E7" s="20" t="inlineStr">
        <is>
          <t>Gradivus</t>
        </is>
      </c>
      <c r="F7" s="46" t="inlineStr">
        <is>
          <t>Lay</t>
        </is>
      </c>
      <c r="G7" s="47" t="inlineStr">
        <is>
          <t>Lay</t>
        </is>
      </c>
      <c r="H7" s="48" t="n">
        <v>4.9</v>
      </c>
      <c r="I7" s="48" t="n">
        <v>3.3</v>
      </c>
      <c r="J7" s="22" t="n">
        <v>-0.1004</v>
      </c>
      <c r="K7" s="49" t="n">
        <v>1</v>
      </c>
      <c r="L7" s="21" t="n">
        <v>4</v>
      </c>
      <c r="M7" s="50" t="inlineStr">
        <is>
          <t>Win</t>
        </is>
      </c>
      <c r="N7" s="23">
        <f>IF(M7="Win",IF(F7="Bet",(I7-1)*K7,K7),IF(M7="Loss",IF(F7="Bet",-K7,-(I7-1)*K7),IF(M7="Void",0,"")))</f>
        <v/>
      </c>
      <c r="O7" s="24">
        <f>IF(OR(M7="Win",M7="Loss"),IF(F7="Bet",K7,(I7-1)*K7),"")</f>
        <v/>
      </c>
    </row>
    <row r="8">
      <c r="A8" s="37" t="n">
        <v>46276</v>
      </c>
      <c r="B8" s="38" t="inlineStr">
        <is>
          <t>Tuncurry</t>
        </is>
      </c>
      <c r="C8" s="15" t="n">
        <v>3</v>
      </c>
      <c r="D8" s="15" t="n">
        <v>1</v>
      </c>
      <c r="E8" s="14" t="inlineStr">
        <is>
          <t>Sea Level</t>
        </is>
      </c>
      <c r="F8" s="43" t="inlineStr">
        <is>
          <t>Lay</t>
        </is>
      </c>
      <c r="G8" s="47" t="inlineStr">
        <is>
          <t>Lay</t>
        </is>
      </c>
      <c r="H8" s="41" t="n">
        <v>2.25</v>
      </c>
      <c r="I8" s="41" t="n">
        <v>1.75</v>
      </c>
      <c r="J8" s="16" t="n">
        <v>-0.1224</v>
      </c>
      <c r="K8" s="42" t="n">
        <v>1</v>
      </c>
      <c r="L8" s="15" t="n">
        <v>1</v>
      </c>
      <c r="M8" s="43" t="inlineStr">
        <is>
          <t>Loss</t>
        </is>
      </c>
      <c r="N8" s="17">
        <f>IF(M8="Win",IF(F8="Bet",(I8-1)*K8,K8),IF(M8="Loss",IF(F8="Bet",-K8,-(I8-1)*K8),IF(M8="Void",0,"")))</f>
        <v/>
      </c>
      <c r="O8" s="18">
        <f>IF(OR(M8="Win",M8="Loss"),IF(F8="Bet",K8,(I8-1)*K8),"")</f>
        <v/>
      </c>
    </row>
    <row r="9">
      <c r="A9" s="44" t="n">
        <v>46276</v>
      </c>
      <c r="B9" s="45" t="inlineStr">
        <is>
          <t>Tuncurry</t>
        </is>
      </c>
      <c r="C9" s="21" t="n">
        <v>8</v>
      </c>
      <c r="D9" s="21" t="n">
        <v>13</v>
      </c>
      <c r="E9" s="20" t="inlineStr">
        <is>
          <t>Andrea</t>
        </is>
      </c>
      <c r="F9" s="46" t="inlineStr">
        <is>
          <t>Lay</t>
        </is>
      </c>
      <c r="G9" s="47" t="inlineStr">
        <is>
          <t>Lay</t>
        </is>
      </c>
      <c r="H9" s="48" t="n">
        <v>2.35</v>
      </c>
      <c r="I9" s="48" t="n">
        <v>1.75</v>
      </c>
      <c r="J9" s="22" t="n">
        <v>-0.144</v>
      </c>
      <c r="K9" s="49" t="n">
        <v>1</v>
      </c>
      <c r="L9" s="21" t="n">
        <v>1</v>
      </c>
      <c r="M9" s="46" t="inlineStr">
        <is>
          <t>Loss</t>
        </is>
      </c>
      <c r="N9" s="23">
        <f>IF(M9="Win",IF(F9="Bet",(I9-1)*K9,K9),IF(M9="Loss",IF(F9="Bet",-K9,-(I9-1)*K9),IF(M9="Void",0,"")))</f>
        <v/>
      </c>
      <c r="O9" s="24">
        <f>IF(OR(M9="Win",M9="Loss"),IF(F9="Bet",K9,(I9-1)*K9),"")</f>
        <v/>
      </c>
    </row>
    <row r="10">
      <c r="A10" s="37" t="n">
        <v>46276</v>
      </c>
      <c r="B10" s="38" t="inlineStr">
        <is>
          <t>Goulburn</t>
        </is>
      </c>
      <c r="C10" s="15" t="n">
        <v>2</v>
      </c>
      <c r="D10" s="15" t="n">
        <v>6</v>
      </c>
      <c r="E10" s="14" t="inlineStr">
        <is>
          <t>Spain</t>
        </is>
      </c>
      <c r="F10" s="43" t="inlineStr">
        <is>
          <t>Lay</t>
        </is>
      </c>
      <c r="G10" s="47" t="inlineStr">
        <is>
          <t>Lay</t>
        </is>
      </c>
      <c r="H10" s="41" t="n">
        <v>1.65</v>
      </c>
      <c r="I10" s="41" t="n">
        <v>1.35</v>
      </c>
      <c r="J10" s="16" t="n">
        <v>-0.1291</v>
      </c>
      <c r="K10" s="42" t="n">
        <v>1</v>
      </c>
      <c r="L10" s="15" t="n">
        <v>1</v>
      </c>
      <c r="M10" s="43" t="inlineStr">
        <is>
          <t>Loss</t>
        </is>
      </c>
      <c r="N10" s="17">
        <f>IF(M10="Win",IF(F10="Bet",(I10-1)*K10,K10),IF(M10="Loss",IF(F10="Bet",-K10,-(I10-1)*K10),IF(M10="Void",0,"")))</f>
        <v/>
      </c>
      <c r="O10" s="18">
        <f>IF(OR(M10="Win",M10="Loss"),IF(F10="Bet",K10,(I10-1)*K10),"")</f>
        <v/>
      </c>
    </row>
    <row r="11">
      <c r="A11" s="44" t="n">
        <v>46276</v>
      </c>
      <c r="B11" s="45" t="inlineStr">
        <is>
          <t>Goulburn</t>
        </is>
      </c>
      <c r="C11" s="21" t="n">
        <v>3</v>
      </c>
      <c r="D11" s="21" t="n">
        <v>10</v>
      </c>
      <c r="E11" s="20" t="inlineStr">
        <is>
          <t>Montresor</t>
        </is>
      </c>
      <c r="F11" s="46" t="inlineStr">
        <is>
          <t>Lay</t>
        </is>
      </c>
      <c r="G11" s="47" t="inlineStr">
        <is>
          <t>Lay</t>
        </is>
      </c>
      <c r="H11" s="48" t="n">
        <v>2.4</v>
      </c>
      <c r="I11" s="48" t="n">
        <v>1.83</v>
      </c>
      <c r="J11" s="22" t="n">
        <v>-0.1254</v>
      </c>
      <c r="K11" s="49" t="n">
        <v>1</v>
      </c>
      <c r="L11" s="21" t="n">
        <v>2</v>
      </c>
      <c r="M11" s="50" t="inlineStr">
        <is>
          <t>Win</t>
        </is>
      </c>
      <c r="N11" s="23">
        <f>IF(M11="Win",IF(F11="Bet",(I11-1)*K11,K11),IF(M11="Loss",IF(F11="Bet",-K11,-(I11-1)*K11),IF(M11="Void",0,"")))</f>
        <v/>
      </c>
      <c r="O11" s="24">
        <f>IF(OR(M11="Win",M11="Loss"),IF(F11="Bet",K11,(I11-1)*K11),"")</f>
        <v/>
      </c>
    </row>
    <row r="12">
      <c r="A12" s="37" t="n">
        <v>46276</v>
      </c>
      <c r="B12" s="38" t="inlineStr">
        <is>
          <t>Sunshine Coast</t>
        </is>
      </c>
      <c r="C12" s="15" t="n">
        <v>1</v>
      </c>
      <c r="D12" s="15" t="n">
        <v>5</v>
      </c>
      <c r="E12" s="14" t="inlineStr">
        <is>
          <t>Amelioration</t>
        </is>
      </c>
      <c r="F12" s="43" t="inlineStr">
        <is>
          <t>Lay</t>
        </is>
      </c>
      <c r="G12" s="47" t="inlineStr">
        <is>
          <t>Lay</t>
        </is>
      </c>
      <c r="H12" s="41" t="n">
        <v>3</v>
      </c>
      <c r="I12" s="41" t="n">
        <v>2.25</v>
      </c>
      <c r="J12" s="16" t="n">
        <v>-0.1152</v>
      </c>
      <c r="K12" s="42" t="n">
        <v>1</v>
      </c>
      <c r="L12" s="15" t="n">
        <v>3</v>
      </c>
      <c r="M12" s="51" t="inlineStr">
        <is>
          <t>Win</t>
        </is>
      </c>
      <c r="N12" s="17">
        <f>IF(M12="Win",IF(F12="Bet",(I12-1)*K12,K12),IF(M12="Loss",IF(F12="Bet",-K12,-(I12-1)*K12),IF(M12="Void",0,"")))</f>
        <v/>
      </c>
      <c r="O12" s="18">
        <f>IF(OR(M12="Win",M12="Loss"),IF(F12="Bet",K12,(I12-1)*K12),"")</f>
        <v/>
      </c>
    </row>
    <row r="13">
      <c r="A13" s="44" t="n">
        <v>46277</v>
      </c>
      <c r="B13" s="45" t="inlineStr">
        <is>
          <t>Morphettville</t>
        </is>
      </c>
      <c r="C13" s="21" t="n">
        <v>4</v>
      </c>
      <c r="D13" s="21" t="n">
        <v>13</v>
      </c>
      <c r="E13" s="20" t="inlineStr">
        <is>
          <t>Harmonic Dancer</t>
        </is>
      </c>
      <c r="F13" s="46" t="inlineStr">
        <is>
          <t>Lay</t>
        </is>
      </c>
      <c r="G13" s="47" t="inlineStr">
        <is>
          <t>Lay</t>
        </is>
      </c>
      <c r="H13" s="48" t="n">
        <v>3.2</v>
      </c>
      <c r="I13" s="48" t="n">
        <v>1.73</v>
      </c>
      <c r="J13" s="22" t="n">
        <v>-0.1087</v>
      </c>
      <c r="K13" s="49" t="n">
        <v>1</v>
      </c>
      <c r="L13" s="21" t="n">
        <v>3</v>
      </c>
      <c r="M13" s="50" t="inlineStr">
        <is>
          <t>Win</t>
        </is>
      </c>
      <c r="N13" s="23">
        <f>IF(M13="Win",IF(F13="Bet",(I13-1)*K13,K13),IF(M13="Loss",IF(F13="Bet",-K13,-(I13-1)*K13),IF(M13="Void",0,"")))</f>
        <v/>
      </c>
      <c r="O13" s="24">
        <f>IF(OR(M13="Win",M13="Loss"),IF(F13="Bet",K13,(I13-1)*K13),"")</f>
        <v/>
      </c>
    </row>
    <row r="14">
      <c r="A14" s="37" t="n">
        <v>46277</v>
      </c>
      <c r="B14" s="38" t="inlineStr">
        <is>
          <t>Morphettville</t>
        </is>
      </c>
      <c r="C14" s="15" t="n">
        <v>6</v>
      </c>
      <c r="D14" s="15" t="n">
        <v>7</v>
      </c>
      <c r="E14" s="14" t="inlineStr">
        <is>
          <t>You Sexy Thing</t>
        </is>
      </c>
      <c r="F14" s="43" t="inlineStr">
        <is>
          <t>Lay</t>
        </is>
      </c>
      <c r="G14" s="47" t="inlineStr">
        <is>
          <t>Lay</t>
        </is>
      </c>
      <c r="H14" s="41" t="n">
        <v>3.8</v>
      </c>
      <c r="I14" s="41" t="n">
        <v>2.5</v>
      </c>
      <c r="J14" s="16" t="n">
        <v>-0.1372</v>
      </c>
      <c r="K14" s="42" t="n">
        <v>1</v>
      </c>
      <c r="L14" s="15" t="n">
        <v>2</v>
      </c>
      <c r="M14" s="51" t="inlineStr">
        <is>
          <t>Win</t>
        </is>
      </c>
      <c r="N14" s="17">
        <f>IF(M14="Win",IF(F14="Bet",(I14-1)*K14,K14),IF(M14="Loss",IF(F14="Bet",-K14,-(I14-1)*K14),IF(M14="Void",0,"")))</f>
        <v/>
      </c>
      <c r="O14" s="18">
        <f>IF(OR(M14="Win",M14="Loss"),IF(F14="Bet",K14,(I14-1)*K14),"")</f>
        <v/>
      </c>
    </row>
    <row r="15">
      <c r="A15" s="44" t="n">
        <v>46277</v>
      </c>
      <c r="B15" s="45" t="inlineStr">
        <is>
          <t>Flemington</t>
        </is>
      </c>
      <c r="C15" s="21" t="n">
        <v>6</v>
      </c>
      <c r="D15" s="21" t="n">
        <v>8</v>
      </c>
      <c r="E15" s="20" t="inlineStr">
        <is>
          <t>Sass Appeal</t>
        </is>
      </c>
      <c r="F15" s="46" t="inlineStr">
        <is>
          <t>Lay</t>
        </is>
      </c>
      <c r="G15" s="47" t="inlineStr">
        <is>
          <t>Lay</t>
        </is>
      </c>
      <c r="H15" s="48" t="n">
        <v>5.5</v>
      </c>
      <c r="I15" s="48" t="n">
        <v>3.4</v>
      </c>
      <c r="J15" s="22" t="n">
        <v>-0.1121</v>
      </c>
      <c r="K15" s="49" t="n">
        <v>1</v>
      </c>
      <c r="L15" s="21" t="n">
        <v>4</v>
      </c>
      <c r="M15" s="50" t="inlineStr">
        <is>
          <t>Win</t>
        </is>
      </c>
      <c r="N15" s="23">
        <f>IF(M15="Win",IF(F15="Bet",(I15-1)*K15,K15),IF(M15="Loss",IF(F15="Bet",-K15,-(I15-1)*K15),IF(M15="Void",0,"")))</f>
        <v/>
      </c>
      <c r="O15" s="24">
        <f>IF(OR(M15="Win",M15="Loss"),IF(F15="Bet",K15,(I15-1)*K15),"")</f>
        <v/>
      </c>
    </row>
    <row r="16">
      <c r="A16" s="37" t="n">
        <v>46277</v>
      </c>
      <c r="B16" s="38" t="inlineStr">
        <is>
          <t>Flemington</t>
        </is>
      </c>
      <c r="C16" s="15" t="n">
        <v>7</v>
      </c>
      <c r="D16" s="15" t="n">
        <v>5</v>
      </c>
      <c r="E16" s="14" t="inlineStr">
        <is>
          <t>Oliveanotherday</t>
        </is>
      </c>
      <c r="F16" s="43" t="inlineStr">
        <is>
          <t>Lay</t>
        </is>
      </c>
      <c r="G16" s="47" t="inlineStr">
        <is>
          <t>Lay</t>
        </is>
      </c>
      <c r="H16" s="41" t="n">
        <v>2.45</v>
      </c>
      <c r="I16" s="41" t="n">
        <v>1.65</v>
      </c>
      <c r="J16" s="16" t="n">
        <v>-0.1955</v>
      </c>
      <c r="K16" s="42" t="n">
        <v>1</v>
      </c>
      <c r="L16" s="15" t="n">
        <v>5</v>
      </c>
      <c r="M16" s="51" t="inlineStr">
        <is>
          <t>Win</t>
        </is>
      </c>
      <c r="N16" s="17">
        <f>IF(M16="Win",IF(F16="Bet",(I16-1)*K16,K16),IF(M16="Loss",IF(F16="Bet",-K16,-(I16-1)*K16),IF(M16="Void",0,"")))</f>
        <v/>
      </c>
      <c r="O16" s="18">
        <f>IF(OR(M16="Win",M16="Loss"),IF(F16="Bet",K16,(I16-1)*K16),"")</f>
        <v/>
      </c>
    </row>
    <row r="17">
      <c r="A17" s="44" t="n">
        <v>46277</v>
      </c>
      <c r="B17" s="45" t="inlineStr">
        <is>
          <t>Flemington</t>
        </is>
      </c>
      <c r="C17" s="21" t="n">
        <v>8</v>
      </c>
      <c r="D17" s="21" t="n">
        <v>12</v>
      </c>
      <c r="E17" s="20" t="inlineStr">
        <is>
          <t>Sheza Alibi</t>
        </is>
      </c>
      <c r="F17" s="46" t="inlineStr">
        <is>
          <t>Lay</t>
        </is>
      </c>
      <c r="G17" s="47" t="inlineStr">
        <is>
          <t>Lay</t>
        </is>
      </c>
      <c r="H17" s="48" t="n">
        <v>2.1</v>
      </c>
      <c r="I17" s="48" t="n">
        <v>1.65</v>
      </c>
      <c r="J17" s="22" t="n">
        <v>-0.1263</v>
      </c>
      <c r="K17" s="49" t="n">
        <v>1</v>
      </c>
      <c r="L17" s="21" t="n">
        <v>1</v>
      </c>
      <c r="M17" s="46" t="inlineStr">
        <is>
          <t>Loss</t>
        </is>
      </c>
      <c r="N17" s="23">
        <f>IF(M17="Win",IF(F17="Bet",(I17-1)*K17,K17),IF(M17="Loss",IF(F17="Bet",-K17,-(I17-1)*K17),IF(M17="Void",0,"")))</f>
        <v/>
      </c>
      <c r="O17" s="24">
        <f>IF(OR(M17="Win",M17="Loss"),IF(F17="Bet",K17,(I17-1)*K17),"")</f>
        <v/>
      </c>
    </row>
    <row r="18">
      <c r="A18" s="37" t="n">
        <v>46277</v>
      </c>
      <c r="B18" s="38" t="inlineStr">
        <is>
          <t>Flemington</t>
        </is>
      </c>
      <c r="C18" s="15" t="n">
        <v>9</v>
      </c>
      <c r="D18" s="15" t="n">
        <v>4</v>
      </c>
      <c r="E18" s="14" t="inlineStr">
        <is>
          <t>Gold Coast Belle</t>
        </is>
      </c>
      <c r="F18" s="43" t="inlineStr">
        <is>
          <t>Lay</t>
        </is>
      </c>
      <c r="G18" s="47" t="inlineStr">
        <is>
          <t>Lay</t>
        </is>
      </c>
      <c r="H18" s="41" t="n">
        <v>3.5</v>
      </c>
      <c r="I18" s="41" t="n">
        <v>2.2</v>
      </c>
      <c r="J18" s="16" t="n">
        <v>-0.1688</v>
      </c>
      <c r="K18" s="42" t="n">
        <v>1</v>
      </c>
      <c r="L18" s="15" t="n">
        <v>7</v>
      </c>
      <c r="M18" s="51" t="inlineStr">
        <is>
          <t>Win</t>
        </is>
      </c>
      <c r="N18" s="17">
        <f>IF(M18="Win",IF(F18="Bet",(I18-1)*K18,K18),IF(M18="Loss",IF(F18="Bet",-K18,-(I18-1)*K18),IF(M18="Void",0,"")))</f>
        <v/>
      </c>
      <c r="O18" s="18">
        <f>IF(OR(M18="Win",M18="Loss"),IF(F18="Bet",K18,(I18-1)*K18),"")</f>
        <v/>
      </c>
    </row>
    <row r="19">
      <c r="A19" s="44" t="n">
        <v>46277</v>
      </c>
      <c r="B19" s="45" t="inlineStr">
        <is>
          <t>Flemington</t>
        </is>
      </c>
      <c r="C19" s="21" t="n">
        <v>10</v>
      </c>
      <c r="D19" s="21" t="n">
        <v>13</v>
      </c>
      <c r="E19" s="20" t="inlineStr">
        <is>
          <t>Storm Leopard</t>
        </is>
      </c>
      <c r="F19" s="46" t="inlineStr">
        <is>
          <t>Lay</t>
        </is>
      </c>
      <c r="G19" s="47" t="inlineStr">
        <is>
          <t>Lay</t>
        </is>
      </c>
      <c r="H19" s="48" t="n">
        <v>4</v>
      </c>
      <c r="I19" s="48" t="n">
        <v>2.8</v>
      </c>
      <c r="J19" s="22" t="n">
        <v>-0.108</v>
      </c>
      <c r="K19" s="49" t="n">
        <v>1</v>
      </c>
      <c r="L19" s="21" t="n">
        <v>12</v>
      </c>
      <c r="M19" s="50" t="inlineStr">
        <is>
          <t>Win</t>
        </is>
      </c>
      <c r="N19" s="23">
        <f>IF(M19="Win",IF(F19="Bet",(I19-1)*K19,K19),IF(M19="Loss",IF(F19="Bet",-K19,-(I19-1)*K19),IF(M19="Void",0,"")))</f>
        <v/>
      </c>
      <c r="O19" s="24">
        <f>IF(OR(M19="Win",M19="Loss"),IF(F19="Bet",K19,(I19-1)*K19),"")</f>
        <v/>
      </c>
    </row>
    <row r="20">
      <c r="A20" s="37" t="n">
        <v>46277</v>
      </c>
      <c r="B20" s="38" t="inlineStr">
        <is>
          <t>Rosehill</t>
        </is>
      </c>
      <c r="C20" s="15" t="n">
        <v>1</v>
      </c>
      <c r="D20" s="15" t="n">
        <v>15</v>
      </c>
      <c r="E20" s="14" t="inlineStr">
        <is>
          <t>Brutal Miss</t>
        </is>
      </c>
      <c r="F20" s="43" t="inlineStr">
        <is>
          <t>Lay</t>
        </is>
      </c>
      <c r="G20" s="47" t="inlineStr">
        <is>
          <t>Lay</t>
        </is>
      </c>
      <c r="H20" s="41" t="n">
        <v>4.9</v>
      </c>
      <c r="I20" s="41" t="n">
        <v>3.2</v>
      </c>
      <c r="J20" s="16" t="n">
        <v>-0.1083</v>
      </c>
      <c r="K20" s="42" t="n">
        <v>1</v>
      </c>
      <c r="L20" s="15" t="n">
        <v>4</v>
      </c>
      <c r="M20" s="51" t="inlineStr">
        <is>
          <t>Win</t>
        </is>
      </c>
      <c r="N20" s="17">
        <f>IF(M20="Win",IF(F20="Bet",(I20-1)*K20,K20),IF(M20="Loss",IF(F20="Bet",-K20,-(I20-1)*K20),IF(M20="Void",0,"")))</f>
        <v/>
      </c>
      <c r="O20" s="18">
        <f>IF(OR(M20="Win",M20="Loss"),IF(F20="Bet",K20,(I20-1)*K20),"")</f>
        <v/>
      </c>
    </row>
    <row r="21">
      <c r="A21" s="44" t="n">
        <v>46277</v>
      </c>
      <c r="B21" s="45" t="inlineStr">
        <is>
          <t>Rosehill</t>
        </is>
      </c>
      <c r="C21" s="21" t="n">
        <v>2</v>
      </c>
      <c r="D21" s="21" t="n">
        <v>4</v>
      </c>
      <c r="E21" s="20" t="inlineStr">
        <is>
          <t>Heroic Deed</t>
        </is>
      </c>
      <c r="F21" s="46" t="inlineStr">
        <is>
          <t>Lay</t>
        </is>
      </c>
      <c r="G21" s="47" t="inlineStr">
        <is>
          <t>Lay</t>
        </is>
      </c>
      <c r="H21" s="48" t="n">
        <v>5.8</v>
      </c>
      <c r="I21" s="48" t="n">
        <v>3.6</v>
      </c>
      <c r="J21" s="22" t="n">
        <v>-0.1043</v>
      </c>
      <c r="K21" s="49" t="n">
        <v>1</v>
      </c>
      <c r="L21" s="21" t="n">
        <v>7</v>
      </c>
      <c r="M21" s="50" t="inlineStr">
        <is>
          <t>Win</t>
        </is>
      </c>
      <c r="N21" s="23">
        <f>IF(M21="Win",IF(F21="Bet",(I21-1)*K21,K21),IF(M21="Loss",IF(F21="Bet",-K21,-(I21-1)*K21),IF(M21="Void",0,"")))</f>
        <v/>
      </c>
      <c r="O21" s="24">
        <f>IF(OR(M21="Win",M21="Loss"),IF(F21="Bet",K21,(I21-1)*K21),"")</f>
        <v/>
      </c>
    </row>
    <row r="22">
      <c r="A22" s="37" t="n">
        <v>46277</v>
      </c>
      <c r="B22" s="38" t="inlineStr">
        <is>
          <t>Rosehill</t>
        </is>
      </c>
      <c r="C22" s="15" t="n">
        <v>3</v>
      </c>
      <c r="D22" s="15" t="n">
        <v>3</v>
      </c>
      <c r="E22" s="14" t="inlineStr">
        <is>
          <t>Appeared</t>
        </is>
      </c>
      <c r="F22" s="43" t="inlineStr">
        <is>
          <t>Lay</t>
        </is>
      </c>
      <c r="G22" s="47" t="inlineStr">
        <is>
          <t>Lay</t>
        </is>
      </c>
      <c r="H22" s="41" t="n">
        <v>3.1</v>
      </c>
      <c r="I22" s="41" t="n">
        <v>2.25</v>
      </c>
      <c r="J22" s="16" t="n">
        <v>-0.121</v>
      </c>
      <c r="K22" s="42" t="n">
        <v>1</v>
      </c>
      <c r="L22" s="15" t="n">
        <v>1</v>
      </c>
      <c r="M22" s="43" t="inlineStr">
        <is>
          <t>Loss</t>
        </is>
      </c>
      <c r="N22" s="17">
        <f>IF(M22="Win",IF(F22="Bet",(I22-1)*K22,K22),IF(M22="Loss",IF(F22="Bet",-K22,-(I22-1)*K22),IF(M22="Void",0,"")))</f>
        <v/>
      </c>
      <c r="O22" s="18">
        <f>IF(OR(M22="Win",M22="Loss"),IF(F22="Bet",K22,(I22-1)*K22),"")</f>
        <v/>
      </c>
    </row>
    <row r="23">
      <c r="A23" s="44" t="n">
        <v>46277</v>
      </c>
      <c r="B23" s="45" t="inlineStr">
        <is>
          <t>Rosehill</t>
        </is>
      </c>
      <c r="C23" s="21" t="n">
        <v>4</v>
      </c>
      <c r="D23" s="21" t="n">
        <v>7</v>
      </c>
      <c r="E23" s="20" t="inlineStr">
        <is>
          <t>Mukhtalif</t>
        </is>
      </c>
      <c r="F23" s="46" t="inlineStr">
        <is>
          <t>Lay</t>
        </is>
      </c>
      <c r="G23" s="47" t="inlineStr">
        <is>
          <t>Lay</t>
        </is>
      </c>
      <c r="H23" s="48" t="n">
        <v>3.3</v>
      </c>
      <c r="I23" s="48" t="n">
        <v>2.36</v>
      </c>
      <c r="J23" s="22" t="n">
        <v>-0.1039</v>
      </c>
      <c r="K23" s="49" t="n">
        <v>1</v>
      </c>
      <c r="L23" s="21" t="n">
        <v>2</v>
      </c>
      <c r="M23" s="50" t="inlineStr">
        <is>
          <t>Win</t>
        </is>
      </c>
      <c r="N23" s="23">
        <f>IF(M23="Win",IF(F23="Bet",(I23-1)*K23,K23),IF(M23="Loss",IF(F23="Bet",-K23,-(I23-1)*K23),IF(M23="Void",0,"")))</f>
        <v/>
      </c>
      <c r="O23" s="24">
        <f>IF(OR(M23="Win",M23="Loss"),IF(F23="Bet",K23,(I23-1)*K23),"")</f>
        <v/>
      </c>
    </row>
    <row r="24">
      <c r="A24" s="37" t="n">
        <v>46277</v>
      </c>
      <c r="B24" s="38" t="inlineStr">
        <is>
          <t>Rosehill</t>
        </is>
      </c>
      <c r="C24" s="15" t="n">
        <v>7</v>
      </c>
      <c r="D24" s="15" t="n">
        <v>8</v>
      </c>
      <c r="E24" s="14" t="inlineStr">
        <is>
          <t>Weeping Woman</t>
        </is>
      </c>
      <c r="F24" s="43" t="inlineStr">
        <is>
          <t>Lay</t>
        </is>
      </c>
      <c r="G24" s="47" t="inlineStr">
        <is>
          <t>Lay</t>
        </is>
      </c>
      <c r="H24" s="41" t="n">
        <v>6</v>
      </c>
      <c r="I24" s="41" t="n">
        <v>3.5</v>
      </c>
      <c r="J24" s="16" t="n">
        <v>-0.119</v>
      </c>
      <c r="K24" s="42" t="n">
        <v>1</v>
      </c>
      <c r="L24" s="15" t="n">
        <v>7</v>
      </c>
      <c r="M24" s="51" t="inlineStr">
        <is>
          <t>Win</t>
        </is>
      </c>
      <c r="N24" s="17">
        <f>IF(M24="Win",IF(F24="Bet",(I24-1)*K24,K24),IF(M24="Loss",IF(F24="Bet",-K24,-(I24-1)*K24),IF(M24="Void",0,"")))</f>
        <v/>
      </c>
      <c r="O24" s="18">
        <f>IF(OR(M24="Win",M24="Loss"),IF(F24="Bet",K24,(I24-1)*K24),"")</f>
        <v/>
      </c>
    </row>
    <row r="25">
      <c r="A25" s="44" t="n">
        <v>46277</v>
      </c>
      <c r="B25" s="45" t="inlineStr">
        <is>
          <t>Rosehill</t>
        </is>
      </c>
      <c r="C25" s="21" t="n">
        <v>9</v>
      </c>
      <c r="D25" s="21" t="n">
        <v>6</v>
      </c>
      <c r="E25" s="20" t="inlineStr">
        <is>
          <t>Skyhook</t>
        </is>
      </c>
      <c r="F25" s="46" t="inlineStr">
        <is>
          <t>Lay</t>
        </is>
      </c>
      <c r="G25" s="47" t="inlineStr">
        <is>
          <t>Lay</t>
        </is>
      </c>
      <c r="H25" s="48" t="n">
        <v>2.7</v>
      </c>
      <c r="I25" s="48" t="n">
        <v>2.04</v>
      </c>
      <c r="J25" s="22" t="n">
        <v>-0.1054</v>
      </c>
      <c r="K25" s="49" t="n">
        <v>1</v>
      </c>
      <c r="L25" s="21" t="n">
        <v>1</v>
      </c>
      <c r="M25" s="46" t="inlineStr">
        <is>
          <t>Loss</t>
        </is>
      </c>
      <c r="N25" s="23">
        <f>IF(M25="Win",IF(F25="Bet",(I25-1)*K25,K25),IF(M25="Loss",IF(F25="Bet",-K25,-(I25-1)*K25),IF(M25="Void",0,"")))</f>
        <v/>
      </c>
      <c r="O25" s="24">
        <f>IF(OR(M25="Win",M25="Loss"),IF(F25="Bet",K25,(I25-1)*K25),"")</f>
        <v/>
      </c>
    </row>
    <row r="26">
      <c r="A26" s="37" t="n">
        <v>46277</v>
      </c>
      <c r="B26" s="38" t="inlineStr">
        <is>
          <t>Doomben</t>
        </is>
      </c>
      <c r="C26" s="15" t="n">
        <v>5</v>
      </c>
      <c r="D26" s="15" t="n">
        <v>5</v>
      </c>
      <c r="E26" s="14" t="inlineStr">
        <is>
          <t>Gram</t>
        </is>
      </c>
      <c r="F26" s="43" t="inlineStr">
        <is>
          <t>Lay</t>
        </is>
      </c>
      <c r="G26" s="47" t="inlineStr">
        <is>
          <t>Lay</t>
        </is>
      </c>
      <c r="H26" s="41" t="n">
        <v>3.2</v>
      </c>
      <c r="I26" s="41" t="n">
        <v>2.35</v>
      </c>
      <c r="J26" s="16" t="n">
        <v>-0.1147</v>
      </c>
      <c r="K26" s="42" t="n">
        <v>1</v>
      </c>
      <c r="L26" s="15" t="n">
        <v>1</v>
      </c>
      <c r="M26" s="43" t="inlineStr">
        <is>
          <t>Loss</t>
        </is>
      </c>
      <c r="N26" s="17">
        <f>IF(M26="Win",IF(F26="Bet",(I26-1)*K26,K26),IF(M26="Loss",IF(F26="Bet",-K26,-(I26-1)*K26),IF(M26="Void",0,"")))</f>
        <v/>
      </c>
      <c r="O26" s="18">
        <f>IF(OR(M26="Win",M26="Loss"),IF(F26="Bet",K26,(I26-1)*K26),"")</f>
        <v/>
      </c>
    </row>
    <row r="27">
      <c r="A27" s="44" t="n">
        <v>46277</v>
      </c>
      <c r="B27" s="45" t="inlineStr">
        <is>
          <t>Doomben</t>
        </is>
      </c>
      <c r="C27" s="21" t="n">
        <v>8</v>
      </c>
      <c r="D27" s="21" t="n">
        <v>8</v>
      </c>
      <c r="E27" s="20" t="inlineStr">
        <is>
          <t>Zouper Fund</t>
        </is>
      </c>
      <c r="F27" s="46" t="inlineStr">
        <is>
          <t>Lay</t>
        </is>
      </c>
      <c r="G27" s="47" t="inlineStr">
        <is>
          <t>Lay</t>
        </is>
      </c>
      <c r="H27" s="48" t="n">
        <v>2.95</v>
      </c>
      <c r="I27" s="48" t="n">
        <v>2.2</v>
      </c>
      <c r="J27" s="22" t="n">
        <v>-0.1155</v>
      </c>
      <c r="K27" s="49" t="n">
        <v>1</v>
      </c>
      <c r="L27" s="21" t="n">
        <v>3</v>
      </c>
      <c r="M27" s="50" t="inlineStr">
        <is>
          <t>Win</t>
        </is>
      </c>
      <c r="N27" s="23">
        <f>IF(M27="Win",IF(F27="Bet",(I27-1)*K27,K27),IF(M27="Loss",IF(F27="Bet",-K27,-(I27-1)*K27),IF(M27="Void",0,"")))</f>
        <v/>
      </c>
      <c r="O27" s="24">
        <f>IF(OR(M27="Win",M27="Loss"),IF(F27="Bet",K27,(I27-1)*K27),"")</f>
        <v/>
      </c>
    </row>
    <row r="28">
      <c r="A28" s="37" t="n">
        <v>46277</v>
      </c>
      <c r="B28" s="38" t="inlineStr">
        <is>
          <t>Kembla Grange</t>
        </is>
      </c>
      <c r="C28" s="15" t="n">
        <v>1</v>
      </c>
      <c r="D28" s="15" t="n">
        <v>10</v>
      </c>
      <c r="E28" s="14" t="inlineStr">
        <is>
          <t>Legaselli</t>
        </is>
      </c>
      <c r="F28" s="43" t="inlineStr">
        <is>
          <t>Lay</t>
        </is>
      </c>
      <c r="G28" s="47" t="inlineStr">
        <is>
          <t>Lay</t>
        </is>
      </c>
      <c r="H28" s="41" t="n">
        <v>2.8</v>
      </c>
      <c r="I28" s="41" t="n">
        <v>1.92</v>
      </c>
      <c r="J28" s="16" t="n">
        <v>-0.1452</v>
      </c>
      <c r="K28" s="42" t="n">
        <v>1</v>
      </c>
      <c r="L28" s="15" t="n">
        <v>1</v>
      </c>
      <c r="M28" s="43" t="inlineStr">
        <is>
          <t>Loss</t>
        </is>
      </c>
      <c r="N28" s="17">
        <f>IF(M28="Win",IF(F28="Bet",(I28-1)*K28,K28),IF(M28="Loss",IF(F28="Bet",-K28,-(I28-1)*K28),IF(M28="Void",0,"")))</f>
        <v/>
      </c>
      <c r="O28" s="18">
        <f>IF(OR(M28="Win",M28="Loss"),IF(F28="Bet",K28,(I28-1)*K28),"")</f>
        <v/>
      </c>
    </row>
    <row r="29">
      <c r="A29" s="44" t="n">
        <v>46277</v>
      </c>
      <c r="B29" s="45" t="inlineStr">
        <is>
          <t>Kembla Grange</t>
        </is>
      </c>
      <c r="C29" s="21" t="n">
        <v>3</v>
      </c>
      <c r="D29" s="21" t="n">
        <v>1</v>
      </c>
      <c r="E29" s="20" t="inlineStr">
        <is>
          <t>Anthropoid</t>
        </is>
      </c>
      <c r="F29" s="46" t="inlineStr">
        <is>
          <t>Lay</t>
        </is>
      </c>
      <c r="G29" s="47" t="inlineStr">
        <is>
          <t>Lay</t>
        </is>
      </c>
      <c r="H29" s="48" t="n">
        <v>2.7</v>
      </c>
      <c r="I29" s="48" t="n">
        <v>2.1</v>
      </c>
      <c r="J29" s="22" t="n">
        <v>-0.1067</v>
      </c>
      <c r="K29" s="49" t="n">
        <v>1</v>
      </c>
      <c r="L29" s="21" t="n">
        <v>2</v>
      </c>
      <c r="M29" s="50" t="inlineStr">
        <is>
          <t>Win</t>
        </is>
      </c>
      <c r="N29" s="23">
        <f>IF(M29="Win",IF(F29="Bet",(I29-1)*K29,K29),IF(M29="Loss",IF(F29="Bet",-K29,-(I29-1)*K29),IF(M29="Void",0,"")))</f>
        <v/>
      </c>
      <c r="O29" s="24">
        <f>IF(OR(M29="Win",M29="Loss"),IF(F29="Bet",K29,(I29-1)*K29),"")</f>
        <v/>
      </c>
    </row>
    <row r="30">
      <c r="A30" s="37" t="n">
        <v>46277</v>
      </c>
      <c r="B30" s="38" t="inlineStr">
        <is>
          <t>Kembla Grange</t>
        </is>
      </c>
      <c r="C30" s="15" t="n">
        <v>5</v>
      </c>
      <c r="D30" s="15" t="n">
        <v>9</v>
      </c>
      <c r="E30" s="14" t="inlineStr">
        <is>
          <t>Sky Deck</t>
        </is>
      </c>
      <c r="F30" s="43" t="inlineStr">
        <is>
          <t>Lay</t>
        </is>
      </c>
      <c r="G30" s="47" t="inlineStr">
        <is>
          <t>Lay</t>
        </is>
      </c>
      <c r="H30" s="41" t="n">
        <v>4.5</v>
      </c>
      <c r="I30" s="41" t="n">
        <v>2.7</v>
      </c>
      <c r="J30" s="16" t="n">
        <v>-0.1228</v>
      </c>
      <c r="K30" s="42" t="n">
        <v>1</v>
      </c>
      <c r="L30" s="15" t="n">
        <v>1</v>
      </c>
      <c r="M30" s="43" t="inlineStr">
        <is>
          <t>Loss</t>
        </is>
      </c>
      <c r="N30" s="17">
        <f>IF(M30="Win",IF(F30="Bet",(I30-1)*K30,K30),IF(M30="Loss",IF(F30="Bet",-K30,-(I30-1)*K30),IF(M30="Void",0,"")))</f>
        <v/>
      </c>
      <c r="O30" s="18">
        <f>IF(OR(M30="Win",M30="Loss"),IF(F30="Bet",K30,(I30-1)*K30),"")</f>
        <v/>
      </c>
    </row>
    <row r="31">
      <c r="A31" s="44" t="n">
        <v>46277</v>
      </c>
      <c r="B31" s="45" t="inlineStr">
        <is>
          <t>Kembla Grange</t>
        </is>
      </c>
      <c r="C31" s="21" t="n">
        <v>8</v>
      </c>
      <c r="D31" s="21" t="n">
        <v>9</v>
      </c>
      <c r="E31" s="20" t="inlineStr">
        <is>
          <t>Cabbucio</t>
        </is>
      </c>
      <c r="F31" s="46" t="inlineStr">
        <is>
          <t>Lay</t>
        </is>
      </c>
      <c r="G31" s="47" t="inlineStr">
        <is>
          <t>Lay</t>
        </is>
      </c>
      <c r="H31" s="48" t="n">
        <v>3.9</v>
      </c>
      <c r="I31" s="48" t="n">
        <v>2.6</v>
      </c>
      <c r="J31" s="22" t="n">
        <v>-0.1256</v>
      </c>
      <c r="K31" s="49" t="n">
        <v>1</v>
      </c>
      <c r="L31" s="21" t="n">
        <v>2</v>
      </c>
      <c r="M31" s="50" t="inlineStr">
        <is>
          <t>Win</t>
        </is>
      </c>
      <c r="N31" s="23">
        <f>IF(M31="Win",IF(F31="Bet",(I31-1)*K31,K31),IF(M31="Loss",IF(F31="Bet",-K31,-(I31-1)*K31),IF(M31="Void",0,"")))</f>
        <v/>
      </c>
      <c r="O31" s="24">
        <f>IF(OR(M31="Win",M31="Loss"),IF(F31="Bet",K31,(I31-1)*K31),"")</f>
        <v/>
      </c>
    </row>
    <row r="32">
      <c r="A32" s="37" t="n">
        <v>46277</v>
      </c>
      <c r="B32" s="38" t="inlineStr">
        <is>
          <t>Gold Coast</t>
        </is>
      </c>
      <c r="C32" s="15" t="n">
        <v>2</v>
      </c>
      <c r="D32" s="15" t="n">
        <v>5</v>
      </c>
      <c r="E32" s="14" t="inlineStr">
        <is>
          <t>Cardonette</t>
        </is>
      </c>
      <c r="F32" s="43" t="inlineStr">
        <is>
          <t>Lay</t>
        </is>
      </c>
      <c r="G32" s="47" t="inlineStr">
        <is>
          <t>Lay</t>
        </is>
      </c>
      <c r="H32" s="41" t="n">
        <v>1.7</v>
      </c>
      <c r="I32" s="41" t="n">
        <v>1.4</v>
      </c>
      <c r="J32" s="16" t="n">
        <v>-0.1226</v>
      </c>
      <c r="K32" s="42" t="n">
        <v>1</v>
      </c>
      <c r="L32" s="15" t="n">
        <v>1</v>
      </c>
      <c r="M32" s="43" t="inlineStr">
        <is>
          <t>Loss</t>
        </is>
      </c>
      <c r="N32" s="17">
        <f>IF(M32="Win",IF(F32="Bet",(I32-1)*K32,K32),IF(M32="Loss",IF(F32="Bet",-K32,-(I32-1)*K32),IF(M32="Void",0,"")))</f>
        <v/>
      </c>
      <c r="O32" s="18">
        <f>IF(OR(M32="Win",M32="Loss"),IF(F32="Bet",K32,(I32-1)*K32),"")</f>
        <v/>
      </c>
    </row>
    <row r="33">
      <c r="A33" s="44" t="n">
        <v>46277</v>
      </c>
      <c r="B33" s="45" t="inlineStr">
        <is>
          <t>Morphettville</t>
        </is>
      </c>
      <c r="C33" s="21" t="n">
        <v>5</v>
      </c>
      <c r="D33" s="21" t="n">
        <v>1</v>
      </c>
      <c r="E33" s="20" t="inlineStr">
        <is>
          <t>Navy Rok</t>
        </is>
      </c>
      <c r="F33" s="46" t="inlineStr">
        <is>
          <t>Lay</t>
        </is>
      </c>
      <c r="G33" s="47" t="inlineStr">
        <is>
          <t>Lay</t>
        </is>
      </c>
      <c r="H33" s="48" t="n">
        <v>3.2</v>
      </c>
      <c r="I33" s="48" t="n">
        <v>2.35</v>
      </c>
      <c r="J33" s="22" t="n">
        <v>-0.1101</v>
      </c>
      <c r="K33" s="49" t="n">
        <v>1</v>
      </c>
      <c r="L33" s="21" t="n">
        <v>1</v>
      </c>
      <c r="M33" s="46" t="inlineStr">
        <is>
          <t>Loss</t>
        </is>
      </c>
      <c r="N33" s="23">
        <f>IF(M33="Win",IF(F33="Bet",(I33-1)*K33,K33),IF(M33="Loss",IF(F33="Bet",-K33,-(I33-1)*K33),IF(M33="Void",0,"")))</f>
        <v/>
      </c>
      <c r="O33" s="24">
        <f>IF(OR(M33="Win",M33="Loss"),IF(F33="Bet",K33,(I33-1)*K33),"")</f>
        <v/>
      </c>
    </row>
    <row r="34">
      <c r="A34" s="37" t="n">
        <v>46277</v>
      </c>
      <c r="B34" s="38" t="inlineStr">
        <is>
          <t>Donald</t>
        </is>
      </c>
      <c r="C34" s="15" t="n">
        <v>2</v>
      </c>
      <c r="D34" s="15" t="n">
        <v>1</v>
      </c>
      <c r="E34" s="14" t="inlineStr">
        <is>
          <t>Millsy's Award</t>
        </is>
      </c>
      <c r="F34" s="43" t="inlineStr">
        <is>
          <t>Lay</t>
        </is>
      </c>
      <c r="G34" s="47" t="inlineStr">
        <is>
          <t>Lay</t>
        </is>
      </c>
      <c r="H34" s="41" t="n">
        <v>3.5</v>
      </c>
      <c r="I34" s="41" t="n">
        <v>2.35</v>
      </c>
      <c r="J34" s="16" t="n">
        <v>-0.142</v>
      </c>
      <c r="K34" s="42" t="n">
        <v>1</v>
      </c>
      <c r="L34" s="15" t="n">
        <v>6</v>
      </c>
      <c r="M34" s="51" t="inlineStr">
        <is>
          <t>Win</t>
        </is>
      </c>
      <c r="N34" s="17">
        <f>IF(M34="Win",IF(F34="Bet",(I34-1)*K34,K34),IF(M34="Loss",IF(F34="Bet",-K34,-(I34-1)*K34),IF(M34="Void",0,"")))</f>
        <v/>
      </c>
      <c r="O34" s="18">
        <f>IF(OR(M34="Win",M34="Loss"),IF(F34="Bet",K34,(I34-1)*K34),"")</f>
        <v/>
      </c>
    </row>
    <row r="35">
      <c r="A35" s="44" t="n">
        <v>46277</v>
      </c>
      <c r="B35" s="45" t="inlineStr">
        <is>
          <t>Mackay</t>
        </is>
      </c>
      <c r="C35" s="21" t="n">
        <v>1</v>
      </c>
      <c r="D35" s="21" t="n">
        <v>1</v>
      </c>
      <c r="E35" s="20" t="inlineStr">
        <is>
          <t>Harbour Chill</t>
        </is>
      </c>
      <c r="F35" s="46" t="inlineStr">
        <is>
          <t>Lay</t>
        </is>
      </c>
      <c r="G35" s="47" t="inlineStr">
        <is>
          <t>Lay</t>
        </is>
      </c>
      <c r="H35" s="48" t="n">
        <v>2.5</v>
      </c>
      <c r="I35" s="48" t="n">
        <v>1.86</v>
      </c>
      <c r="J35" s="22" t="n">
        <v>-0.1162</v>
      </c>
      <c r="K35" s="49" t="n">
        <v>1</v>
      </c>
      <c r="L35" s="21" t="n">
        <v>1</v>
      </c>
      <c r="M35" s="46" t="inlineStr">
        <is>
          <t>Loss</t>
        </is>
      </c>
      <c r="N35" s="23">
        <f>IF(M35="Win",IF(F35="Bet",(I35-1)*K35,K35),IF(M35="Loss",IF(F35="Bet",-K35,-(I35-1)*K35),IF(M35="Void",0,"")))</f>
        <v/>
      </c>
      <c r="O35" s="24">
        <f>IF(OR(M35="Win",M35="Loss"),IF(F35="Bet",K35,(I35-1)*K35),"")</f>
        <v/>
      </c>
    </row>
    <row r="36">
      <c r="A36" s="37" t="n">
        <v>46277</v>
      </c>
      <c r="B36" s="38" t="inlineStr">
        <is>
          <t>Mackay</t>
        </is>
      </c>
      <c r="C36" s="15" t="n">
        <v>5</v>
      </c>
      <c r="D36" s="15" t="n">
        <v>3</v>
      </c>
      <c r="E36" s="14" t="inlineStr">
        <is>
          <t>Shiny Love</t>
        </is>
      </c>
      <c r="F36" s="43" t="inlineStr">
        <is>
          <t>Lay</t>
        </is>
      </c>
      <c r="G36" s="47" t="inlineStr">
        <is>
          <t>Lay</t>
        </is>
      </c>
      <c r="H36" s="41" t="n">
        <v>2.05</v>
      </c>
      <c r="I36" s="41" t="n">
        <v>1.55</v>
      </c>
      <c r="J36" s="16" t="n">
        <v>-0.159</v>
      </c>
      <c r="K36" s="42" t="n">
        <v>1</v>
      </c>
      <c r="L36" s="15" t="n">
        <v>1</v>
      </c>
      <c r="M36" s="43" t="inlineStr">
        <is>
          <t>Loss</t>
        </is>
      </c>
      <c r="N36" s="17">
        <f>IF(M36="Win",IF(F36="Bet",(I36-1)*K36,K36),IF(M36="Loss",IF(F36="Bet",-K36,-(I36-1)*K36),IF(M36="Void",0,"")))</f>
        <v/>
      </c>
      <c r="O36" s="18">
        <f>IF(OR(M36="Win",M36="Loss"),IF(F36="Bet",K36,(I36-1)*K36),"")</f>
        <v/>
      </c>
    </row>
    <row r="37">
      <c r="A37" s="44" t="n">
        <v>46277</v>
      </c>
      <c r="B37" s="45" t="inlineStr">
        <is>
          <t>Griffith</t>
        </is>
      </c>
      <c r="C37" s="21" t="n">
        <v>1</v>
      </c>
      <c r="D37" s="21" t="n">
        <v>4</v>
      </c>
      <c r="E37" s="20" t="inlineStr">
        <is>
          <t>Bravo Six</t>
        </is>
      </c>
      <c r="F37" s="46" t="inlineStr">
        <is>
          <t>Lay</t>
        </is>
      </c>
      <c r="G37" s="47" t="inlineStr">
        <is>
          <t>Lay</t>
        </is>
      </c>
      <c r="H37" s="48" t="n">
        <v>2.75</v>
      </c>
      <c r="I37" s="48" t="n">
        <v>2.15</v>
      </c>
      <c r="J37" s="22" t="n">
        <v>-0.1025</v>
      </c>
      <c r="K37" s="49" t="n">
        <v>1</v>
      </c>
      <c r="L37" s="21" t="n">
        <v>4</v>
      </c>
      <c r="M37" s="50" t="inlineStr">
        <is>
          <t>Win</t>
        </is>
      </c>
      <c r="N37" s="23">
        <f>IF(M37="Win",IF(F37="Bet",(I37-1)*K37,K37),IF(M37="Loss",IF(F37="Bet",-K37,-(I37-1)*K37),IF(M37="Void",0,"")))</f>
        <v/>
      </c>
      <c r="O37" s="24">
        <f>IF(OR(M37="Win",M37="Loss"),IF(F37="Bet",K37,(I37-1)*K37),"")</f>
        <v/>
      </c>
    </row>
    <row r="38">
      <c r="A38" s="37" t="n">
        <v>46277</v>
      </c>
      <c r="B38" s="38" t="inlineStr">
        <is>
          <t>Thangool</t>
        </is>
      </c>
      <c r="C38" s="15" t="n">
        <v>5</v>
      </c>
      <c r="D38" s="15" t="n">
        <v>4</v>
      </c>
      <c r="E38" s="14" t="inlineStr">
        <is>
          <t>The Defender</t>
        </is>
      </c>
      <c r="F38" s="43" t="inlineStr">
        <is>
          <t>Lay</t>
        </is>
      </c>
      <c r="G38" s="47" t="inlineStr">
        <is>
          <t>Lay</t>
        </is>
      </c>
      <c r="H38" s="41" t="n">
        <v>2.1</v>
      </c>
      <c r="I38" s="41" t="n">
        <v>1.54</v>
      </c>
      <c r="J38" s="16" t="n">
        <v>-0.1708</v>
      </c>
      <c r="K38" s="42" t="n">
        <v>1</v>
      </c>
      <c r="L38" s="15" t="n">
        <v>1</v>
      </c>
      <c r="M38" s="43" t="inlineStr">
        <is>
          <t>Loss</t>
        </is>
      </c>
      <c r="N38" s="17">
        <f>IF(M38="Win",IF(F38="Bet",(I38-1)*K38,K38),IF(M38="Loss",IF(F38="Bet",-K38,-(I38-1)*K38),IF(M38="Void",0,"")))</f>
        <v/>
      </c>
      <c r="O38" s="18">
        <f>IF(OR(M38="Win",M38="Loss"),IF(F38="Bet",K38,(I38-1)*K38),"")</f>
        <v/>
      </c>
    </row>
    <row r="39">
      <c r="A39" s="44" t="n">
        <v>46277</v>
      </c>
      <c r="B39" s="45" t="inlineStr">
        <is>
          <t>Belmont</t>
        </is>
      </c>
      <c r="C39" s="21" t="n">
        <v>2</v>
      </c>
      <c r="D39" s="21" t="n">
        <v>8</v>
      </c>
      <c r="E39" s="20" t="inlineStr">
        <is>
          <t>Olaf The Snowman</t>
        </is>
      </c>
      <c r="F39" s="46" t="inlineStr">
        <is>
          <t>Lay</t>
        </is>
      </c>
      <c r="G39" s="47" t="inlineStr">
        <is>
          <t>Lay</t>
        </is>
      </c>
      <c r="H39" s="48" t="n">
        <v>5</v>
      </c>
      <c r="I39" s="48" t="n">
        <v>3.2</v>
      </c>
      <c r="J39" s="22" t="n">
        <v>-0.1132</v>
      </c>
      <c r="K39" s="49" t="n">
        <v>1</v>
      </c>
      <c r="L39" s="21" t="n">
        <v>2</v>
      </c>
      <c r="M39" s="50" t="inlineStr">
        <is>
          <t>Win</t>
        </is>
      </c>
      <c r="N39" s="23">
        <f>IF(M39="Win",IF(F39="Bet",(I39-1)*K39,K39),IF(M39="Loss",IF(F39="Bet",-K39,-(I39-1)*K39),IF(M39="Void",0,"")))</f>
        <v/>
      </c>
      <c r="O39" s="24">
        <f>IF(OR(M39="Win",M39="Loss"),IF(F39="Bet",K39,(I39-1)*K39),"")</f>
        <v/>
      </c>
    </row>
    <row r="40">
      <c r="A40" s="37" t="n">
        <v>46277</v>
      </c>
      <c r="B40" s="38" t="inlineStr">
        <is>
          <t>Belmont</t>
        </is>
      </c>
      <c r="C40" s="15" t="n">
        <v>3</v>
      </c>
      <c r="D40" s="15" t="n">
        <v>4</v>
      </c>
      <c r="E40" s="14" t="inlineStr">
        <is>
          <t>Arcadia Knight</t>
        </is>
      </c>
      <c r="F40" s="43" t="inlineStr">
        <is>
          <t>Lay</t>
        </is>
      </c>
      <c r="G40" s="47" t="inlineStr">
        <is>
          <t>Lay</t>
        </is>
      </c>
      <c r="H40" s="41" t="n">
        <v>3.2</v>
      </c>
      <c r="I40" s="41" t="n">
        <v>2.28</v>
      </c>
      <c r="J40" s="16" t="n">
        <v>-0.1144</v>
      </c>
      <c r="K40" s="42" t="n">
        <v>1</v>
      </c>
      <c r="L40" s="15" t="n">
        <v>1</v>
      </c>
      <c r="M40" s="43" t="inlineStr">
        <is>
          <t>Loss</t>
        </is>
      </c>
      <c r="N40" s="17">
        <f>IF(M40="Win",IF(F40="Bet",(I40-1)*K40,K40),IF(M40="Loss",IF(F40="Bet",-K40,-(I40-1)*K40),IF(M40="Void",0,"")))</f>
        <v/>
      </c>
      <c r="O40" s="18">
        <f>IF(OR(M40="Win",M40="Loss"),IF(F40="Bet",K40,(I40-1)*K40),"")</f>
        <v/>
      </c>
    </row>
    <row r="41">
      <c r="A41" s="44" t="n">
        <v>46277</v>
      </c>
      <c r="B41" s="45" t="inlineStr">
        <is>
          <t>Belmont</t>
        </is>
      </c>
      <c r="C41" s="21" t="n">
        <v>6</v>
      </c>
      <c r="D41" s="21" t="n">
        <v>1</v>
      </c>
      <c r="E41" s="20" t="inlineStr">
        <is>
          <t>Miss Veuve</t>
        </is>
      </c>
      <c r="F41" s="46" t="inlineStr">
        <is>
          <t>Lay</t>
        </is>
      </c>
      <c r="G41" s="47" t="inlineStr">
        <is>
          <t>Lay</t>
        </is>
      </c>
      <c r="H41" s="48" t="n">
        <v>3.6</v>
      </c>
      <c r="I41" s="48" t="n">
        <v>2.45</v>
      </c>
      <c r="J41" s="22" t="n">
        <v>-0.1315</v>
      </c>
      <c r="K41" s="49" t="n">
        <v>1</v>
      </c>
      <c r="L41" s="21" t="n">
        <v>5</v>
      </c>
      <c r="M41" s="50" t="inlineStr">
        <is>
          <t>Win</t>
        </is>
      </c>
      <c r="N41" s="23">
        <f>IF(M41="Win",IF(F41="Bet",(I41-1)*K41,K41),IF(M41="Loss",IF(F41="Bet",-K41,-(I41-1)*K41),IF(M41="Void",0,"")))</f>
        <v/>
      </c>
      <c r="O41" s="24">
        <f>IF(OR(M41="Win",M41="Loss"),IF(F41="Bet",K41,(I41-1)*K41),"")</f>
        <v/>
      </c>
    </row>
    <row r="42">
      <c r="A42" s="37" t="n">
        <v>46277</v>
      </c>
      <c r="B42" s="38" t="inlineStr">
        <is>
          <t>Alice Springs</t>
        </is>
      </c>
      <c r="C42" s="15" t="n">
        <v>5</v>
      </c>
      <c r="D42" s="15" t="n">
        <v>5</v>
      </c>
      <c r="E42" s="14" t="inlineStr">
        <is>
          <t>Mummsie</t>
        </is>
      </c>
      <c r="F42" s="43" t="inlineStr">
        <is>
          <t>Lay</t>
        </is>
      </c>
      <c r="G42" s="47" t="inlineStr">
        <is>
          <t>Lay</t>
        </is>
      </c>
      <c r="H42" s="41" t="n">
        <v>5</v>
      </c>
      <c r="I42" s="41" t="n">
        <v>3.2</v>
      </c>
      <c r="J42" s="16" t="n">
        <v>-0.1117</v>
      </c>
      <c r="K42" s="42" t="n">
        <v>1</v>
      </c>
      <c r="L42" s="15" t="n">
        <v>1</v>
      </c>
      <c r="M42" s="43" t="inlineStr">
        <is>
          <t>Loss</t>
        </is>
      </c>
      <c r="N42" s="17">
        <f>IF(M42="Win",IF(F42="Bet",(I42-1)*K42,K42),IF(M42="Loss",IF(F42="Bet",-K42,-(I42-1)*K42),IF(M42="Void",0,"")))</f>
        <v/>
      </c>
      <c r="O42" s="18">
        <f>IF(OR(M42="Win",M42="Loss"),IF(F42="Bet",K42,(I42-1)*K42),"")</f>
        <v/>
      </c>
    </row>
    <row r="43">
      <c r="A43" s="44" t="n">
        <v>46277</v>
      </c>
      <c r="B43" s="45" t="inlineStr">
        <is>
          <t>Toowoomba</t>
        </is>
      </c>
      <c r="C43" s="21" t="n">
        <v>1</v>
      </c>
      <c r="D43" s="21" t="n">
        <v>11</v>
      </c>
      <c r="E43" s="20" t="inlineStr">
        <is>
          <t>Crypto Miss</t>
        </is>
      </c>
      <c r="F43" s="46" t="inlineStr">
        <is>
          <t>Lay</t>
        </is>
      </c>
      <c r="G43" s="47" t="inlineStr">
        <is>
          <t>Lay</t>
        </is>
      </c>
      <c r="H43" s="48" t="n">
        <v>4.3</v>
      </c>
      <c r="I43" s="48" t="n">
        <v>2.8</v>
      </c>
      <c r="J43" s="22" t="n">
        <v>-0.1219</v>
      </c>
      <c r="K43" s="49" t="n">
        <v>1</v>
      </c>
      <c r="L43" s="21" t="inlineStr">
        <is>
          <t>Unplaced</t>
        </is>
      </c>
      <c r="M43" s="50" t="inlineStr">
        <is>
          <t>Win</t>
        </is>
      </c>
      <c r="N43" s="23">
        <f>IF(M43="Win",IF(F43="Bet",(I43-1)*K43,K43),IF(M43="Loss",IF(F43="Bet",-K43,-(I43-1)*K43),IF(M43="Void",0,"")))</f>
        <v/>
      </c>
      <c r="O43" s="24">
        <f>IF(OR(M43="Win",M43="Loss"),IF(F43="Bet",K43,(I43-1)*K43),"")</f>
        <v/>
      </c>
    </row>
    <row r="44">
      <c r="A44" s="37" t="n">
        <v>46278</v>
      </c>
      <c r="B44" s="38" t="inlineStr">
        <is>
          <t>Dalby</t>
        </is>
      </c>
      <c r="C44" s="15" t="n">
        <v>4</v>
      </c>
      <c r="D44" s="15" t="n">
        <v>6</v>
      </c>
      <c r="E44" s="14" t="inlineStr">
        <is>
          <t>Lady Willpower</t>
        </is>
      </c>
      <c r="F44" s="43" t="inlineStr">
        <is>
          <t>Lay</t>
        </is>
      </c>
      <c r="G44" s="47" t="inlineStr">
        <is>
          <t>Lay</t>
        </is>
      </c>
      <c r="H44" s="41" t="n">
        <v>1.45</v>
      </c>
      <c r="I44" s="41" t="n">
        <v>1.22</v>
      </c>
      <c r="J44" s="16" t="n">
        <v>-0.1281</v>
      </c>
      <c r="K44" s="42" t="n">
        <v>1</v>
      </c>
      <c r="L44" s="15" t="n">
        <v>1</v>
      </c>
      <c r="M44" s="43" t="inlineStr">
        <is>
          <t>Loss</t>
        </is>
      </c>
      <c r="N44" s="17">
        <f>IF(M44="Win",IF(F44="Bet",(I44-1)*K44,K44),IF(M44="Loss",IF(F44="Bet",-K44,-(I44-1)*K44),IF(M44="Void",0,"")))</f>
        <v/>
      </c>
      <c r="O44" s="18">
        <f>IF(OR(M44="Win",M44="Loss"),IF(F44="Bet",K44,(I44-1)*K44),"")</f>
        <v/>
      </c>
    </row>
    <row r="45">
      <c r="A45" s="44" t="n">
        <v>46278</v>
      </c>
      <c r="B45" s="45" t="inlineStr">
        <is>
          <t>Dalby</t>
        </is>
      </c>
      <c r="C45" s="21" t="n">
        <v>6</v>
      </c>
      <c r="D45" s="21" t="n">
        <v>4</v>
      </c>
      <c r="E45" s="20" t="inlineStr">
        <is>
          <t>Solo Hunter</t>
        </is>
      </c>
      <c r="F45" s="46" t="inlineStr">
        <is>
          <t>Lay</t>
        </is>
      </c>
      <c r="G45" s="47" t="inlineStr">
        <is>
          <t>Lay</t>
        </is>
      </c>
      <c r="H45" s="48" t="n">
        <v>1.7</v>
      </c>
      <c r="I45" s="48" t="n">
        <v>1.4</v>
      </c>
      <c r="J45" s="22" t="n">
        <v>-0.1297</v>
      </c>
      <c r="K45" s="49" t="n">
        <v>1</v>
      </c>
      <c r="L45" s="21" t="n">
        <v>1</v>
      </c>
      <c r="M45" s="46" t="inlineStr">
        <is>
          <t>Loss</t>
        </is>
      </c>
      <c r="N45" s="23">
        <f>IF(M45="Win",IF(F45="Bet",(I45-1)*K45,K45),IF(M45="Loss",IF(F45="Bet",-K45,-(I45-1)*K45),IF(M45="Void",0,"")))</f>
        <v/>
      </c>
      <c r="O45" s="24">
        <f>IF(OR(M45="Win",M45="Loss"),IF(F45="Bet",K45,(I45-1)*K45),"")</f>
        <v/>
      </c>
    </row>
    <row r="46">
      <c r="A46" s="37" t="n">
        <v>46278</v>
      </c>
      <c r="B46" s="38" t="inlineStr">
        <is>
          <t>Dalby</t>
        </is>
      </c>
      <c r="C46" s="15" t="n">
        <v>8</v>
      </c>
      <c r="D46" s="15" t="n">
        <v>8</v>
      </c>
      <c r="E46" s="14" t="inlineStr">
        <is>
          <t>Snugg</t>
        </is>
      </c>
      <c r="F46" s="43" t="inlineStr">
        <is>
          <t>Lay</t>
        </is>
      </c>
      <c r="G46" s="47" t="inlineStr">
        <is>
          <t>Lay</t>
        </is>
      </c>
      <c r="H46" s="41" t="n">
        <v>3.5</v>
      </c>
      <c r="I46" s="41" t="n">
        <v>2.6</v>
      </c>
      <c r="J46" s="16" t="n">
        <v>-0.0974</v>
      </c>
      <c r="K46" s="42" t="n">
        <v>1</v>
      </c>
      <c r="L46" s="15" t="n">
        <v>3</v>
      </c>
      <c r="M46" s="51" t="inlineStr">
        <is>
          <t>Win</t>
        </is>
      </c>
      <c r="N46" s="17">
        <f>IF(M46="Win",IF(F46="Bet",(I46-1)*K46,K46),IF(M46="Loss",IF(F46="Bet",-K46,-(I46-1)*K46),IF(M46="Void",0,"")))</f>
        <v/>
      </c>
      <c r="O46" s="18">
        <f>IF(OR(M46="Win",M46="Loss"),IF(F46="Bet",K46,(I46-1)*K46),"")</f>
        <v/>
      </c>
    </row>
    <row r="47">
      <c r="A47" s="44" t="n">
        <v>46278</v>
      </c>
      <c r="B47" s="45" t="inlineStr">
        <is>
          <t>Sale</t>
        </is>
      </c>
      <c r="C47" s="21" t="n">
        <v>1</v>
      </c>
      <c r="D47" s="21" t="n">
        <v>4</v>
      </c>
      <c r="E47" s="20" t="inlineStr">
        <is>
          <t>Mr Margolin</t>
        </is>
      </c>
      <c r="F47" s="46" t="inlineStr">
        <is>
          <t>Lay</t>
        </is>
      </c>
      <c r="G47" s="47" t="inlineStr">
        <is>
          <t>Lay</t>
        </is>
      </c>
      <c r="H47" s="48" t="n">
        <v>5.8</v>
      </c>
      <c r="I47" s="48" t="n">
        <v>3.7</v>
      </c>
      <c r="J47" s="22" t="n">
        <v>-0.09660000000000001</v>
      </c>
      <c r="K47" s="49" t="n">
        <v>1</v>
      </c>
      <c r="L47" s="21" t="n">
        <v>1</v>
      </c>
      <c r="M47" s="46" t="inlineStr">
        <is>
          <t>Loss</t>
        </is>
      </c>
      <c r="N47" s="23">
        <f>IF(M47="Win",IF(F47="Bet",(I47-1)*K47,K47),IF(M47="Loss",IF(F47="Bet",-K47,-(I47-1)*K47),IF(M47="Void",0,"")))</f>
        <v/>
      </c>
      <c r="O47" s="24">
        <f>IF(OR(M47="Win",M47="Loss"),IF(F47="Bet",K47,(I47-1)*K47),"")</f>
        <v/>
      </c>
    </row>
    <row r="48">
      <c r="A48" s="37" t="n">
        <v>46278</v>
      </c>
      <c r="B48" s="38" t="inlineStr">
        <is>
          <t>Sale</t>
        </is>
      </c>
      <c r="C48" s="15" t="n">
        <v>3</v>
      </c>
      <c r="D48" s="15" t="n">
        <v>12</v>
      </c>
      <c r="E48" s="14" t="inlineStr">
        <is>
          <t>Zendarina</t>
        </is>
      </c>
      <c r="F48" s="43" t="inlineStr">
        <is>
          <t>Lay</t>
        </is>
      </c>
      <c r="G48" s="47" t="inlineStr">
        <is>
          <t>Lay</t>
        </is>
      </c>
      <c r="H48" s="41" t="n">
        <v>3.7</v>
      </c>
      <c r="I48" s="41" t="n">
        <v>2.7</v>
      </c>
      <c r="J48" s="16" t="n">
        <v>-0.0974</v>
      </c>
      <c r="K48" s="42" t="n">
        <v>1</v>
      </c>
      <c r="L48" s="15" t="n">
        <v>1</v>
      </c>
      <c r="M48" s="43" t="inlineStr">
        <is>
          <t>Loss</t>
        </is>
      </c>
      <c r="N48" s="17">
        <f>IF(M48="Win",IF(F48="Bet",(I48-1)*K48,K48),IF(M48="Loss",IF(F48="Bet",-K48,-(I48-1)*K48),IF(M48="Void",0,"")))</f>
        <v/>
      </c>
      <c r="O48" s="18">
        <f>IF(OR(M48="Win",M48="Loss"),IF(F48="Bet",K48,(I48-1)*K48),"")</f>
        <v/>
      </c>
    </row>
    <row r="49">
      <c r="A49" s="44" t="n">
        <v>46278</v>
      </c>
      <c r="B49" s="45" t="inlineStr">
        <is>
          <t>Sale</t>
        </is>
      </c>
      <c r="C49" s="21" t="n">
        <v>4</v>
      </c>
      <c r="D49" s="21" t="n">
        <v>12</v>
      </c>
      <c r="E49" s="20" t="inlineStr">
        <is>
          <t>Classic Secret</t>
        </is>
      </c>
      <c r="F49" s="46" t="inlineStr">
        <is>
          <t>Lay</t>
        </is>
      </c>
      <c r="G49" s="47" t="inlineStr">
        <is>
          <t>Lay</t>
        </is>
      </c>
      <c r="H49" s="48" t="n">
        <v>3.5</v>
      </c>
      <c r="I49" s="48" t="n">
        <v>2.75</v>
      </c>
      <c r="J49" s="22" t="n">
        <v>-0.0759</v>
      </c>
      <c r="K49" s="49" t="n">
        <v>1</v>
      </c>
      <c r="L49" s="21" t="n">
        <v>10</v>
      </c>
      <c r="M49" s="50" t="inlineStr">
        <is>
          <t>Win</t>
        </is>
      </c>
      <c r="N49" s="23">
        <f>IF(M49="Win",IF(F49="Bet",(I49-1)*K49,K49),IF(M49="Loss",IF(F49="Bet",-K49,-(I49-1)*K49),IF(M49="Void",0,"")))</f>
        <v/>
      </c>
      <c r="O49" s="24">
        <f>IF(OR(M49="Win",M49="Loss"),IF(F49="Bet",K49,(I49-1)*K49),"")</f>
        <v/>
      </c>
    </row>
    <row r="50">
      <c r="A50" s="37" t="n">
        <v>46278</v>
      </c>
      <c r="B50" s="38" t="inlineStr">
        <is>
          <t>Coffs Harbour</t>
        </is>
      </c>
      <c r="C50" s="15" t="n">
        <v>3</v>
      </c>
      <c r="D50" s="15" t="n">
        <v>10</v>
      </c>
      <c r="E50" s="14" t="inlineStr">
        <is>
          <t>Magic Snitzel</t>
        </is>
      </c>
      <c r="F50" s="43" t="inlineStr">
        <is>
          <t>Lay</t>
        </is>
      </c>
      <c r="G50" s="47" t="inlineStr">
        <is>
          <t>Lay</t>
        </is>
      </c>
      <c r="H50" s="41" t="n">
        <v>3.1</v>
      </c>
      <c r="I50" s="41" t="n">
        <v>2.26</v>
      </c>
      <c r="J50" s="16" t="n">
        <v>-0.0605</v>
      </c>
      <c r="K50" s="42" t="n">
        <v>1</v>
      </c>
      <c r="L50" s="15" t="n">
        <v>4</v>
      </c>
      <c r="M50" s="51" t="inlineStr">
        <is>
          <t>Win</t>
        </is>
      </c>
      <c r="N50" s="17">
        <f>IF(M50="Win",IF(F50="Bet",(I50-1)*K50,K50),IF(M50="Loss",IF(F50="Bet",-K50,-(I50-1)*K50),IF(M50="Void",0,"")))</f>
        <v/>
      </c>
      <c r="O50" s="18">
        <f>IF(OR(M50="Win",M50="Loss"),IF(F50="Bet",K50,(I50-1)*K50),"")</f>
        <v/>
      </c>
    </row>
    <row r="51">
      <c r="A51" s="44" t="n">
        <v>46278</v>
      </c>
      <c r="B51" s="45" t="inlineStr">
        <is>
          <t>Coffs Harbour</t>
        </is>
      </c>
      <c r="C51" s="21" t="n">
        <v>7</v>
      </c>
      <c r="D51" s="21" t="n">
        <v>5</v>
      </c>
      <c r="E51" s="20" t="inlineStr">
        <is>
          <t>Jade Trees</t>
        </is>
      </c>
      <c r="F51" s="46" t="inlineStr">
        <is>
          <t>Lay</t>
        </is>
      </c>
      <c r="G51" s="47" t="inlineStr">
        <is>
          <t>Lay</t>
        </is>
      </c>
      <c r="H51" s="48" t="n">
        <v>2.35</v>
      </c>
      <c r="I51" s="48" t="n">
        <v>1.7</v>
      </c>
      <c r="J51" s="22" t="n">
        <v>-0.1654</v>
      </c>
      <c r="K51" s="49" t="n">
        <v>1</v>
      </c>
      <c r="L51" s="21" t="n">
        <v>1</v>
      </c>
      <c r="M51" s="46" t="inlineStr">
        <is>
          <t>Loss</t>
        </is>
      </c>
      <c r="N51" s="23">
        <f>IF(M51="Win",IF(F51="Bet",(I51-1)*K51,K51),IF(M51="Loss",IF(F51="Bet",-K51,-(I51-1)*K51),IF(M51="Void",0,"")))</f>
        <v/>
      </c>
      <c r="O51" s="24">
        <f>IF(OR(M51="Win",M51="Loss"),IF(F51="Bet",K51,(I51-1)*K51),"")</f>
        <v/>
      </c>
    </row>
    <row r="52">
      <c r="A52" s="37" t="n">
        <v>46278</v>
      </c>
      <c r="B52" s="38" t="inlineStr">
        <is>
          <t>Bathurst</t>
        </is>
      </c>
      <c r="C52" s="15" t="n">
        <v>1</v>
      </c>
      <c r="D52" s="15" t="n">
        <v>10</v>
      </c>
      <c r="E52" s="14" t="inlineStr">
        <is>
          <t>May The Force</t>
        </is>
      </c>
      <c r="F52" s="43" t="inlineStr">
        <is>
          <t>Lay</t>
        </is>
      </c>
      <c r="G52" s="47" t="inlineStr">
        <is>
          <t>Lay</t>
        </is>
      </c>
      <c r="H52" s="41" t="n">
        <v>3.9</v>
      </c>
      <c r="I52" s="41" t="n">
        <v>2.8</v>
      </c>
      <c r="J52" s="16" t="n">
        <v>-0.09959999999999999</v>
      </c>
      <c r="K52" s="42" t="n">
        <v>1</v>
      </c>
      <c r="L52" s="15" t="n">
        <v>1</v>
      </c>
      <c r="M52" s="43" t="inlineStr">
        <is>
          <t>Loss</t>
        </is>
      </c>
      <c r="N52" s="17">
        <f>IF(M52="Win",IF(F52="Bet",(I52-1)*K52,K52),IF(M52="Loss",IF(F52="Bet",-K52,-(I52-1)*K52),IF(M52="Void",0,"")))</f>
        <v/>
      </c>
      <c r="O52" s="18">
        <f>IF(OR(M52="Win",M52="Loss"),IF(F52="Bet",K52,(I52-1)*K52),"")</f>
        <v/>
      </c>
    </row>
    <row r="53">
      <c r="A53" s="44" t="n">
        <v>46278</v>
      </c>
      <c r="B53" s="45" t="inlineStr">
        <is>
          <t>Bathurst</t>
        </is>
      </c>
      <c r="C53" s="21" t="n">
        <v>5</v>
      </c>
      <c r="D53" s="21" t="n">
        <v>1</v>
      </c>
      <c r="E53" s="20" t="inlineStr">
        <is>
          <t>Inquiring Minds</t>
        </is>
      </c>
      <c r="F53" s="46" t="inlineStr">
        <is>
          <t>Lay</t>
        </is>
      </c>
      <c r="G53" s="47" t="inlineStr">
        <is>
          <t>Lay</t>
        </is>
      </c>
      <c r="H53" s="48" t="n">
        <v>4.8</v>
      </c>
      <c r="I53" s="48" t="n">
        <v>3.3</v>
      </c>
      <c r="J53" s="22" t="n">
        <v>-0.0935</v>
      </c>
      <c r="K53" s="49" t="n">
        <v>1</v>
      </c>
      <c r="L53" s="21" t="n">
        <v>2</v>
      </c>
      <c r="M53" s="50" t="inlineStr">
        <is>
          <t>Win</t>
        </is>
      </c>
      <c r="N53" s="23">
        <f>IF(M53="Win",IF(F53="Bet",(I53-1)*K53,K53),IF(M53="Loss",IF(F53="Bet",-K53,-(I53-1)*K53),IF(M53="Void",0,"")))</f>
        <v/>
      </c>
      <c r="O53" s="24">
        <f>IF(OR(M53="Win",M53="Loss"),IF(F53="Bet",K53,(I53-1)*K53),"")</f>
        <v/>
      </c>
    </row>
    <row r="54">
      <c r="A54" s="37" t="n">
        <v>46278</v>
      </c>
      <c r="B54" s="38" t="inlineStr">
        <is>
          <t>Bathurst</t>
        </is>
      </c>
      <c r="C54" s="15" t="n">
        <v>6</v>
      </c>
      <c r="D54" s="15" t="n">
        <v>16</v>
      </c>
      <c r="E54" s="14" t="inlineStr">
        <is>
          <t>Tom Vegas</t>
        </is>
      </c>
      <c r="F54" s="43" t="inlineStr">
        <is>
          <t>Lay</t>
        </is>
      </c>
      <c r="G54" s="47" t="inlineStr">
        <is>
          <t>Lay</t>
        </is>
      </c>
      <c r="H54" s="41" t="n">
        <v>5.7</v>
      </c>
      <c r="I54" s="41" t="n">
        <v>3.4</v>
      </c>
      <c r="J54" s="16" t="n">
        <v>-0.1194</v>
      </c>
      <c r="K54" s="42" t="n">
        <v>1</v>
      </c>
      <c r="L54" s="15" t="n">
        <v>2</v>
      </c>
      <c r="M54" s="51" t="inlineStr">
        <is>
          <t>Win</t>
        </is>
      </c>
      <c r="N54" s="17">
        <f>IF(M54="Win",IF(F54="Bet",(I54-1)*K54,K54),IF(M54="Loss",IF(F54="Bet",-K54,-(I54-1)*K54),IF(M54="Void",0,"")))</f>
        <v/>
      </c>
      <c r="O54" s="18">
        <f>IF(OR(M54="Win",M54="Loss"),IF(F54="Bet",K54,(I54-1)*K54),"")</f>
        <v/>
      </c>
    </row>
    <row r="55">
      <c r="A55" s="44" t="n">
        <v>46278</v>
      </c>
      <c r="B55" s="45" t="inlineStr">
        <is>
          <t>Dalby</t>
        </is>
      </c>
      <c r="C55" s="21" t="n">
        <v>3</v>
      </c>
      <c r="D55" s="21" t="n">
        <v>4</v>
      </c>
      <c r="E55" s="20" t="inlineStr">
        <is>
          <t>Royal Diplomat</t>
        </is>
      </c>
      <c r="F55" s="46" t="inlineStr">
        <is>
          <t>Lay</t>
        </is>
      </c>
      <c r="G55" s="47" t="inlineStr">
        <is>
          <t>Lay</t>
        </is>
      </c>
      <c r="H55" s="48" t="n">
        <v>2.35</v>
      </c>
      <c r="I55" s="48" t="n">
        <v>2.05</v>
      </c>
      <c r="J55" s="22" t="n">
        <v>-0.06320000000000001</v>
      </c>
      <c r="K55" s="49" t="n">
        <v>1</v>
      </c>
      <c r="L55" s="21" t="n">
        <v>1</v>
      </c>
      <c r="M55" s="46" t="inlineStr">
        <is>
          <t>Loss</t>
        </is>
      </c>
      <c r="N55" s="23">
        <f>IF(M55="Win",IF(F55="Bet",(I55-1)*K55,K55),IF(M55="Loss",IF(F55="Bet",-K55,-(I55-1)*K55),IF(M55="Void",0,"")))</f>
        <v/>
      </c>
      <c r="O55" s="24">
        <f>IF(OR(M55="Win",M55="Loss"),IF(F55="Bet",K55,(I55-1)*K55),"")</f>
        <v/>
      </c>
    </row>
    <row r="56">
      <c r="A56" s="37" t="n">
        <v>46278</v>
      </c>
      <c r="B56" s="38" t="inlineStr">
        <is>
          <t>Sale</t>
        </is>
      </c>
      <c r="C56" s="15" t="n">
        <v>5</v>
      </c>
      <c r="D56" s="15" t="n">
        <v>10</v>
      </c>
      <c r="E56" s="14" t="inlineStr">
        <is>
          <t>Rhyme Dust</t>
        </is>
      </c>
      <c r="F56" s="43" t="inlineStr">
        <is>
          <t>Lay</t>
        </is>
      </c>
      <c r="G56" s="47" t="inlineStr">
        <is>
          <t>Lay</t>
        </is>
      </c>
      <c r="H56" s="41" t="n">
        <v>5.2</v>
      </c>
      <c r="I56" s="41" t="n">
        <v>3.7</v>
      </c>
      <c r="J56" s="16" t="n">
        <v>-0.07870000000000001</v>
      </c>
      <c r="K56" s="42" t="n">
        <v>1</v>
      </c>
      <c r="L56" s="15" t="n">
        <v>9</v>
      </c>
      <c r="M56" s="51" t="inlineStr">
        <is>
          <t>Win</t>
        </is>
      </c>
      <c r="N56" s="17">
        <f>IF(M56="Win",IF(F56="Bet",(I56-1)*K56,K56),IF(M56="Loss",IF(F56="Bet",-K56,-(I56-1)*K56),IF(M56="Void",0,"")))</f>
        <v/>
      </c>
      <c r="O56" s="18">
        <f>IF(OR(M56="Win",M56="Loss"),IF(F56="Bet",K56,(I56-1)*K56),"")</f>
        <v/>
      </c>
    </row>
    <row r="57">
      <c r="A57" s="44" t="n">
        <v>46279</v>
      </c>
      <c r="B57" s="45" t="inlineStr">
        <is>
          <t>Hamilton</t>
        </is>
      </c>
      <c r="C57" s="21" t="n">
        <v>3</v>
      </c>
      <c r="D57" s="21" t="n">
        <v>1</v>
      </c>
      <c r="E57" s="20" t="inlineStr">
        <is>
          <t>Asal</t>
        </is>
      </c>
      <c r="F57" s="46" t="inlineStr">
        <is>
          <t>Lay</t>
        </is>
      </c>
      <c r="G57" s="47" t="inlineStr">
        <is>
          <t>Lay</t>
        </is>
      </c>
      <c r="H57" s="48" t="n">
        <v>2.65</v>
      </c>
      <c r="I57" s="48" t="n">
        <v>2.1</v>
      </c>
      <c r="J57" s="22" t="n">
        <v>-0.1008</v>
      </c>
      <c r="K57" s="49" t="n">
        <v>1</v>
      </c>
      <c r="L57" s="21" t="n">
        <v>1</v>
      </c>
      <c r="M57" s="46" t="inlineStr">
        <is>
          <t>Loss</t>
        </is>
      </c>
      <c r="N57" s="23">
        <f>IF(M57="Win",IF(F57="Bet",(I57-1)*K57,K57),IF(M57="Loss",IF(F57="Bet",-K57,-(I57-1)*K57),IF(M57="Void",0,"")))</f>
        <v/>
      </c>
      <c r="O57" s="24">
        <f>IF(OR(M57="Win",M57="Loss"),IF(F57="Bet",K57,(I57-1)*K57),"")</f>
        <v/>
      </c>
    </row>
    <row r="58">
      <c r="A58" s="37" t="n">
        <v>46279</v>
      </c>
      <c r="B58" s="38" t="inlineStr">
        <is>
          <t>Hamilton</t>
        </is>
      </c>
      <c r="C58" s="15" t="n">
        <v>8</v>
      </c>
      <c r="D58" s="15" t="n">
        <v>6</v>
      </c>
      <c r="E58" s="14" t="inlineStr">
        <is>
          <t>Share The Stars</t>
        </is>
      </c>
      <c r="F58" s="43" t="inlineStr">
        <is>
          <t>Lay</t>
        </is>
      </c>
      <c r="G58" s="47" t="inlineStr">
        <is>
          <t>Lay</t>
        </is>
      </c>
      <c r="H58" s="41" t="n">
        <v>5.6</v>
      </c>
      <c r="I58" s="41" t="n">
        <v>3.5</v>
      </c>
      <c r="J58" s="16" t="n">
        <v>-0.1079</v>
      </c>
      <c r="K58" s="42" t="n">
        <v>1</v>
      </c>
      <c r="L58" s="15" t="n">
        <v>8</v>
      </c>
      <c r="M58" s="51" t="inlineStr">
        <is>
          <t>Win</t>
        </is>
      </c>
      <c r="N58" s="17">
        <f>IF(M58="Win",IF(F58="Bet",(I58-1)*K58,K58),IF(M58="Loss",IF(F58="Bet",-K58,-(I58-1)*K58),IF(M58="Void",0,"")))</f>
        <v/>
      </c>
      <c r="O58" s="18">
        <f>IF(OR(M58="Win",M58="Loss"),IF(F58="Bet",K58,(I58-1)*K58),"")</f>
        <v/>
      </c>
    </row>
    <row r="59">
      <c r="A59" s="44" t="n">
        <v>46279</v>
      </c>
      <c r="B59" s="45" t="inlineStr">
        <is>
          <t>Tamworth</t>
        </is>
      </c>
      <c r="C59" s="21" t="n">
        <v>1</v>
      </c>
      <c r="D59" s="21" t="n">
        <v>4</v>
      </c>
      <c r="E59" s="20" t="inlineStr">
        <is>
          <t>Heapy's Legacy</t>
        </is>
      </c>
      <c r="F59" s="46" t="inlineStr">
        <is>
          <t>Lay</t>
        </is>
      </c>
      <c r="G59" s="47" t="inlineStr">
        <is>
          <t>Lay</t>
        </is>
      </c>
      <c r="H59" s="48" t="n">
        <v>3.2</v>
      </c>
      <c r="I59" s="48" t="n">
        <v>2.4</v>
      </c>
      <c r="J59" s="22" t="n">
        <v>-0.1061</v>
      </c>
      <c r="K59" s="49" t="n">
        <v>1</v>
      </c>
      <c r="L59" s="21" t="n">
        <v>3</v>
      </c>
      <c r="M59" s="50" t="inlineStr">
        <is>
          <t>Win</t>
        </is>
      </c>
      <c r="N59" s="23">
        <f>IF(M59="Win",IF(F59="Bet",(I59-1)*K59,K59),IF(M59="Loss",IF(F59="Bet",-K59,-(I59-1)*K59),IF(M59="Void",0,"")))</f>
        <v/>
      </c>
      <c r="O59" s="24">
        <f>IF(OR(M59="Win",M59="Loss"),IF(F59="Bet",K59,(I59-1)*K59),"")</f>
        <v/>
      </c>
    </row>
    <row r="60">
      <c r="A60" s="37" t="n">
        <v>46279</v>
      </c>
      <c r="B60" s="38" t="inlineStr">
        <is>
          <t>Tamworth</t>
        </is>
      </c>
      <c r="C60" s="15" t="n">
        <v>2</v>
      </c>
      <c r="D60" s="15" t="n">
        <v>4</v>
      </c>
      <c r="E60" s="14" t="inlineStr">
        <is>
          <t>Sammaan City</t>
        </is>
      </c>
      <c r="F60" s="43" t="inlineStr">
        <is>
          <t>Lay</t>
        </is>
      </c>
      <c r="G60" s="47" t="inlineStr">
        <is>
          <t>Lay</t>
        </is>
      </c>
      <c r="H60" s="41" t="n">
        <v>2.05</v>
      </c>
      <c r="I60" s="41" t="n">
        <v>1.7</v>
      </c>
      <c r="J60" s="16" t="n">
        <v>-0.1013</v>
      </c>
      <c r="K60" s="42" t="n">
        <v>1</v>
      </c>
      <c r="L60" s="15" t="n">
        <v>6</v>
      </c>
      <c r="M60" s="51" t="inlineStr">
        <is>
          <t>Win</t>
        </is>
      </c>
      <c r="N60" s="17">
        <f>IF(M60="Win",IF(F60="Bet",(I60-1)*K60,K60),IF(M60="Loss",IF(F60="Bet",-K60,-(I60-1)*K60),IF(M60="Void",0,"")))</f>
        <v/>
      </c>
      <c r="O60" s="18">
        <f>IF(OR(M60="Win",M60="Loss"),IF(F60="Bet",K60,(I60-1)*K60),"")</f>
        <v/>
      </c>
    </row>
    <row r="61">
      <c r="A61" s="44" t="n">
        <v>46279</v>
      </c>
      <c r="B61" s="45" t="inlineStr">
        <is>
          <t>Tamworth</t>
        </is>
      </c>
      <c r="C61" s="21" t="n">
        <v>5</v>
      </c>
      <c r="D61" s="21" t="n">
        <v>1</v>
      </c>
      <c r="E61" s="20" t="inlineStr">
        <is>
          <t>Dunquin</t>
        </is>
      </c>
      <c r="F61" s="46" t="inlineStr">
        <is>
          <t>Lay</t>
        </is>
      </c>
      <c r="G61" s="47" t="inlineStr">
        <is>
          <t>Lay</t>
        </is>
      </c>
      <c r="H61" s="48" t="n">
        <v>3.3</v>
      </c>
      <c r="I61" s="48" t="n">
        <v>2.2</v>
      </c>
      <c r="J61" s="22" t="n">
        <v>-0.1514</v>
      </c>
      <c r="K61" s="49" t="n">
        <v>1</v>
      </c>
      <c r="L61" s="21" t="n">
        <v>2</v>
      </c>
      <c r="M61" s="50" t="inlineStr">
        <is>
          <t>Win</t>
        </is>
      </c>
      <c r="N61" s="23">
        <f>IF(M61="Win",IF(F61="Bet",(I61-1)*K61,K61),IF(M61="Loss",IF(F61="Bet",-K61,-(I61-1)*K61),IF(M61="Void",0,"")))</f>
        <v/>
      </c>
      <c r="O61" s="24">
        <f>IF(OR(M61="Win",M61="Loss"),IF(F61="Bet",K61,(I61-1)*K61),"")</f>
        <v/>
      </c>
    </row>
    <row r="62">
      <c r="A62" s="37" t="n">
        <v>46279</v>
      </c>
      <c r="B62" s="38" t="inlineStr">
        <is>
          <t>Tamworth</t>
        </is>
      </c>
      <c r="C62" s="15" t="n">
        <v>6</v>
      </c>
      <c r="D62" s="15" t="n">
        <v>5</v>
      </c>
      <c r="E62" s="14" t="inlineStr">
        <is>
          <t>Sipping Shamus</t>
        </is>
      </c>
      <c r="F62" s="43" t="inlineStr">
        <is>
          <t>Lay</t>
        </is>
      </c>
      <c r="G62" s="47" t="inlineStr">
        <is>
          <t>Lay</t>
        </is>
      </c>
      <c r="H62" s="41" t="n">
        <v>6.3</v>
      </c>
      <c r="I62" s="41" t="n">
        <v>3.8</v>
      </c>
      <c r="J62" s="16" t="n">
        <v>-0.1049</v>
      </c>
      <c r="K62" s="42" t="n">
        <v>1</v>
      </c>
      <c r="L62" s="15" t="n">
        <v>5</v>
      </c>
      <c r="M62" s="51" t="inlineStr">
        <is>
          <t>Win</t>
        </is>
      </c>
      <c r="N62" s="17">
        <f>IF(M62="Win",IF(F62="Bet",(I62-1)*K62,K62),IF(M62="Loss",IF(F62="Bet",-K62,-(I62-1)*K62),IF(M62="Void",0,"")))</f>
        <v/>
      </c>
      <c r="O62" s="18">
        <f>IF(OR(M62="Win",M62="Loss"),IF(F62="Bet",K62,(I62-1)*K62),"")</f>
        <v/>
      </c>
    </row>
    <row r="63">
      <c r="A63" s="44" t="n">
        <v>46279</v>
      </c>
      <c r="B63" s="45" t="inlineStr">
        <is>
          <t>Corowa</t>
        </is>
      </c>
      <c r="C63" s="21" t="n">
        <v>5</v>
      </c>
      <c r="D63" s="21" t="n">
        <v>11</v>
      </c>
      <c r="E63" s="20" t="inlineStr">
        <is>
          <t>Levens Hall</t>
        </is>
      </c>
      <c r="F63" s="46" t="inlineStr">
        <is>
          <t>Lay</t>
        </is>
      </c>
      <c r="G63" s="47" t="inlineStr">
        <is>
          <t>Lay</t>
        </is>
      </c>
      <c r="H63" s="48" t="n">
        <v>2.4</v>
      </c>
      <c r="I63" s="48" t="n">
        <v>1.9</v>
      </c>
      <c r="J63" s="22" t="n">
        <v>-0.1072</v>
      </c>
      <c r="K63" s="49" t="n">
        <v>1</v>
      </c>
      <c r="L63" s="21" t="n">
        <v>2</v>
      </c>
      <c r="M63" s="50" t="inlineStr">
        <is>
          <t>Win</t>
        </is>
      </c>
      <c r="N63" s="23">
        <f>IF(M63="Win",IF(F63="Bet",(I63-1)*K63,K63),IF(M63="Loss",IF(F63="Bet",-K63,-(I63-1)*K63),IF(M63="Void",0,"")))</f>
        <v/>
      </c>
      <c r="O63" s="24">
        <f>IF(OR(M63="Win",M63="Loss"),IF(F63="Bet",K63,(I63-1)*K63),"")</f>
        <v/>
      </c>
    </row>
    <row r="64">
      <c r="A64" s="37" t="n">
        <v>46279</v>
      </c>
      <c r="B64" s="38" t="inlineStr">
        <is>
          <t>Corowa</t>
        </is>
      </c>
      <c r="C64" s="15" t="n">
        <v>6</v>
      </c>
      <c r="D64" s="15" t="n">
        <v>3</v>
      </c>
      <c r="E64" s="14" t="inlineStr">
        <is>
          <t>Chief Of War</t>
        </is>
      </c>
      <c r="F64" s="43" t="inlineStr">
        <is>
          <t>Lay</t>
        </is>
      </c>
      <c r="G64" s="47" t="inlineStr">
        <is>
          <t>Lay</t>
        </is>
      </c>
      <c r="H64" s="41" t="n">
        <v>2.15</v>
      </c>
      <c r="I64" s="41" t="n">
        <v>1.65</v>
      </c>
      <c r="J64" s="16" t="n">
        <v>-0.1403</v>
      </c>
      <c r="K64" s="42" t="n">
        <v>1</v>
      </c>
      <c r="L64" s="15" t="n">
        <v>2</v>
      </c>
      <c r="M64" s="51" t="inlineStr">
        <is>
          <t>Win</t>
        </is>
      </c>
      <c r="N64" s="17">
        <f>IF(M64="Win",IF(F64="Bet",(I64-1)*K64,K64),IF(M64="Loss",IF(F64="Bet",-K64,-(I64-1)*K64),IF(M64="Void",0,"")))</f>
        <v/>
      </c>
      <c r="O64" s="18">
        <f>IF(OR(M64="Win",M64="Loss"),IF(F64="Bet",K64,(I64-1)*K64),"")</f>
        <v/>
      </c>
    </row>
    <row r="65">
      <c r="A65" s="44" t="n">
        <v>46280</v>
      </c>
      <c r="B65" s="45" t="inlineStr">
        <is>
          <t>Wellington</t>
        </is>
      </c>
      <c r="C65" s="21" t="n">
        <v>1</v>
      </c>
      <c r="D65" s="21" t="n">
        <v>5</v>
      </c>
      <c r="E65" s="20" t="inlineStr">
        <is>
          <t>Chamber Of Secrets</t>
        </is>
      </c>
      <c r="F65" s="46" t="inlineStr">
        <is>
          <t>Lay</t>
        </is>
      </c>
      <c r="G65" s="47" t="inlineStr">
        <is>
          <t>Lay</t>
        </is>
      </c>
      <c r="H65" s="48" t="n">
        <v>2.9</v>
      </c>
      <c r="I65" s="48" t="n">
        <v>2</v>
      </c>
      <c r="J65" s="22" t="n">
        <v>-0.1561</v>
      </c>
      <c r="K65" s="49" t="n">
        <v>1</v>
      </c>
      <c r="L65" s="21" t="n">
        <v>2</v>
      </c>
      <c r="M65" s="50" t="inlineStr">
        <is>
          <t>Win</t>
        </is>
      </c>
      <c r="N65" s="23">
        <f>IF(M65="Win",IF(F65="Bet",(I65-1)*K65,K65),IF(M65="Loss",IF(F65="Bet",-K65,-(I65-1)*K65),IF(M65="Void",0,"")))</f>
        <v/>
      </c>
      <c r="O65" s="24">
        <f>IF(OR(M65="Win",M65="Loss"),IF(F65="Bet",K65,(I65-1)*K65),"")</f>
        <v/>
      </c>
    </row>
    <row r="66">
      <c r="A66" s="37" t="n">
        <v>46280</v>
      </c>
      <c r="B66" s="38" t="inlineStr">
        <is>
          <t>Wellington</t>
        </is>
      </c>
      <c r="C66" s="15" t="n">
        <v>4</v>
      </c>
      <c r="D66" s="15" t="n">
        <v>14</v>
      </c>
      <c r="E66" s="14" t="inlineStr">
        <is>
          <t>Cosmic Jinks</t>
        </is>
      </c>
      <c r="F66" s="43" t="inlineStr">
        <is>
          <t>Lay</t>
        </is>
      </c>
      <c r="G66" s="47" t="inlineStr">
        <is>
          <t>Lay</t>
        </is>
      </c>
      <c r="H66" s="41" t="n">
        <v>3.2</v>
      </c>
      <c r="I66" s="41" t="n">
        <v>2.2</v>
      </c>
      <c r="J66" s="16" t="n">
        <v>-0.1389</v>
      </c>
      <c r="K66" s="42" t="n">
        <v>1</v>
      </c>
      <c r="L66" s="15" t="n">
        <v>2</v>
      </c>
      <c r="M66" s="51" t="inlineStr">
        <is>
          <t>Win</t>
        </is>
      </c>
      <c r="N66" s="17">
        <f>IF(M66="Win",IF(F66="Bet",(I66-1)*K66,K66),IF(M66="Loss",IF(F66="Bet",-K66,-(I66-1)*K66),IF(M66="Void",0,"")))</f>
        <v/>
      </c>
      <c r="O66" s="18">
        <f>IF(OR(M66="Win",M66="Loss"),IF(F66="Bet",K66,(I66-1)*K66),"")</f>
        <v/>
      </c>
    </row>
    <row r="67">
      <c r="A67" s="44" t="n">
        <v>46280</v>
      </c>
      <c r="B67" s="45" t="inlineStr">
        <is>
          <t>Wellington</t>
        </is>
      </c>
      <c r="C67" s="21" t="n">
        <v>5</v>
      </c>
      <c r="D67" s="21" t="n">
        <v>4</v>
      </c>
      <c r="E67" s="20" t="inlineStr">
        <is>
          <t>Snow Dog</t>
        </is>
      </c>
      <c r="F67" s="46" t="inlineStr">
        <is>
          <t>Lay</t>
        </is>
      </c>
      <c r="G67" s="47" t="inlineStr">
        <is>
          <t>Lay</t>
        </is>
      </c>
      <c r="H67" s="48" t="n">
        <v>2.55</v>
      </c>
      <c r="I67" s="48" t="n">
        <v>2</v>
      </c>
      <c r="J67" s="22" t="n">
        <v>-0.1082</v>
      </c>
      <c r="K67" s="49" t="n">
        <v>1</v>
      </c>
      <c r="L67" s="21" t="n">
        <v>3</v>
      </c>
      <c r="M67" s="50" t="inlineStr">
        <is>
          <t>Win</t>
        </is>
      </c>
      <c r="N67" s="23">
        <f>IF(M67="Win",IF(F67="Bet",(I67-1)*K67,K67),IF(M67="Loss",IF(F67="Bet",-K67,-(I67-1)*K67),IF(M67="Void",0,"")))</f>
        <v/>
      </c>
      <c r="O67" s="24">
        <f>IF(OR(M67="Win",M67="Loss"),IF(F67="Bet",K67,(I67-1)*K67),"")</f>
        <v/>
      </c>
    </row>
    <row r="68">
      <c r="A68" s="37" t="n">
        <v>46280</v>
      </c>
      <c r="B68" s="38" t="inlineStr">
        <is>
          <t>Wellington</t>
        </is>
      </c>
      <c r="C68" s="15" t="n">
        <v>6</v>
      </c>
      <c r="D68" s="15" t="n">
        <v>4</v>
      </c>
      <c r="E68" s="14" t="inlineStr">
        <is>
          <t>Angie's Sister</t>
        </is>
      </c>
      <c r="F68" s="43" t="inlineStr">
        <is>
          <t>Lay</t>
        </is>
      </c>
      <c r="G68" s="47" t="inlineStr">
        <is>
          <t>Lay</t>
        </is>
      </c>
      <c r="H68" s="41" t="n">
        <v>1.8</v>
      </c>
      <c r="I68" s="41" t="n">
        <v>1.4</v>
      </c>
      <c r="J68" s="16" t="n">
        <v>-0.1578</v>
      </c>
      <c r="K68" s="42" t="n">
        <v>1</v>
      </c>
      <c r="L68" s="15" t="n">
        <v>1</v>
      </c>
      <c r="M68" s="43" t="inlineStr">
        <is>
          <t>Loss</t>
        </is>
      </c>
      <c r="N68" s="17">
        <f>IF(M68="Win",IF(F68="Bet",(I68-1)*K68,K68),IF(M68="Loss",IF(F68="Bet",-K68,-(I68-1)*K68),IF(M68="Void",0,"")))</f>
        <v/>
      </c>
      <c r="O68" s="18">
        <f>IF(OR(M68="Win",M68="Loss"),IF(F68="Bet",K68,(I68-1)*K68),"")</f>
        <v/>
      </c>
    </row>
    <row r="69">
      <c r="A69" s="44" t="n">
        <v>46280</v>
      </c>
      <c r="B69" s="45" t="inlineStr">
        <is>
          <t>Wellington</t>
        </is>
      </c>
      <c r="C69" s="21" t="n">
        <v>8</v>
      </c>
      <c r="D69" s="21" t="n">
        <v>10</v>
      </c>
      <c r="E69" s="20" t="inlineStr">
        <is>
          <t>Hanuman</t>
        </is>
      </c>
      <c r="F69" s="46" t="inlineStr">
        <is>
          <t>Lay</t>
        </is>
      </c>
      <c r="G69" s="47" t="inlineStr">
        <is>
          <t>Lay</t>
        </is>
      </c>
      <c r="H69" s="48" t="n">
        <v>6.8</v>
      </c>
      <c r="I69" s="48" t="n">
        <v>2.83</v>
      </c>
      <c r="J69" s="22" t="n">
        <v>-0.103</v>
      </c>
      <c r="K69" s="49" t="n">
        <v>1</v>
      </c>
      <c r="L69" s="21" t="n">
        <v>1</v>
      </c>
      <c r="M69" s="46" t="inlineStr">
        <is>
          <t>Loss</t>
        </is>
      </c>
      <c r="N69" s="23">
        <f>IF(M69="Win",IF(F69="Bet",(I69-1)*K69,K69),IF(M69="Loss",IF(F69="Bet",-K69,-(I69-1)*K69),IF(M69="Void",0,"")))</f>
        <v/>
      </c>
      <c r="O69" s="24">
        <f>IF(OR(M69="Win",M69="Loss"),IF(F69="Bet",K69,(I69-1)*K69),"")</f>
        <v/>
      </c>
    </row>
    <row r="70">
      <c r="A70" s="37" t="n">
        <v>46280</v>
      </c>
      <c r="B70" s="38" t="inlineStr">
        <is>
          <t>Moruya</t>
        </is>
      </c>
      <c r="C70" s="15" t="n">
        <v>3</v>
      </c>
      <c r="D70" s="15" t="n">
        <v>11</v>
      </c>
      <c r="E70" s="14" t="inlineStr">
        <is>
          <t>Yamashita</t>
        </is>
      </c>
      <c r="F70" s="43" t="inlineStr">
        <is>
          <t>Lay</t>
        </is>
      </c>
      <c r="G70" s="47" t="inlineStr">
        <is>
          <t>Lay</t>
        </is>
      </c>
      <c r="H70" s="41" t="n">
        <v>1.85</v>
      </c>
      <c r="I70" s="41" t="n">
        <v>1.41</v>
      </c>
      <c r="J70" s="16" t="n">
        <v>-0.142</v>
      </c>
      <c r="K70" s="42" t="n">
        <v>1</v>
      </c>
      <c r="L70" s="15" t="n">
        <v>1</v>
      </c>
      <c r="M70" s="43" t="inlineStr">
        <is>
          <t>Loss</t>
        </is>
      </c>
      <c r="N70" s="17">
        <f>IF(M70="Win",IF(F70="Bet",(I70-1)*K70,K70),IF(M70="Loss",IF(F70="Bet",-K70,-(I70-1)*K70),IF(M70="Void",0,"")))</f>
        <v/>
      </c>
      <c r="O70" s="18">
        <f>IF(OR(M70="Win",M70="Loss"),IF(F70="Bet",K70,(I70-1)*K70),"")</f>
        <v/>
      </c>
    </row>
    <row r="71">
      <c r="A71" s="44" t="n">
        <v>46280</v>
      </c>
      <c r="B71" s="45" t="inlineStr">
        <is>
          <t>Moruya</t>
        </is>
      </c>
      <c r="C71" s="21" t="n">
        <v>4</v>
      </c>
      <c r="D71" s="21" t="n">
        <v>8</v>
      </c>
      <c r="E71" s="20" t="inlineStr">
        <is>
          <t>Restless Spirit</t>
        </is>
      </c>
      <c r="F71" s="46" t="inlineStr">
        <is>
          <t>Lay</t>
        </is>
      </c>
      <c r="G71" s="47" t="inlineStr">
        <is>
          <t>Lay</t>
        </is>
      </c>
      <c r="H71" s="48" t="n">
        <v>3.4</v>
      </c>
      <c r="I71" s="48" t="n">
        <v>2.45</v>
      </c>
      <c r="J71" s="22" t="n">
        <v>-0.1144</v>
      </c>
      <c r="K71" s="49" t="n">
        <v>1</v>
      </c>
      <c r="L71" s="21" t="n">
        <v>1</v>
      </c>
      <c r="M71" s="46" t="inlineStr">
        <is>
          <t>Loss</t>
        </is>
      </c>
      <c r="N71" s="23">
        <f>IF(M71="Win",IF(F71="Bet",(I71-1)*K71,K71),IF(M71="Loss",IF(F71="Bet",-K71,-(I71-1)*K71),IF(M71="Void",0,"")))</f>
        <v/>
      </c>
      <c r="O71" s="24">
        <f>IF(OR(M71="Win",M71="Loss"),IF(F71="Bet",K71,(I71-1)*K71),"")</f>
        <v/>
      </c>
    </row>
    <row r="72">
      <c r="A72" s="37" t="n">
        <v>46280</v>
      </c>
      <c r="B72" s="38" t="inlineStr">
        <is>
          <t>Bowen</t>
        </is>
      </c>
      <c r="C72" s="15" t="n">
        <v>1</v>
      </c>
      <c r="D72" s="15" t="n">
        <v>1</v>
      </c>
      <c r="E72" s="14" t="inlineStr">
        <is>
          <t>Touch Base</t>
        </is>
      </c>
      <c r="F72" s="43" t="inlineStr">
        <is>
          <t>Lay</t>
        </is>
      </c>
      <c r="G72" s="47" t="inlineStr">
        <is>
          <t>Lay</t>
        </is>
      </c>
      <c r="H72" s="41" t="n">
        <v>3.4</v>
      </c>
      <c r="I72" s="41" t="n">
        <v>2.25</v>
      </c>
      <c r="J72" s="16" t="n">
        <v>-0.1462</v>
      </c>
      <c r="K72" s="42" t="n">
        <v>1</v>
      </c>
      <c r="L72" s="15" t="n">
        <v>1</v>
      </c>
      <c r="M72" s="43" t="inlineStr">
        <is>
          <t>Loss</t>
        </is>
      </c>
      <c r="N72" s="17">
        <f>IF(M72="Win",IF(F72="Bet",(I72-1)*K72,K72),IF(M72="Loss",IF(F72="Bet",-K72,-(I72-1)*K72),IF(M72="Void",0,"")))</f>
        <v/>
      </c>
      <c r="O72" s="18">
        <f>IF(OR(M72="Win",M72="Loss"),IF(F72="Bet",K72,(I72-1)*K72),"")</f>
        <v/>
      </c>
    </row>
    <row r="73">
      <c r="A73" s="44" t="n">
        <v>46280</v>
      </c>
      <c r="B73" s="45" t="inlineStr">
        <is>
          <t>Bowen</t>
        </is>
      </c>
      <c r="C73" s="21" t="n">
        <v>2</v>
      </c>
      <c r="D73" s="21" t="n">
        <v>2</v>
      </c>
      <c r="E73" s="20" t="inlineStr">
        <is>
          <t>Faraway Downs</t>
        </is>
      </c>
      <c r="F73" s="46" t="inlineStr">
        <is>
          <t>Lay</t>
        </is>
      </c>
      <c r="G73" s="47" t="inlineStr">
        <is>
          <t>Lay</t>
        </is>
      </c>
      <c r="H73" s="48" t="n">
        <v>2.2</v>
      </c>
      <c r="I73" s="48" t="n">
        <v>1.65</v>
      </c>
      <c r="J73" s="22" t="n">
        <v>-0.1555</v>
      </c>
      <c r="K73" s="49" t="n">
        <v>1</v>
      </c>
      <c r="L73" s="21" t="n">
        <v>1</v>
      </c>
      <c r="M73" s="46" t="inlineStr">
        <is>
          <t>Loss</t>
        </is>
      </c>
      <c r="N73" s="23">
        <f>IF(M73="Win",IF(F73="Bet",(I73-1)*K73,K73),IF(M73="Loss",IF(F73="Bet",-K73,-(I73-1)*K73),IF(M73="Void",0,"")))</f>
        <v/>
      </c>
      <c r="O73" s="24">
        <f>IF(OR(M73="Win",M73="Loss"),IF(F73="Bet",K73,(I73-1)*K73),"")</f>
        <v/>
      </c>
    </row>
    <row r="74">
      <c r="A74" s="37" t="n">
        <v>46280</v>
      </c>
      <c r="B74" s="38" t="inlineStr">
        <is>
          <t>Bowen</t>
        </is>
      </c>
      <c r="C74" s="15" t="n">
        <v>5</v>
      </c>
      <c r="D74" s="15" t="n">
        <v>7</v>
      </c>
      <c r="E74" s="14" t="inlineStr">
        <is>
          <t>Pulsating</t>
        </is>
      </c>
      <c r="F74" s="43" t="inlineStr">
        <is>
          <t>Lay</t>
        </is>
      </c>
      <c r="G74" s="47" t="inlineStr">
        <is>
          <t>Lay</t>
        </is>
      </c>
      <c r="H74" s="41" t="n">
        <v>2.65</v>
      </c>
      <c r="I74" s="41" t="n">
        <v>1.95</v>
      </c>
      <c r="J74" s="16" t="n">
        <v>-0.1321</v>
      </c>
      <c r="K74" s="42" t="n">
        <v>1</v>
      </c>
      <c r="L74" s="15" t="n">
        <v>2</v>
      </c>
      <c r="M74" s="51" t="inlineStr">
        <is>
          <t>Win</t>
        </is>
      </c>
      <c r="N74" s="17">
        <f>IF(M74="Win",IF(F74="Bet",(I74-1)*K74,K74),IF(M74="Loss",IF(F74="Bet",-K74,-(I74-1)*K74),IF(M74="Void",0,"")))</f>
        <v/>
      </c>
      <c r="O74" s="18">
        <f>IF(OR(M74="Win",M74="Loss"),IF(F74="Bet",K74,(I74-1)*K74),"")</f>
        <v/>
      </c>
    </row>
    <row r="75">
      <c r="A75" s="44" t="n">
        <v>46280</v>
      </c>
      <c r="B75" s="45" t="inlineStr">
        <is>
          <t>Bowen</t>
        </is>
      </c>
      <c r="C75" s="21" t="n">
        <v>7</v>
      </c>
      <c r="D75" s="21" t="n">
        <v>10</v>
      </c>
      <c r="E75" s="20" t="inlineStr">
        <is>
          <t>Next Stop Jupiter</t>
        </is>
      </c>
      <c r="F75" s="46" t="inlineStr">
        <is>
          <t>Lay</t>
        </is>
      </c>
      <c r="G75" s="47" t="inlineStr">
        <is>
          <t>Lay</t>
        </is>
      </c>
      <c r="H75" s="48" t="n">
        <v>4</v>
      </c>
      <c r="I75" s="48" t="n">
        <v>2.5</v>
      </c>
      <c r="J75" s="22" t="n">
        <v>-0.1509</v>
      </c>
      <c r="K75" s="49" t="n">
        <v>1</v>
      </c>
      <c r="L75" s="21" t="n">
        <v>2</v>
      </c>
      <c r="M75" s="50" t="inlineStr">
        <is>
          <t>Win</t>
        </is>
      </c>
      <c r="N75" s="23">
        <f>IF(M75="Win",IF(F75="Bet",(I75-1)*K75,K75),IF(M75="Loss",IF(F75="Bet",-K75,-(I75-1)*K75),IF(M75="Void",0,"")))</f>
        <v/>
      </c>
      <c r="O75" s="24">
        <f>IF(OR(M75="Win",M75="Loss"),IF(F75="Bet",K75,(I75-1)*K75),"")</f>
        <v/>
      </c>
    </row>
    <row r="76">
      <c r="A76" s="37" t="n">
        <v>46280</v>
      </c>
      <c r="B76" s="38" t="inlineStr">
        <is>
          <t>Wodonga</t>
        </is>
      </c>
      <c r="C76" s="15" t="n">
        <v>1</v>
      </c>
      <c r="D76" s="15" t="n">
        <v>10</v>
      </c>
      <c r="E76" s="14" t="inlineStr">
        <is>
          <t>Daring Prince</t>
        </is>
      </c>
      <c r="F76" s="43" t="inlineStr">
        <is>
          <t>Lay</t>
        </is>
      </c>
      <c r="G76" s="47" t="inlineStr">
        <is>
          <t>Lay</t>
        </is>
      </c>
      <c r="H76" s="41" t="n">
        <v>3.8</v>
      </c>
      <c r="I76" s="41" t="n">
        <v>2.5</v>
      </c>
      <c r="J76" s="16" t="n">
        <v>-0.1399</v>
      </c>
      <c r="K76" s="42" t="n">
        <v>1</v>
      </c>
      <c r="L76" s="15" t="n">
        <v>3</v>
      </c>
      <c r="M76" s="51" t="inlineStr">
        <is>
          <t>Win</t>
        </is>
      </c>
      <c r="N76" s="17">
        <f>IF(M76="Win",IF(F76="Bet",(I76-1)*K76,K76),IF(M76="Loss",IF(F76="Bet",-K76,-(I76-1)*K76),IF(M76="Void",0,"")))</f>
        <v/>
      </c>
      <c r="O76" s="18">
        <f>IF(OR(M76="Win",M76="Loss"),IF(F76="Bet",K76,(I76-1)*K76),"")</f>
        <v/>
      </c>
    </row>
    <row r="77">
      <c r="A77" s="44" t="n">
        <v>46280</v>
      </c>
      <c r="B77" s="45" t="inlineStr">
        <is>
          <t>Wodonga</t>
        </is>
      </c>
      <c r="C77" s="21" t="n">
        <v>2</v>
      </c>
      <c r="D77" s="21" t="n">
        <v>14</v>
      </c>
      <c r="E77" s="20" t="inlineStr">
        <is>
          <t>Tommy's Lass</t>
        </is>
      </c>
      <c r="F77" s="46" t="inlineStr">
        <is>
          <t>Lay</t>
        </is>
      </c>
      <c r="G77" s="47" t="inlineStr">
        <is>
          <t>Lay</t>
        </is>
      </c>
      <c r="H77" s="48" t="n">
        <v>2.05</v>
      </c>
      <c r="I77" s="48" t="n">
        <v>1.65</v>
      </c>
      <c r="J77" s="22" t="n">
        <v>-0.122</v>
      </c>
      <c r="K77" s="49" t="n">
        <v>1</v>
      </c>
      <c r="L77" s="21" t="n">
        <v>2</v>
      </c>
      <c r="M77" s="50" t="inlineStr">
        <is>
          <t>Win</t>
        </is>
      </c>
      <c r="N77" s="23">
        <f>IF(M77="Win",IF(F77="Bet",(I77-1)*K77,K77),IF(M77="Loss",IF(F77="Bet",-K77,-(I77-1)*K77),IF(M77="Void",0,"")))</f>
        <v/>
      </c>
      <c r="O77" s="24">
        <f>IF(OR(M77="Win",M77="Loss"),IF(F77="Bet",K77,(I77-1)*K77),"")</f>
        <v/>
      </c>
    </row>
    <row r="78">
      <c r="A78" s="37" t="n">
        <v>46280</v>
      </c>
      <c r="B78" s="38" t="inlineStr">
        <is>
          <t>Wodonga</t>
        </is>
      </c>
      <c r="C78" s="15" t="n">
        <v>4</v>
      </c>
      <c r="D78" s="15" t="n">
        <v>9</v>
      </c>
      <c r="E78" s="14" t="inlineStr">
        <is>
          <t>Koolatah Queen</t>
        </is>
      </c>
      <c r="F78" s="43" t="inlineStr">
        <is>
          <t>Lay</t>
        </is>
      </c>
      <c r="G78" s="47" t="inlineStr">
        <is>
          <t>Lay</t>
        </is>
      </c>
      <c r="H78" s="41" t="n">
        <v>4.4</v>
      </c>
      <c r="I78" s="41" t="n">
        <v>2.7</v>
      </c>
      <c r="J78" s="16" t="n">
        <v>-0.1406</v>
      </c>
      <c r="K78" s="42" t="n">
        <v>1</v>
      </c>
      <c r="L78" s="15" t="n">
        <v>4</v>
      </c>
      <c r="M78" s="51" t="inlineStr">
        <is>
          <t>Win</t>
        </is>
      </c>
      <c r="N78" s="17">
        <f>IF(M78="Win",IF(F78="Bet",(I78-1)*K78,K78),IF(M78="Loss",IF(F78="Bet",-K78,-(I78-1)*K78),IF(M78="Void",0,"")))</f>
        <v/>
      </c>
      <c r="O78" s="18">
        <f>IF(OR(M78="Win",M78="Loss"),IF(F78="Bet",K78,(I78-1)*K78),"")</f>
        <v/>
      </c>
    </row>
    <row r="79">
      <c r="A79" s="44" t="n">
        <v>46280</v>
      </c>
      <c r="B79" s="45" t="inlineStr">
        <is>
          <t>Wodonga</t>
        </is>
      </c>
      <c r="C79" s="21" t="n">
        <v>5</v>
      </c>
      <c r="D79" s="21" t="n">
        <v>2</v>
      </c>
      <c r="E79" s="20" t="inlineStr">
        <is>
          <t>Aka Daka</t>
        </is>
      </c>
      <c r="F79" s="46" t="inlineStr">
        <is>
          <t>Lay</t>
        </is>
      </c>
      <c r="G79" s="47" t="inlineStr">
        <is>
          <t>Lay</t>
        </is>
      </c>
      <c r="H79" s="48" t="n">
        <v>3.2</v>
      </c>
      <c r="I79" s="48" t="n">
        <v>2.35</v>
      </c>
      <c r="J79" s="22" t="n">
        <v>-0.1125</v>
      </c>
      <c r="K79" s="49" t="n">
        <v>1</v>
      </c>
      <c r="L79" s="21" t="n">
        <v>1</v>
      </c>
      <c r="M79" s="46" t="inlineStr">
        <is>
          <t>Loss</t>
        </is>
      </c>
      <c r="N79" s="23">
        <f>IF(M79="Win",IF(F79="Bet",(I79-1)*K79,K79),IF(M79="Loss",IF(F79="Bet",-K79,-(I79-1)*K79),IF(M79="Void",0,"")))</f>
        <v/>
      </c>
      <c r="O79" s="24">
        <f>IF(OR(M79="Win",M79="Loss"),IF(F79="Bet",K79,(I79-1)*K79),"")</f>
        <v/>
      </c>
    </row>
    <row r="80">
      <c r="A80" s="37" t="n">
        <v>46280</v>
      </c>
      <c r="B80" s="38" t="inlineStr">
        <is>
          <t>Wodonga</t>
        </is>
      </c>
      <c r="C80" s="15" t="n">
        <v>7</v>
      </c>
      <c r="D80" s="15" t="n">
        <v>5</v>
      </c>
      <c r="E80" s="14" t="inlineStr">
        <is>
          <t>Yellowknife</t>
        </is>
      </c>
      <c r="F80" s="43" t="inlineStr">
        <is>
          <t>Lay</t>
        </is>
      </c>
      <c r="G80" s="47" t="inlineStr">
        <is>
          <t>Lay</t>
        </is>
      </c>
      <c r="H80" s="41" t="n">
        <v>6.5</v>
      </c>
      <c r="I80" s="41" t="n">
        <v>3.8</v>
      </c>
      <c r="J80" s="16" t="n">
        <v>-0.1092</v>
      </c>
      <c r="K80" s="42" t="n">
        <v>1</v>
      </c>
      <c r="L80" s="15" t="n">
        <v>2</v>
      </c>
      <c r="M80" s="51" t="inlineStr">
        <is>
          <t>Win</t>
        </is>
      </c>
      <c r="N80" s="17">
        <f>IF(M80="Win",IF(F80="Bet",(I80-1)*K80,K80),IF(M80="Loss",IF(F80="Bet",-K80,-(I80-1)*K80),IF(M80="Void",0,"")))</f>
        <v/>
      </c>
      <c r="O80" s="18">
        <f>IF(OR(M80="Win",M80="Loss"),IF(F80="Bet",K80,(I80-1)*K80),"")</f>
        <v/>
      </c>
    </row>
    <row r="81">
      <c r="A81" s="44" t="n">
        <v>46281</v>
      </c>
      <c r="B81" s="45" t="inlineStr">
        <is>
          <t>Caulfield Heath</t>
        </is>
      </c>
      <c r="C81" s="21" t="n">
        <v>5</v>
      </c>
      <c r="D81" s="21" t="n">
        <v>8</v>
      </c>
      <c r="E81" s="20" t="inlineStr">
        <is>
          <t>Killenaule</t>
        </is>
      </c>
      <c r="F81" s="46" t="inlineStr">
        <is>
          <t>Lay</t>
        </is>
      </c>
      <c r="G81" s="47" t="inlineStr">
        <is>
          <t>Lay</t>
        </is>
      </c>
      <c r="H81" s="48" t="n">
        <v>2.8</v>
      </c>
      <c r="I81" s="48" t="n">
        <v>1.85</v>
      </c>
      <c r="J81" s="22" t="n">
        <v>-0.166</v>
      </c>
      <c r="K81" s="49" t="n">
        <v>1</v>
      </c>
      <c r="L81" s="21" t="n">
        <v>2</v>
      </c>
      <c r="M81" s="50" t="inlineStr">
        <is>
          <t>Win</t>
        </is>
      </c>
      <c r="N81" s="23">
        <f>IF(M81="Win",IF(F81="Bet",(I81-1)*K81,K81),IF(M81="Loss",IF(F81="Bet",-K81,-(I81-1)*K81),IF(M81="Void",0,"")))</f>
        <v/>
      </c>
      <c r="O81" s="24">
        <f>IF(OR(M81="Win",M81="Loss"),IF(F81="Bet",K81,(I81-1)*K81),"")</f>
        <v/>
      </c>
    </row>
    <row r="82">
      <c r="A82" s="37" t="n">
        <v>46281</v>
      </c>
      <c r="B82" s="38" t="inlineStr">
        <is>
          <t>Doomben</t>
        </is>
      </c>
      <c r="C82" s="15" t="n">
        <v>2</v>
      </c>
      <c r="D82" s="15" t="n">
        <v>9</v>
      </c>
      <c r="E82" s="14" t="inlineStr">
        <is>
          <t>Cedrela</t>
        </is>
      </c>
      <c r="F82" s="43" t="inlineStr">
        <is>
          <t>Lay</t>
        </is>
      </c>
      <c r="G82" s="47" t="inlineStr">
        <is>
          <t>Lay</t>
        </is>
      </c>
      <c r="H82" s="41" t="n">
        <v>5.8</v>
      </c>
      <c r="I82" s="41" t="n">
        <v>2.55</v>
      </c>
      <c r="J82" s="16" t="n">
        <v>-0.1402</v>
      </c>
      <c r="K82" s="42" t="n">
        <v>1</v>
      </c>
      <c r="L82" s="15" t="n">
        <v>4</v>
      </c>
      <c r="M82" s="51" t="inlineStr">
        <is>
          <t>Win</t>
        </is>
      </c>
      <c r="N82" s="17">
        <f>IF(M82="Win",IF(F82="Bet",(I82-1)*K82,K82),IF(M82="Loss",IF(F82="Bet",-K82,-(I82-1)*K82),IF(M82="Void",0,"")))</f>
        <v/>
      </c>
      <c r="O82" s="18">
        <f>IF(OR(M82="Win",M82="Loss"),IF(F82="Bet",K82,(I82-1)*K82),"")</f>
        <v/>
      </c>
    </row>
    <row r="83">
      <c r="A83" s="44" t="n">
        <v>46281</v>
      </c>
      <c r="B83" s="45" t="inlineStr">
        <is>
          <t>Caulfield Heath</t>
        </is>
      </c>
      <c r="C83" s="21" t="n">
        <v>6</v>
      </c>
      <c r="D83" s="21" t="n">
        <v>11</v>
      </c>
      <c r="E83" s="20" t="inlineStr">
        <is>
          <t>Cabriole</t>
        </is>
      </c>
      <c r="F83" s="46" t="inlineStr">
        <is>
          <t>Lay</t>
        </is>
      </c>
      <c r="G83" s="47" t="inlineStr">
        <is>
          <t>Lay</t>
        </is>
      </c>
      <c r="H83" s="48" t="n">
        <v>4.3</v>
      </c>
      <c r="I83" s="48" t="n">
        <v>2.15</v>
      </c>
      <c r="J83" s="22" t="n">
        <v>-0.2047</v>
      </c>
      <c r="K83" s="49" t="n">
        <v>1</v>
      </c>
      <c r="L83" s="21" t="n">
        <v>1</v>
      </c>
      <c r="M83" s="46" t="inlineStr">
        <is>
          <t>Loss</t>
        </is>
      </c>
      <c r="N83" s="23">
        <f>IF(M83="Win",IF(F83="Bet",(I83-1)*K83,K83),IF(M83="Loss",IF(F83="Bet",-K83,-(I83-1)*K83),IF(M83="Void",0,"")))</f>
        <v/>
      </c>
      <c r="O83" s="24">
        <f>IF(OR(M83="Win",M83="Loss"),IF(F83="Bet",K83,(I83-1)*K83),"")</f>
        <v/>
      </c>
    </row>
    <row r="84">
      <c r="A84" s="37" t="n">
        <v>46281</v>
      </c>
      <c r="B84" s="38" t="inlineStr">
        <is>
          <t>Belmont</t>
        </is>
      </c>
      <c r="C84" s="15" t="n">
        <v>2</v>
      </c>
      <c r="D84" s="15" t="n">
        <v>10</v>
      </c>
      <c r="E84" s="14" t="inlineStr">
        <is>
          <t>Treasured Legacy</t>
        </is>
      </c>
      <c r="F84" s="43" t="inlineStr">
        <is>
          <t>Lay</t>
        </is>
      </c>
      <c r="G84" s="47" t="inlineStr">
        <is>
          <t>Lay</t>
        </is>
      </c>
      <c r="H84" s="41" t="n">
        <v>5.3</v>
      </c>
      <c r="I84" s="41" t="n">
        <v>1.6</v>
      </c>
      <c r="J84" s="16" t="n">
        <v>-0.3981</v>
      </c>
      <c r="K84" s="42" t="n">
        <v>1</v>
      </c>
      <c r="L84" s="15" t="n">
        <v>1</v>
      </c>
      <c r="M84" s="43" t="inlineStr">
        <is>
          <t>Loss</t>
        </is>
      </c>
      <c r="N84" s="17">
        <f>IF(M84="Win",IF(F84="Bet",(I84-1)*K84,K84),IF(M84="Loss",IF(F84="Bet",-K84,-(I84-1)*K84),IF(M84="Void",0,"")))</f>
        <v/>
      </c>
      <c r="O84" s="18">
        <f>IF(OR(M84="Win",M84="Loss"),IF(F84="Bet",K84,(I84-1)*K84),"")</f>
        <v/>
      </c>
    </row>
    <row r="85">
      <c r="A85" s="44" t="n">
        <v>46281</v>
      </c>
      <c r="B85" s="45" t="inlineStr">
        <is>
          <t>Balaklava</t>
        </is>
      </c>
      <c r="C85" s="21" t="n">
        <v>9</v>
      </c>
      <c r="D85" s="21" t="n">
        <v>11</v>
      </c>
      <c r="E85" s="20" t="inlineStr">
        <is>
          <t>Cicala</t>
        </is>
      </c>
      <c r="F85" s="46" t="inlineStr">
        <is>
          <t>Lay</t>
        </is>
      </c>
      <c r="G85" s="47" t="inlineStr">
        <is>
          <t>Lay</t>
        </is>
      </c>
      <c r="H85" s="48" t="n">
        <v>7.1</v>
      </c>
      <c r="I85" s="48" t="n">
        <v>3</v>
      </c>
      <c r="J85" s="22" t="n">
        <v>-0.1823</v>
      </c>
      <c r="K85" s="49" t="n">
        <v>1</v>
      </c>
      <c r="L85" s="21" t="n">
        <v>4</v>
      </c>
      <c r="M85" s="50" t="inlineStr">
        <is>
          <t>Win</t>
        </is>
      </c>
      <c r="N85" s="23">
        <f>IF(M85="Win",IF(F85="Bet",(I85-1)*K85,K85),IF(M85="Loss",IF(F85="Bet",-K85,-(I85-1)*K85),IF(M85="Void",0,"")))</f>
        <v/>
      </c>
      <c r="O85" s="24">
        <f>IF(OR(M85="Win",M85="Loss"),IF(F85="Bet",K85,(I85-1)*K85),"")</f>
        <v/>
      </c>
    </row>
    <row r="86">
      <c r="A86" s="37" t="n">
        <v>46281</v>
      </c>
      <c r="B86" s="38" t="inlineStr">
        <is>
          <t>Caulfield Heath</t>
        </is>
      </c>
      <c r="C86" s="15" t="n">
        <v>7</v>
      </c>
      <c r="D86" s="15" t="n">
        <v>8</v>
      </c>
      <c r="E86" s="14" t="inlineStr">
        <is>
          <t>In'kantosstar</t>
        </is>
      </c>
      <c r="F86" s="43" t="inlineStr">
        <is>
          <t>Lay</t>
        </is>
      </c>
      <c r="G86" s="47" t="inlineStr">
        <is>
          <t>Lay</t>
        </is>
      </c>
      <c r="H86" s="41" t="n">
        <v>3.4</v>
      </c>
      <c r="I86" s="41" t="n">
        <v>1.55</v>
      </c>
      <c r="J86" s="16" t="n">
        <v>-0.274</v>
      </c>
      <c r="K86" s="42" t="n">
        <v>1</v>
      </c>
      <c r="L86" s="15" t="n">
        <v>1</v>
      </c>
      <c r="M86" s="43" t="inlineStr">
        <is>
          <t>Loss</t>
        </is>
      </c>
      <c r="N86" s="17">
        <f>IF(M86="Win",IF(F86="Bet",(I86-1)*K86,K86),IF(M86="Loss",IF(F86="Bet",-K86,-(I86-1)*K86),IF(M86="Void",0,"")))</f>
        <v/>
      </c>
      <c r="O86" s="18">
        <f>IF(OR(M86="Win",M86="Loss"),IF(F86="Bet",K86,(I86-1)*K86),"")</f>
        <v/>
      </c>
    </row>
    <row r="87">
      <c r="A87" s="44" t="n">
        <v>46281</v>
      </c>
      <c r="B87" s="45" t="inlineStr">
        <is>
          <t>Balaklava</t>
        </is>
      </c>
      <c r="C87" s="21" t="n">
        <v>4</v>
      </c>
      <c r="D87" s="21" t="n">
        <v>9</v>
      </c>
      <c r="E87" s="20" t="inlineStr">
        <is>
          <t>Canny Miss</t>
        </is>
      </c>
      <c r="F87" s="46" t="inlineStr">
        <is>
          <t>Lay</t>
        </is>
      </c>
      <c r="G87" s="47" t="inlineStr">
        <is>
          <t>Lay</t>
        </is>
      </c>
      <c r="H87" s="48" t="n">
        <v>7.5</v>
      </c>
      <c r="I87" s="48" t="n">
        <v>3.4</v>
      </c>
      <c r="J87" s="22" t="n">
        <v>-0.153</v>
      </c>
      <c r="K87" s="49" t="n">
        <v>1</v>
      </c>
      <c r="L87" s="21" t="n">
        <v>1</v>
      </c>
      <c r="M87" s="46" t="inlineStr">
        <is>
          <t>Loss</t>
        </is>
      </c>
      <c r="N87" s="23">
        <f>IF(M87="Win",IF(F87="Bet",(I87-1)*K87,K87),IF(M87="Loss",IF(F87="Bet",-K87,-(I87-1)*K87),IF(M87="Void",0,"")))</f>
        <v/>
      </c>
      <c r="O87" s="24">
        <f>IF(OR(M87="Win",M87="Loss"),IF(F87="Bet",K87,(I87-1)*K87),"")</f>
        <v/>
      </c>
    </row>
    <row r="88">
      <c r="A88" s="37" t="n">
        <v>46281</v>
      </c>
      <c r="B88" s="38" t="inlineStr">
        <is>
          <t>Canterbury</t>
        </is>
      </c>
      <c r="C88" s="15" t="n">
        <v>5</v>
      </c>
      <c r="D88" s="15" t="n">
        <v>2</v>
      </c>
      <c r="E88" s="14" t="inlineStr">
        <is>
          <t>Fierce</t>
        </is>
      </c>
      <c r="F88" s="43" t="inlineStr">
        <is>
          <t>Lay</t>
        </is>
      </c>
      <c r="G88" s="47" t="inlineStr">
        <is>
          <t>Lay</t>
        </is>
      </c>
      <c r="H88" s="41" t="n">
        <v>4</v>
      </c>
      <c r="I88" s="41" t="n">
        <v>2.25</v>
      </c>
      <c r="J88" s="16" t="n">
        <v>-0.1497</v>
      </c>
      <c r="K88" s="42" t="n">
        <v>1</v>
      </c>
      <c r="L88" s="15" t="n">
        <v>2</v>
      </c>
      <c r="M88" s="51" t="inlineStr">
        <is>
          <t>Win</t>
        </is>
      </c>
      <c r="N88" s="17">
        <f>IF(M88="Win",IF(F88="Bet",(I88-1)*K88,K88),IF(M88="Loss",IF(F88="Bet",-K88,-(I88-1)*K88),IF(M88="Void",0,"")))</f>
        <v/>
      </c>
      <c r="O88" s="18">
        <f>IF(OR(M88="Win",M88="Loss"),IF(F88="Bet",K88,(I88-1)*K88),"")</f>
        <v/>
      </c>
    </row>
    <row r="89">
      <c r="A89" s="44" t="n">
        <v>46281</v>
      </c>
      <c r="B89" s="45" t="inlineStr">
        <is>
          <t>Doomben</t>
        </is>
      </c>
      <c r="C89" s="21" t="n">
        <v>1</v>
      </c>
      <c r="D89" s="21" t="n">
        <v>7</v>
      </c>
      <c r="E89" s="20" t="inlineStr">
        <is>
          <t>Oregon Coast</t>
        </is>
      </c>
      <c r="F89" s="46" t="inlineStr">
        <is>
          <t>Lay</t>
        </is>
      </c>
      <c r="G89" s="47" t="inlineStr">
        <is>
          <t>Lay</t>
        </is>
      </c>
      <c r="H89" s="48" t="n">
        <v>2.8</v>
      </c>
      <c r="I89" s="48" t="n">
        <v>1.6</v>
      </c>
      <c r="J89" s="22" t="n">
        <v>-0.3115</v>
      </c>
      <c r="K89" s="49" t="n">
        <v>1</v>
      </c>
      <c r="L89" s="21" t="n">
        <v>9</v>
      </c>
      <c r="M89" s="50" t="inlineStr">
        <is>
          <t>Win</t>
        </is>
      </c>
      <c r="N89" s="23">
        <f>IF(M89="Win",IF(F89="Bet",(I89-1)*K89,K89),IF(M89="Loss",IF(F89="Bet",-K89,-(I89-1)*K89),IF(M89="Void",0,"")))</f>
        <v/>
      </c>
      <c r="O89" s="24">
        <f>IF(OR(M89="Win",M89="Loss"),IF(F89="Bet",K89,(I89-1)*K89),"")</f>
        <v/>
      </c>
    </row>
    <row r="90">
      <c r="A90" s="37" t="n">
        <v>46281</v>
      </c>
      <c r="B90" s="38" t="inlineStr">
        <is>
          <t>Balaklava</t>
        </is>
      </c>
      <c r="C90" s="15" t="n">
        <v>1</v>
      </c>
      <c r="D90" s="15" t="n">
        <v>2</v>
      </c>
      <c r="E90" s="14" t="inlineStr">
        <is>
          <t>Tikkamos</t>
        </is>
      </c>
      <c r="F90" s="43" t="inlineStr">
        <is>
          <t>Lay</t>
        </is>
      </c>
      <c r="G90" s="47" t="inlineStr">
        <is>
          <t>Lay</t>
        </is>
      </c>
      <c r="H90" s="41" t="n">
        <v>5.5</v>
      </c>
      <c r="I90" s="41" t="n">
        <v>2.01</v>
      </c>
      <c r="J90" s="16" t="n">
        <v>-0.2346</v>
      </c>
      <c r="K90" s="42" t="n">
        <v>1</v>
      </c>
      <c r="L90" s="15" t="n">
        <v>1</v>
      </c>
      <c r="M90" s="43" t="inlineStr">
        <is>
          <t>Loss</t>
        </is>
      </c>
      <c r="N90" s="17">
        <f>IF(M90="Win",IF(F90="Bet",(I90-1)*K90,K90),IF(M90="Loss",IF(F90="Bet",-K90,-(I90-1)*K90),IF(M90="Void",0,"")))</f>
        <v/>
      </c>
      <c r="O90" s="18">
        <f>IF(OR(M90="Win",M90="Loss"),IF(F90="Bet",K90,(I90-1)*K90),"")</f>
        <v/>
      </c>
    </row>
    <row r="91">
      <c r="A91" s="44" t="n">
        <v>46281</v>
      </c>
      <c r="B91" s="45" t="inlineStr">
        <is>
          <t>Doomben</t>
        </is>
      </c>
      <c r="C91" s="21" t="n">
        <v>7</v>
      </c>
      <c r="D91" s="21" t="n">
        <v>6</v>
      </c>
      <c r="E91" s="20" t="inlineStr">
        <is>
          <t>Don'tcha Luv'er</t>
        </is>
      </c>
      <c r="F91" s="46" t="inlineStr">
        <is>
          <t>Lay</t>
        </is>
      </c>
      <c r="G91" s="47" t="inlineStr">
        <is>
          <t>Lay</t>
        </is>
      </c>
      <c r="H91" s="48" t="n">
        <v>4.5</v>
      </c>
      <c r="I91" s="48" t="n">
        <v>1.95</v>
      </c>
      <c r="J91" s="22" t="n">
        <v>-0.1611</v>
      </c>
      <c r="K91" s="49" t="n">
        <v>1</v>
      </c>
      <c r="L91" s="21" t="n">
        <v>8</v>
      </c>
      <c r="M91" s="50" t="inlineStr">
        <is>
          <t>Win</t>
        </is>
      </c>
      <c r="N91" s="23">
        <f>IF(M91="Win",IF(F91="Bet",(I91-1)*K91,K91),IF(M91="Loss",IF(F91="Bet",-K91,-(I91-1)*K91),IF(M91="Void",0,"")))</f>
        <v/>
      </c>
      <c r="O91" s="24">
        <f>IF(OR(M91="Win",M91="Loss"),IF(F91="Bet",K91,(I91-1)*K91),"")</f>
        <v/>
      </c>
    </row>
    <row r="92">
      <c r="A92" s="37" t="n">
        <v>46281</v>
      </c>
      <c r="B92" s="38" t="inlineStr">
        <is>
          <t>Canterbury</t>
        </is>
      </c>
      <c r="C92" s="15" t="n">
        <v>6</v>
      </c>
      <c r="D92" s="15" t="n">
        <v>5</v>
      </c>
      <c r="E92" s="14" t="inlineStr">
        <is>
          <t>Taxation</t>
        </is>
      </c>
      <c r="F92" s="43" t="inlineStr">
        <is>
          <t>Lay</t>
        </is>
      </c>
      <c r="G92" s="47" t="inlineStr">
        <is>
          <t>Lay</t>
        </is>
      </c>
      <c r="H92" s="41" t="n">
        <v>2.55</v>
      </c>
      <c r="I92" s="41" t="n">
        <v>1.51</v>
      </c>
      <c r="J92" s="16" t="n">
        <v>-0.1608</v>
      </c>
      <c r="K92" s="42" t="n">
        <v>1</v>
      </c>
      <c r="L92" s="15" t="n">
        <v>2</v>
      </c>
      <c r="M92" s="51" t="inlineStr">
        <is>
          <t>Win</t>
        </is>
      </c>
      <c r="N92" s="17">
        <f>IF(M92="Win",IF(F92="Bet",(I92-1)*K92,K92),IF(M92="Loss",IF(F92="Bet",-K92,-(I92-1)*K92),IF(M92="Void",0,"")))</f>
        <v/>
      </c>
      <c r="O92" s="18">
        <f>IF(OR(M92="Win",M92="Loss"),IF(F92="Bet",K92,(I92-1)*K92),"")</f>
        <v/>
      </c>
    </row>
    <row r="93">
      <c r="A93" s="44" t="n">
        <v>46281</v>
      </c>
      <c r="B93" s="45" t="inlineStr">
        <is>
          <t>Belmont</t>
        </is>
      </c>
      <c r="C93" s="21" t="n">
        <v>4</v>
      </c>
      <c r="D93" s="21" t="n">
        <v>5</v>
      </c>
      <c r="E93" s="20" t="inlineStr">
        <is>
          <t>Cheeto</t>
        </is>
      </c>
      <c r="F93" s="46" t="inlineStr">
        <is>
          <t>Lay</t>
        </is>
      </c>
      <c r="G93" s="47" t="inlineStr">
        <is>
          <t>Lay</t>
        </is>
      </c>
      <c r="H93" s="48" t="n">
        <v>3.4</v>
      </c>
      <c r="I93" s="48" t="n">
        <v>1.8</v>
      </c>
      <c r="J93" s="22" t="n">
        <v>-0.1778</v>
      </c>
      <c r="K93" s="49" t="n">
        <v>1</v>
      </c>
      <c r="L93" s="21" t="n">
        <v>8</v>
      </c>
      <c r="M93" s="50" t="inlineStr">
        <is>
          <t>Win</t>
        </is>
      </c>
      <c r="N93" s="23">
        <f>IF(M93="Win",IF(F93="Bet",(I93-1)*K93,K93),IF(M93="Loss",IF(F93="Bet",-K93,-(I93-1)*K93),IF(M93="Void",0,"")))</f>
        <v/>
      </c>
      <c r="O93" s="24">
        <f>IF(OR(M93="Win",M93="Loss"),IF(F93="Bet",K93,(I93-1)*K93),"")</f>
        <v/>
      </c>
    </row>
    <row r="94">
      <c r="A94" s="37" t="n">
        <v>46281</v>
      </c>
      <c r="B94" s="38" t="inlineStr">
        <is>
          <t>Belmont</t>
        </is>
      </c>
      <c r="C94" s="15" t="n">
        <v>7</v>
      </c>
      <c r="D94" s="15" t="n">
        <v>5</v>
      </c>
      <c r="E94" s="14" t="inlineStr">
        <is>
          <t>Vampi Queen</t>
        </is>
      </c>
      <c r="F94" s="43" t="inlineStr">
        <is>
          <t>Lay</t>
        </is>
      </c>
      <c r="G94" s="47" t="inlineStr">
        <is>
          <t>Lay</t>
        </is>
      </c>
      <c r="H94" s="41" t="n">
        <v>6</v>
      </c>
      <c r="I94" s="41" t="n">
        <v>2.5</v>
      </c>
      <c r="J94" s="16" t="n">
        <v>-0.1913</v>
      </c>
      <c r="K94" s="42" t="n">
        <v>1</v>
      </c>
      <c r="L94" s="15" t="n">
        <v>1</v>
      </c>
      <c r="M94" s="43" t="inlineStr">
        <is>
          <t>Loss</t>
        </is>
      </c>
      <c r="N94" s="17">
        <f>IF(M94="Win",IF(F94="Bet",(I94-1)*K94,K94),IF(M94="Loss",IF(F94="Bet",-K94,-(I94-1)*K94),IF(M94="Void",0,"")))</f>
        <v/>
      </c>
      <c r="O94" s="18">
        <f>IF(OR(M94="Win",M94="Loss"),IF(F94="Bet",K94,(I94-1)*K94),"")</f>
        <v/>
      </c>
    </row>
    <row r="95">
      <c r="A95" s="44" t="n">
        <v>46281</v>
      </c>
      <c r="B95" s="45" t="inlineStr">
        <is>
          <t>Canterbury</t>
        </is>
      </c>
      <c r="C95" s="21" t="n">
        <v>4</v>
      </c>
      <c r="D95" s="21" t="n">
        <v>8</v>
      </c>
      <c r="E95" s="20" t="inlineStr">
        <is>
          <t>Ertijaaj</t>
        </is>
      </c>
      <c r="F95" s="46" t="inlineStr">
        <is>
          <t>Lay</t>
        </is>
      </c>
      <c r="G95" s="47" t="inlineStr">
        <is>
          <t>Lay</t>
        </is>
      </c>
      <c r="H95" s="48" t="n">
        <v>10.4</v>
      </c>
      <c r="I95" s="48" t="n">
        <v>4.2</v>
      </c>
      <c r="J95" s="22" t="n">
        <v>-0.1417</v>
      </c>
      <c r="K95" s="49" t="n">
        <v>1</v>
      </c>
      <c r="L95" s="21" t="n"/>
      <c r="M95" s="55" t="inlineStr">
        <is>
          <t>Void</t>
        </is>
      </c>
      <c r="N95" s="23">
        <f>IF(M95="Win",IF(F95="Bet",(I95-1)*K95,K95),IF(M95="Loss",IF(F95="Bet",-K95,-(I95-1)*K95),IF(M95="Void",0,"")))</f>
        <v/>
      </c>
      <c r="O95" s="24">
        <f>IF(OR(M95="Win",M95="Loss"),IF(F95="Bet",K95,(I95-1)*K95),"")</f>
        <v/>
      </c>
    </row>
    <row r="96">
      <c r="A96" s="37" t="n">
        <v>46281</v>
      </c>
      <c r="B96" s="38" t="inlineStr">
        <is>
          <t>Launceston</t>
        </is>
      </c>
      <c r="C96" s="15" t="n">
        <v>6</v>
      </c>
      <c r="D96" s="15" t="n">
        <v>3</v>
      </c>
      <c r="E96" s="14" t="inlineStr">
        <is>
          <t>Vinraam</t>
        </is>
      </c>
      <c r="F96" s="43" t="inlineStr">
        <is>
          <t>Lay</t>
        </is>
      </c>
      <c r="G96" s="47" t="inlineStr">
        <is>
          <t>Lay</t>
        </is>
      </c>
      <c r="H96" s="41" t="n">
        <v>7.1</v>
      </c>
      <c r="I96" s="41" t="n">
        <v>3.4</v>
      </c>
      <c r="J96" s="16" t="n">
        <v>-0.1535</v>
      </c>
      <c r="K96" s="42" t="n">
        <v>1</v>
      </c>
      <c r="L96" s="15" t="n">
        <v>5</v>
      </c>
      <c r="M96" s="51" t="inlineStr">
        <is>
          <t>Win</t>
        </is>
      </c>
      <c r="N96" s="17">
        <f>IF(M96="Win",IF(F96="Bet",(I96-1)*K96,K96),IF(M96="Loss",IF(F96="Bet",-K96,-(I96-1)*K96),IF(M96="Void",0,"")))</f>
        <v/>
      </c>
      <c r="O96" s="18">
        <f>IF(OR(M96="Win",M96="Loss"),IF(F96="Bet",K96,(I96-1)*K96),"")</f>
        <v/>
      </c>
    </row>
    <row r="97">
      <c r="A97" s="44" t="n">
        <v>46281</v>
      </c>
      <c r="B97" s="45" t="inlineStr">
        <is>
          <t>Launceston</t>
        </is>
      </c>
      <c r="C97" s="21" t="n">
        <v>6</v>
      </c>
      <c r="D97" s="21" t="n">
        <v>2</v>
      </c>
      <c r="E97" s="20" t="inlineStr">
        <is>
          <t>Bailed</t>
        </is>
      </c>
      <c r="F97" s="46" t="inlineStr">
        <is>
          <t>Lay</t>
        </is>
      </c>
      <c r="G97" s="47" t="inlineStr">
        <is>
          <t>Lay</t>
        </is>
      </c>
      <c r="H97" s="48" t="n">
        <v>5.5</v>
      </c>
      <c r="I97" s="48" t="n">
        <v>2.6</v>
      </c>
      <c r="J97" s="22" t="n">
        <v>-0.1627</v>
      </c>
      <c r="K97" s="49" t="n">
        <v>1</v>
      </c>
      <c r="L97" s="21" t="n">
        <v>3</v>
      </c>
      <c r="M97" s="50" t="inlineStr">
        <is>
          <t>Win</t>
        </is>
      </c>
      <c r="N97" s="23">
        <f>IF(M97="Win",IF(F97="Bet",(I97-1)*K97,K97),IF(M97="Loss",IF(F97="Bet",-K97,-(I97-1)*K97),IF(M97="Void",0,"")))</f>
        <v/>
      </c>
      <c r="O97" s="24">
        <f>IF(OR(M97="Win",M97="Loss"),IF(F97="Bet",K97,(I97-1)*K97),"")</f>
        <v/>
      </c>
    </row>
    <row r="98">
      <c r="A98" s="37" t="n">
        <v>46281</v>
      </c>
      <c r="B98" s="38" t="inlineStr">
        <is>
          <t>Balaklava</t>
        </is>
      </c>
      <c r="C98" s="15" t="n">
        <v>8</v>
      </c>
      <c r="D98" s="15" t="n">
        <v>8</v>
      </c>
      <c r="E98" s="14" t="inlineStr">
        <is>
          <t>Embellisher</t>
        </is>
      </c>
      <c r="F98" s="43" t="inlineStr">
        <is>
          <t>Lay</t>
        </is>
      </c>
      <c r="G98" s="47" t="inlineStr">
        <is>
          <t>Lay</t>
        </is>
      </c>
      <c r="H98" s="41" t="n">
        <v>7.3</v>
      </c>
      <c r="I98" s="41" t="n">
        <v>3.1</v>
      </c>
      <c r="J98" s="16" t="n">
        <v>-0.1494</v>
      </c>
      <c r="K98" s="42" t="n">
        <v>1</v>
      </c>
      <c r="L98" s="15" t="n">
        <v>4</v>
      </c>
      <c r="M98" s="51" t="inlineStr">
        <is>
          <t>Win</t>
        </is>
      </c>
      <c r="N98" s="17">
        <f>IF(M98="Win",IF(F98="Bet",(I98-1)*K98,K98),IF(M98="Loss",IF(F98="Bet",-K98,-(I98-1)*K98),IF(M98="Void",0,"")))</f>
        <v/>
      </c>
      <c r="O98" s="18">
        <f>IF(OR(M98="Win",M98="Loss"),IF(F98="Bet",K98,(I98-1)*K98),"")</f>
        <v/>
      </c>
    </row>
    <row r="99">
      <c r="A99" s="44" t="n">
        <v>46281</v>
      </c>
      <c r="B99" s="45" t="inlineStr">
        <is>
          <t>Belmont</t>
        </is>
      </c>
      <c r="C99" s="21" t="n">
        <v>6</v>
      </c>
      <c r="D99" s="21" t="n">
        <v>7</v>
      </c>
      <c r="E99" s="20" t="inlineStr">
        <is>
          <t>Streamlined</t>
        </is>
      </c>
      <c r="F99" s="46" t="inlineStr">
        <is>
          <t>Lay</t>
        </is>
      </c>
      <c r="G99" s="47" t="inlineStr">
        <is>
          <t>Lay</t>
        </is>
      </c>
      <c r="H99" s="48" t="n">
        <v>3.1</v>
      </c>
      <c r="I99" s="48" t="n">
        <v>2.25</v>
      </c>
      <c r="J99" s="22" t="n">
        <v>-0.1047</v>
      </c>
      <c r="K99" s="49" t="n">
        <v>1</v>
      </c>
      <c r="L99" s="21" t="n">
        <v>1</v>
      </c>
      <c r="M99" s="46" t="inlineStr">
        <is>
          <t>Loss</t>
        </is>
      </c>
      <c r="N99" s="23">
        <f>IF(M99="Win",IF(F99="Bet",(I99-1)*K99,K99),IF(M99="Loss",IF(F99="Bet",-K99,-(I99-1)*K99),IF(M99="Void",0,"")))</f>
        <v/>
      </c>
      <c r="O99" s="24">
        <f>IF(OR(M99="Win",M99="Loss"),IF(F99="Bet",K99,(I99-1)*K99),"")</f>
        <v/>
      </c>
    </row>
    <row r="100">
      <c r="A100" s="37" t="n">
        <v>46281</v>
      </c>
      <c r="B100" s="38" t="inlineStr">
        <is>
          <t>Doomben</t>
        </is>
      </c>
      <c r="C100" s="15" t="n">
        <v>5</v>
      </c>
      <c r="D100" s="15" t="n">
        <v>1</v>
      </c>
      <c r="E100" s="14" t="inlineStr">
        <is>
          <t>Global Eclipse</t>
        </is>
      </c>
      <c r="F100" s="43" t="inlineStr">
        <is>
          <t>Lay</t>
        </is>
      </c>
      <c r="G100" s="47" t="inlineStr">
        <is>
          <t>Lay</t>
        </is>
      </c>
      <c r="H100" s="41" t="n">
        <v>4</v>
      </c>
      <c r="I100" s="41" t="n">
        <v>2.9</v>
      </c>
      <c r="J100" s="16" t="n">
        <v>-0.1072</v>
      </c>
      <c r="K100" s="42" t="n">
        <v>1</v>
      </c>
      <c r="L100" s="15" t="n">
        <v>1</v>
      </c>
      <c r="M100" s="43" t="inlineStr">
        <is>
          <t>Loss</t>
        </is>
      </c>
      <c r="N100" s="17">
        <f>IF(M100="Win",IF(F100="Bet",(I100-1)*K100,K100),IF(M100="Loss",IF(F100="Bet",-K100,-(I100-1)*K100),IF(M100="Void",0,"")))</f>
        <v/>
      </c>
      <c r="O100" s="18">
        <f>IF(OR(M100="Win",M100="Loss"),IF(F100="Bet",K100,(I100-1)*K100),"")</f>
        <v/>
      </c>
    </row>
    <row r="101">
      <c r="A101" s="44" t="n">
        <v>46281</v>
      </c>
      <c r="B101" s="45" t="inlineStr">
        <is>
          <t>Doomben</t>
        </is>
      </c>
      <c r="C101" s="21" t="n">
        <v>6</v>
      </c>
      <c r="D101" s="21" t="n">
        <v>4</v>
      </c>
      <c r="E101" s="20" t="inlineStr">
        <is>
          <t>Lockyer</t>
        </is>
      </c>
      <c r="F101" s="46" t="inlineStr">
        <is>
          <t>Lay</t>
        </is>
      </c>
      <c r="G101" s="47" t="inlineStr">
        <is>
          <t>Lay</t>
        </is>
      </c>
      <c r="H101" s="48" t="n">
        <v>3.1</v>
      </c>
      <c r="I101" s="48" t="n">
        <v>2.25</v>
      </c>
      <c r="J101" s="22" t="n">
        <v>-0.107</v>
      </c>
      <c r="K101" s="49" t="n">
        <v>1</v>
      </c>
      <c r="L101" s="21" t="n">
        <v>1</v>
      </c>
      <c r="M101" s="46" t="inlineStr">
        <is>
          <t>Loss</t>
        </is>
      </c>
      <c r="N101" s="23">
        <f>IF(M101="Win",IF(F101="Bet",(I101-1)*K101,K101),IF(M101="Loss",IF(F101="Bet",-K101,-(I101-1)*K101),IF(M101="Void",0,"")))</f>
        <v/>
      </c>
      <c r="O101" s="24">
        <f>IF(OR(M101="Win",M101="Loss"),IF(F101="Bet",K101,(I101-1)*K101),"")</f>
        <v/>
      </c>
    </row>
    <row r="102">
      <c r="A102" s="37" t="n">
        <v>46281</v>
      </c>
      <c r="B102" s="38" t="inlineStr">
        <is>
          <t>Balaklava</t>
        </is>
      </c>
      <c r="C102" s="15" t="n">
        <v>10</v>
      </c>
      <c r="D102" s="15" t="n">
        <v>3</v>
      </c>
      <c r="E102" s="14" t="inlineStr">
        <is>
          <t>Uptown Monk</t>
        </is>
      </c>
      <c r="F102" s="43" t="inlineStr">
        <is>
          <t>Lay</t>
        </is>
      </c>
      <c r="G102" s="47" t="inlineStr">
        <is>
          <t>Lay</t>
        </is>
      </c>
      <c r="H102" s="41" t="n">
        <v>3.7</v>
      </c>
      <c r="I102" s="41" t="n">
        <v>2.4</v>
      </c>
      <c r="J102" s="16" t="n">
        <v>-0.1074</v>
      </c>
      <c r="K102" s="42" t="n">
        <v>1</v>
      </c>
      <c r="L102" s="15" t="n">
        <v>1</v>
      </c>
      <c r="M102" s="43" t="inlineStr">
        <is>
          <t>Loss</t>
        </is>
      </c>
      <c r="N102" s="17">
        <f>IF(M102="Win",IF(F102="Bet",(I102-1)*K102,K102),IF(M102="Loss",IF(F102="Bet",-K102,-(I102-1)*K102),IF(M102="Void",0,"")))</f>
        <v/>
      </c>
      <c r="O102" s="18">
        <f>IF(OR(M102="Win",M102="Loss"),IF(F102="Bet",K102,(I102-1)*K102),"")</f>
        <v/>
      </c>
    </row>
    <row r="103">
      <c r="A103" s="44" t="n">
        <v>46281</v>
      </c>
      <c r="B103" s="45" t="inlineStr">
        <is>
          <t>Canterbury</t>
        </is>
      </c>
      <c r="C103" s="21" t="n">
        <v>5</v>
      </c>
      <c r="D103" s="21" t="n">
        <v>8</v>
      </c>
      <c r="E103" s="20" t="inlineStr">
        <is>
          <t>Whatalegacy</t>
        </is>
      </c>
      <c r="F103" s="46" t="inlineStr">
        <is>
          <t>Lay</t>
        </is>
      </c>
      <c r="G103" s="47" t="inlineStr">
        <is>
          <t>Lay</t>
        </is>
      </c>
      <c r="H103" s="48" t="n">
        <v>2.85</v>
      </c>
      <c r="I103" s="48" t="n">
        <v>2.1</v>
      </c>
      <c r="J103" s="22" t="n">
        <v>-0.1223</v>
      </c>
      <c r="K103" s="49" t="n">
        <v>1</v>
      </c>
      <c r="L103" s="21" t="n">
        <v>1</v>
      </c>
      <c r="M103" s="46" t="inlineStr">
        <is>
          <t>Loss</t>
        </is>
      </c>
      <c r="N103" s="23">
        <f>IF(M103="Win",IF(F103="Bet",(I103-1)*K103,K103),IF(M103="Loss",IF(F103="Bet",-K103,-(I103-1)*K103),IF(M103="Void",0,"")))</f>
        <v/>
      </c>
      <c r="O103" s="24">
        <f>IF(OR(M103="Win",M103="Loss"),IF(F103="Bet",K103,(I103-1)*K103),"")</f>
        <v/>
      </c>
    </row>
    <row r="104">
      <c r="A104" s="37" t="n">
        <v>46282</v>
      </c>
      <c r="B104" s="38" t="inlineStr">
        <is>
          <t>Mornington</t>
        </is>
      </c>
      <c r="C104" s="15" t="n">
        <v>2</v>
      </c>
      <c r="D104" s="15" t="n">
        <v>4</v>
      </c>
      <c r="E104" s="14" t="inlineStr">
        <is>
          <t>Top Conti</t>
        </is>
      </c>
      <c r="F104" s="43" t="inlineStr">
        <is>
          <t>Lay</t>
        </is>
      </c>
      <c r="G104" s="47" t="inlineStr">
        <is>
          <t>Lay</t>
        </is>
      </c>
      <c r="H104" s="41" t="n">
        <v>2.45</v>
      </c>
      <c r="I104" s="41" t="n">
        <v>1.74</v>
      </c>
      <c r="J104" s="16" t="n">
        <v>-0.1485</v>
      </c>
      <c r="K104" s="42" t="n">
        <v>1</v>
      </c>
      <c r="L104" s="15" t="n">
        <v>1</v>
      </c>
      <c r="M104" s="43" t="inlineStr">
        <is>
          <t>Loss</t>
        </is>
      </c>
      <c r="N104" s="17">
        <f>IF(M104="Win",IF(F104="Bet",(I104-1)*K104,K104),IF(M104="Loss",IF(F104="Bet",-K104,-(I104-1)*K104),IF(M104="Void",0,"")))</f>
        <v/>
      </c>
      <c r="O104" s="18">
        <f>IF(OR(M104="Win",M104="Loss"),IF(F104="Bet",K104,(I104-1)*K104),"")</f>
        <v/>
      </c>
    </row>
    <row r="105">
      <c r="A105" s="44" t="n">
        <v>46282</v>
      </c>
      <c r="B105" s="45" t="inlineStr">
        <is>
          <t>Illawarra Grange</t>
        </is>
      </c>
      <c r="C105" s="21" t="n">
        <v>2</v>
      </c>
      <c r="D105" s="21" t="n">
        <v>6</v>
      </c>
      <c r="E105" s="20" t="inlineStr">
        <is>
          <t>Slander</t>
        </is>
      </c>
      <c r="F105" s="46" t="inlineStr">
        <is>
          <t>Lay</t>
        </is>
      </c>
      <c r="G105" s="47" t="inlineStr">
        <is>
          <t>Lay</t>
        </is>
      </c>
      <c r="H105" s="48" t="n">
        <v>3.3</v>
      </c>
      <c r="I105" s="48" t="n">
        <v>1.82</v>
      </c>
      <c r="J105" s="22" t="n">
        <v>-0.1331</v>
      </c>
      <c r="K105" s="49" t="n">
        <v>1</v>
      </c>
      <c r="L105" s="21" t="n">
        <v>1</v>
      </c>
      <c r="M105" s="46" t="inlineStr">
        <is>
          <t>Loss</t>
        </is>
      </c>
      <c r="N105" s="23">
        <f>IF(M105="Win",IF(F105="Bet",(I105-1)*K105,K105),IF(M105="Loss",IF(F105="Bet",-K105,-(I105-1)*K105),IF(M105="Void",0,"")))</f>
        <v/>
      </c>
      <c r="O105" s="24">
        <f>IF(OR(M105="Win",M105="Loss"),IF(F105="Bet",K105,(I105-1)*K105),"")</f>
        <v/>
      </c>
    </row>
    <row r="106">
      <c r="A106" s="37" t="n">
        <v>46282</v>
      </c>
      <c r="B106" s="38" t="inlineStr">
        <is>
          <t>Bunbury</t>
        </is>
      </c>
      <c r="C106" s="15" t="n">
        <v>5</v>
      </c>
      <c r="D106" s="15" t="n">
        <v>7</v>
      </c>
      <c r="E106" s="14" t="inlineStr">
        <is>
          <t>Poppy's Roses</t>
        </is>
      </c>
      <c r="F106" s="43" t="inlineStr">
        <is>
          <t>Lay</t>
        </is>
      </c>
      <c r="G106" s="47" t="inlineStr">
        <is>
          <t>Lay</t>
        </is>
      </c>
      <c r="H106" s="41" t="n">
        <v>2.65</v>
      </c>
      <c r="I106" s="41" t="n">
        <v>2.2</v>
      </c>
      <c r="J106" s="16" t="n">
        <v>-0.1607</v>
      </c>
      <c r="K106" s="42" t="n">
        <v>1</v>
      </c>
      <c r="L106" s="15" t="n">
        <v>3</v>
      </c>
      <c r="M106" s="51" t="inlineStr">
        <is>
          <t>Win</t>
        </is>
      </c>
      <c r="N106" s="17">
        <f>IF(M106="Win",IF(F106="Bet",(I106-1)*K106,K106),IF(M106="Loss",IF(F106="Bet",-K106,-(I106-1)*K106),IF(M106="Void",0,"")))</f>
        <v/>
      </c>
      <c r="O106" s="18">
        <f>IF(OR(M106="Win",M106="Loss"),IF(F106="Bet",K106,(I106-1)*K106),"")</f>
        <v/>
      </c>
    </row>
    <row r="107">
      <c r="A107" s="44" t="n">
        <v>46282</v>
      </c>
      <c r="B107" s="45" t="inlineStr">
        <is>
          <t>Bunbury</t>
        </is>
      </c>
      <c r="C107" s="21" t="n">
        <v>8</v>
      </c>
      <c r="D107" s="21" t="n">
        <v>11</v>
      </c>
      <c r="E107" s="20" t="inlineStr">
        <is>
          <t>Return Of The Mach</t>
        </is>
      </c>
      <c r="F107" s="46" t="inlineStr">
        <is>
          <t>Lay</t>
        </is>
      </c>
      <c r="G107" s="47" t="inlineStr">
        <is>
          <t>Lay</t>
        </is>
      </c>
      <c r="H107" s="48" t="n">
        <v>5.5</v>
      </c>
      <c r="I107" s="48" t="n">
        <v>2.96</v>
      </c>
      <c r="J107" s="22" t="n">
        <v>-0.1107</v>
      </c>
      <c r="K107" s="49" t="n">
        <v>1</v>
      </c>
      <c r="L107" s="21" t="n">
        <v>2</v>
      </c>
      <c r="M107" s="50" t="inlineStr">
        <is>
          <t>Win</t>
        </is>
      </c>
      <c r="N107" s="23">
        <f>IF(M107="Win",IF(F107="Bet",(I107-1)*K107,K107),IF(M107="Loss",IF(F107="Bet",-K107,-(I107-1)*K107),IF(M107="Void",0,"")))</f>
        <v/>
      </c>
      <c r="O107" s="24">
        <f>IF(OR(M107="Win",M107="Loss"),IF(F107="Bet",K107,(I107-1)*K107),"")</f>
        <v/>
      </c>
    </row>
    <row r="108">
      <c r="A108" s="37" t="n">
        <v>46282</v>
      </c>
      <c r="B108" s="38" t="inlineStr">
        <is>
          <t>Illawarra Grange</t>
        </is>
      </c>
      <c r="C108" s="15" t="n">
        <v>7</v>
      </c>
      <c r="D108" s="15" t="n">
        <v>5</v>
      </c>
      <c r="E108" s="14" t="inlineStr">
        <is>
          <t>Lucand Magic</t>
        </is>
      </c>
      <c r="F108" s="43" t="inlineStr">
        <is>
          <t>Lay</t>
        </is>
      </c>
      <c r="G108" s="47" t="inlineStr">
        <is>
          <t>Lay</t>
        </is>
      </c>
      <c r="H108" s="41" t="n">
        <v>3.6</v>
      </c>
      <c r="I108" s="41" t="n">
        <v>2.6</v>
      </c>
      <c r="J108" s="16" t="n">
        <v>-0.122</v>
      </c>
      <c r="K108" s="42" t="n">
        <v>1</v>
      </c>
      <c r="L108" s="15" t="n">
        <v>5</v>
      </c>
      <c r="M108" s="51" t="inlineStr">
        <is>
          <t>Win</t>
        </is>
      </c>
      <c r="N108" s="17">
        <f>IF(M108="Win",IF(F108="Bet",(I108-1)*K108,K108),IF(M108="Loss",IF(F108="Bet",-K108,-(I108-1)*K108),IF(M108="Void",0,"")))</f>
        <v/>
      </c>
      <c r="O108" s="18">
        <f>IF(OR(M108="Win",M108="Loss"),IF(F108="Bet",K108,(I108-1)*K108),"")</f>
        <v/>
      </c>
    </row>
    <row r="109">
      <c r="A109" s="44" t="n">
        <v>46282</v>
      </c>
      <c r="B109" s="45" t="inlineStr">
        <is>
          <t>Beaudesert</t>
        </is>
      </c>
      <c r="C109" s="21" t="n">
        <v>1</v>
      </c>
      <c r="D109" s="21" t="n">
        <v>8</v>
      </c>
      <c r="E109" s="20" t="inlineStr">
        <is>
          <t>Wasai</t>
        </is>
      </c>
      <c r="F109" s="46" t="inlineStr">
        <is>
          <t>Lay</t>
        </is>
      </c>
      <c r="G109" s="47" t="inlineStr">
        <is>
          <t>Lay</t>
        </is>
      </c>
      <c r="H109" s="48" t="n">
        <v>2.35</v>
      </c>
      <c r="I109" s="48" t="n">
        <v>1.75</v>
      </c>
      <c r="J109" s="22" t="n">
        <v>-0.1418</v>
      </c>
      <c r="K109" s="49" t="n">
        <v>1</v>
      </c>
      <c r="L109" s="21" t="n">
        <v>3</v>
      </c>
      <c r="M109" s="50" t="inlineStr">
        <is>
          <t>Win</t>
        </is>
      </c>
      <c r="N109" s="23">
        <f>IF(M109="Win",IF(F109="Bet",(I109-1)*K109,K109),IF(M109="Loss",IF(F109="Bet",-K109,-(I109-1)*K109),IF(M109="Void",0,"")))</f>
        <v/>
      </c>
      <c r="O109" s="24">
        <f>IF(OR(M109="Win",M109="Loss"),IF(F109="Bet",K109,(I109-1)*K109),"")</f>
        <v/>
      </c>
    </row>
    <row r="110">
      <c r="A110" s="37" t="n">
        <v>46282</v>
      </c>
      <c r="B110" s="38" t="inlineStr">
        <is>
          <t>Mornington</t>
        </is>
      </c>
      <c r="C110" s="15" t="n">
        <v>7</v>
      </c>
      <c r="D110" s="15" t="n">
        <v>8</v>
      </c>
      <c r="E110" s="14" t="inlineStr">
        <is>
          <t>Justique</t>
        </is>
      </c>
      <c r="F110" s="43" t="inlineStr">
        <is>
          <t>Lay</t>
        </is>
      </c>
      <c r="G110" s="47" t="inlineStr">
        <is>
          <t>Lay</t>
        </is>
      </c>
      <c r="H110" s="41" t="n">
        <v>7.6</v>
      </c>
      <c r="I110" s="41" t="n">
        <v>4.2</v>
      </c>
      <c r="J110" s="16" t="n">
        <v>-0.1063</v>
      </c>
      <c r="K110" s="42" t="n">
        <v>1</v>
      </c>
      <c r="L110" s="15" t="n"/>
      <c r="M110" s="54" t="inlineStr">
        <is>
          <t>Void</t>
        </is>
      </c>
      <c r="N110" s="17">
        <f>IF(M110="Win",IF(F110="Bet",(I110-1)*K110,K110),IF(M110="Loss",IF(F110="Bet",-K110,-(I110-1)*K110),IF(M110="Void",0,"")))</f>
        <v/>
      </c>
      <c r="O110" s="18">
        <f>IF(OR(M110="Win",M110="Loss"),IF(F110="Bet",K110,(I110-1)*K110),"")</f>
        <v/>
      </c>
    </row>
    <row r="111">
      <c r="A111" s="44" t="n">
        <v>46282</v>
      </c>
      <c r="B111" s="45" t="inlineStr">
        <is>
          <t>Mornington</t>
        </is>
      </c>
      <c r="C111" s="21" t="n">
        <v>1</v>
      </c>
      <c r="D111" s="21" t="n">
        <v>11</v>
      </c>
      <c r="E111" s="20" t="inlineStr">
        <is>
          <t>Adakite</t>
        </is>
      </c>
      <c r="F111" s="46" t="inlineStr">
        <is>
          <t>Lay</t>
        </is>
      </c>
      <c r="G111" s="47" t="inlineStr">
        <is>
          <t>Lay</t>
        </is>
      </c>
      <c r="H111" s="48" t="n">
        <v>3.4</v>
      </c>
      <c r="I111" s="48" t="n">
        <v>2.15</v>
      </c>
      <c r="J111" s="22" t="n">
        <v>-0.122</v>
      </c>
      <c r="K111" s="49" t="n">
        <v>1</v>
      </c>
      <c r="L111" s="21" t="n">
        <v>2</v>
      </c>
      <c r="M111" s="50" t="inlineStr">
        <is>
          <t>Win</t>
        </is>
      </c>
      <c r="N111" s="23">
        <f>IF(M111="Win",IF(F111="Bet",(I111-1)*K111,K111),IF(M111="Loss",IF(F111="Bet",-K111,-(I111-1)*K111),IF(M111="Void",0,"")))</f>
        <v/>
      </c>
      <c r="O111" s="24">
        <f>IF(OR(M111="Win",M111="Loss"),IF(F111="Bet",K111,(I111-1)*K111),"")</f>
        <v/>
      </c>
    </row>
    <row r="112">
      <c r="A112" s="37" t="n">
        <v>46282</v>
      </c>
      <c r="B112" s="38" t="inlineStr">
        <is>
          <t>Beaudesert</t>
        </is>
      </c>
      <c r="C112" s="15" t="n">
        <v>9</v>
      </c>
      <c r="D112" s="15" t="n">
        <v>7</v>
      </c>
      <c r="E112" s="14" t="inlineStr">
        <is>
          <t>Ed I Am</t>
        </is>
      </c>
      <c r="F112" s="43" t="inlineStr">
        <is>
          <t>Lay</t>
        </is>
      </c>
      <c r="G112" s="47" t="inlineStr">
        <is>
          <t>Lay</t>
        </is>
      </c>
      <c r="H112" s="41" t="n">
        <v>3.2</v>
      </c>
      <c r="I112" s="41" t="n">
        <v>2.07</v>
      </c>
      <c r="J112" s="16" t="n">
        <v>-0.0618</v>
      </c>
      <c r="K112" s="42" t="n">
        <v>1</v>
      </c>
      <c r="L112" s="15" t="n">
        <v>1</v>
      </c>
      <c r="M112" s="43" t="inlineStr">
        <is>
          <t>Loss</t>
        </is>
      </c>
      <c r="N112" s="17">
        <f>IF(M112="Win",IF(F112="Bet",(I112-1)*K112,K112),IF(M112="Loss",IF(F112="Bet",-K112,-(I112-1)*K112),IF(M112="Void",0,"")))</f>
        <v/>
      </c>
      <c r="O112" s="18">
        <f>IF(OR(M112="Win",M112="Loss"),IF(F112="Bet",K112,(I112-1)*K112),"")</f>
        <v/>
      </c>
    </row>
    <row r="113">
      <c r="A113" s="44" t="n">
        <v>46282</v>
      </c>
      <c r="B113" s="45" t="inlineStr">
        <is>
          <t>Bunbury</t>
        </is>
      </c>
      <c r="C113" s="21" t="n">
        <v>7</v>
      </c>
      <c r="D113" s="21" t="n">
        <v>4</v>
      </c>
      <c r="E113" s="20" t="inlineStr">
        <is>
          <t>Bondi Star</t>
        </is>
      </c>
      <c r="F113" s="46" t="inlineStr">
        <is>
          <t>Lay</t>
        </is>
      </c>
      <c r="G113" s="47" t="inlineStr">
        <is>
          <t>Lay</t>
        </is>
      </c>
      <c r="H113" s="48" t="n">
        <v>4.7</v>
      </c>
      <c r="I113" s="48" t="n">
        <v>3.4</v>
      </c>
      <c r="J113" s="22" t="n">
        <v>-0.06510000000000001</v>
      </c>
      <c r="K113" s="49" t="n">
        <v>1</v>
      </c>
      <c r="L113" s="21" t="n">
        <v>3</v>
      </c>
      <c r="M113" s="50" t="inlineStr">
        <is>
          <t>Win</t>
        </is>
      </c>
      <c r="N113" s="23">
        <f>IF(M113="Win",IF(F113="Bet",(I113-1)*K113,K113),IF(M113="Loss",IF(F113="Bet",-K113,-(I113-1)*K113),IF(M113="Void",0,"")))</f>
        <v/>
      </c>
      <c r="O113" s="24">
        <f>IF(OR(M113="Win",M113="Loss"),IF(F113="Bet",K113,(I113-1)*K113),"")</f>
        <v/>
      </c>
    </row>
    <row r="114">
      <c r="A114" s="37" t="n">
        <v>46282</v>
      </c>
      <c r="B114" s="38" t="inlineStr">
        <is>
          <t>Bunbury</t>
        </is>
      </c>
      <c r="C114" s="15" t="n">
        <v>8</v>
      </c>
      <c r="D114" s="15" t="n">
        <v>10</v>
      </c>
      <c r="E114" s="14" t="inlineStr">
        <is>
          <t>Looks</t>
        </is>
      </c>
      <c r="F114" s="43" t="inlineStr">
        <is>
          <t>Lay</t>
        </is>
      </c>
      <c r="G114" s="47" t="inlineStr">
        <is>
          <t>Lay</t>
        </is>
      </c>
      <c r="H114" s="41" t="n">
        <v>6.8</v>
      </c>
      <c r="I114" s="41" t="n">
        <v>4.6</v>
      </c>
      <c r="J114" s="16" t="n">
        <v>-0.0696</v>
      </c>
      <c r="K114" s="42" t="n">
        <v>1</v>
      </c>
      <c r="L114" s="15" t="n">
        <v>8</v>
      </c>
      <c r="M114" s="51" t="inlineStr">
        <is>
          <t>Win</t>
        </is>
      </c>
      <c r="N114" s="17">
        <f>IF(M114="Win",IF(F114="Bet",(I114-1)*K114,K114),IF(M114="Loss",IF(F114="Bet",-K114,-(I114-1)*K114),IF(M114="Void",0,"")))</f>
        <v/>
      </c>
      <c r="O114" s="18">
        <f>IF(OR(M114="Win",M114="Loss"),IF(F114="Bet",K114,(I114-1)*K114),"")</f>
        <v/>
      </c>
    </row>
    <row r="115">
      <c r="A115" s="44" t="n">
        <v>46283</v>
      </c>
      <c r="B115" s="45" t="inlineStr">
        <is>
          <t>Canberra</t>
        </is>
      </c>
      <c r="C115" s="21" t="n">
        <v>2</v>
      </c>
      <c r="D115" s="21" t="n">
        <v>2</v>
      </c>
      <c r="E115" s="20" t="inlineStr">
        <is>
          <t>Inna Zou</t>
        </is>
      </c>
      <c r="F115" s="46" t="inlineStr">
        <is>
          <t>Lay</t>
        </is>
      </c>
      <c r="G115" s="47" t="inlineStr">
        <is>
          <t>Lay</t>
        </is>
      </c>
      <c r="H115" s="48" t="n">
        <v>5.5</v>
      </c>
      <c r="I115" s="48" t="n">
        <v>3.3</v>
      </c>
      <c r="J115" s="22" t="n">
        <v>-0.074</v>
      </c>
      <c r="K115" s="49" t="n">
        <v>1</v>
      </c>
      <c r="L115" s="21" t="n">
        <v>2</v>
      </c>
      <c r="M115" s="50" t="inlineStr">
        <is>
          <t>Win</t>
        </is>
      </c>
      <c r="N115" s="23">
        <f>IF(M115="Win",IF(F115="Bet",(I115-1)*K115,K115),IF(M115="Loss",IF(F115="Bet",-K115,-(I115-1)*K115),IF(M115="Void",0,"")))</f>
        <v/>
      </c>
      <c r="O115" s="24">
        <f>IF(OR(M115="Win",M115="Loss"),IF(F115="Bet",K115,(I115-1)*K115),"")</f>
        <v/>
      </c>
    </row>
    <row r="116">
      <c r="A116" s="37" t="n">
        <v>46283</v>
      </c>
      <c r="B116" s="38" t="inlineStr">
        <is>
          <t>Newcastle</t>
        </is>
      </c>
      <c r="C116" s="15" t="n">
        <v>7</v>
      </c>
      <c r="D116" s="15" t="n">
        <v>12</v>
      </c>
      <c r="E116" s="14" t="inlineStr">
        <is>
          <t>Mr Miller</t>
        </is>
      </c>
      <c r="F116" s="43" t="inlineStr">
        <is>
          <t>Lay</t>
        </is>
      </c>
      <c r="G116" s="47" t="inlineStr">
        <is>
          <t>Lay</t>
        </is>
      </c>
      <c r="H116" s="41" t="n">
        <v>3.5</v>
      </c>
      <c r="I116" s="41" t="n">
        <v>1.68</v>
      </c>
      <c r="J116" s="16" t="n">
        <v>-0.105</v>
      </c>
      <c r="K116" s="42" t="n">
        <v>1</v>
      </c>
      <c r="L116" s="15" t="n">
        <v>3</v>
      </c>
      <c r="M116" s="51" t="inlineStr">
        <is>
          <t>Win</t>
        </is>
      </c>
      <c r="N116" s="17">
        <f>IF(M116="Win",IF(F116="Bet",(I116-1)*K116,K116),IF(M116="Loss",IF(F116="Bet",-K116,-(I116-1)*K116),IF(M116="Void",0,"")))</f>
        <v/>
      </c>
      <c r="O116" s="18">
        <f>IF(OR(M116="Win",M116="Loss"),IF(F116="Bet",K116,(I116-1)*K116),"")</f>
        <v/>
      </c>
    </row>
    <row r="117">
      <c r="A117" s="44" t="n">
        <v>46283</v>
      </c>
      <c r="B117" s="45" t="inlineStr">
        <is>
          <t>Ballarat</t>
        </is>
      </c>
      <c r="C117" s="21" t="n">
        <v>1</v>
      </c>
      <c r="D117" s="21" t="n">
        <v>5</v>
      </c>
      <c r="E117" s="20" t="inlineStr">
        <is>
          <t>Aryaam</t>
        </is>
      </c>
      <c r="F117" s="46" t="inlineStr">
        <is>
          <t>Lay</t>
        </is>
      </c>
      <c r="G117" s="47" t="inlineStr">
        <is>
          <t>Lay</t>
        </is>
      </c>
      <c r="H117" s="48" t="n">
        <v>4</v>
      </c>
      <c r="I117" s="48" t="n">
        <v>3.2</v>
      </c>
      <c r="J117" s="22" t="n">
        <v>-0.0604</v>
      </c>
      <c r="K117" s="49" t="n">
        <v>1</v>
      </c>
      <c r="L117" s="21" t="n"/>
      <c r="M117" s="55" t="inlineStr">
        <is>
          <t>Void</t>
        </is>
      </c>
      <c r="N117" s="23">
        <f>IF(M117="Win",IF(F117="Bet",(I117-1)*K117,K117),IF(M117="Loss",IF(F117="Bet",-K117,-(I117-1)*K117),IF(M117="Void",0,"")))</f>
        <v/>
      </c>
      <c r="O117" s="24">
        <f>IF(OR(M117="Win",M117="Loss"),IF(F117="Bet",K117,(I117-1)*K117),"")</f>
        <v/>
      </c>
    </row>
    <row r="118">
      <c r="A118" s="37" t="n">
        <v>46283</v>
      </c>
      <c r="B118" s="38" t="inlineStr">
        <is>
          <t>Canberra</t>
        </is>
      </c>
      <c r="C118" s="15" t="n">
        <v>6</v>
      </c>
      <c r="D118" s="15" t="n">
        <v>11</v>
      </c>
      <c r="E118" s="14" t="inlineStr">
        <is>
          <t>Hello G'day</t>
        </is>
      </c>
      <c r="F118" s="43" t="inlineStr">
        <is>
          <t>Lay</t>
        </is>
      </c>
      <c r="G118" s="47" t="inlineStr">
        <is>
          <t>Lay</t>
        </is>
      </c>
      <c r="H118" s="41" t="n">
        <v>3.1</v>
      </c>
      <c r="I118" s="41" t="n">
        <v>1.47</v>
      </c>
      <c r="J118" s="16" t="n">
        <v>-0.0745</v>
      </c>
      <c r="K118" s="42" t="n">
        <v>1</v>
      </c>
      <c r="L118" s="15" t="n">
        <v>3</v>
      </c>
      <c r="M118" s="51" t="inlineStr">
        <is>
          <t>Win</t>
        </is>
      </c>
      <c r="N118" s="17">
        <f>IF(M118="Win",IF(F118="Bet",(I118-1)*K118,K118),IF(M118="Loss",IF(F118="Bet",-K118,-(I118-1)*K118),IF(M118="Void",0,"")))</f>
        <v/>
      </c>
      <c r="O118" s="18">
        <f>IF(OR(M118="Win",M118="Loss"),IF(F118="Bet",K118,(I118-1)*K118),"")</f>
        <v/>
      </c>
    </row>
    <row r="119">
      <c r="A119" s="44" t="n">
        <v>46283</v>
      </c>
      <c r="B119" s="45" t="inlineStr">
        <is>
          <t>Canberra</t>
        </is>
      </c>
      <c r="C119" s="21" t="n">
        <v>7</v>
      </c>
      <c r="D119" s="21" t="n">
        <v>2</v>
      </c>
      <c r="E119" s="20" t="inlineStr">
        <is>
          <t>Vella's Best</t>
        </is>
      </c>
      <c r="F119" s="46" t="inlineStr">
        <is>
          <t>Lay</t>
        </is>
      </c>
      <c r="G119" s="47" t="inlineStr">
        <is>
          <t>Lay</t>
        </is>
      </c>
      <c r="H119" s="48" t="n">
        <v>4.1</v>
      </c>
      <c r="I119" s="48" t="n">
        <v>2.76</v>
      </c>
      <c r="J119" s="22" t="n">
        <v>-0.0614</v>
      </c>
      <c r="K119" s="49" t="n">
        <v>1</v>
      </c>
      <c r="L119" s="21" t="n">
        <v>11</v>
      </c>
      <c r="M119" s="50" t="inlineStr">
        <is>
          <t>Win</t>
        </is>
      </c>
      <c r="N119" s="23">
        <f>IF(M119="Win",IF(F119="Bet",(I119-1)*K119,K119),IF(M119="Loss",IF(F119="Bet",-K119,-(I119-1)*K119),IF(M119="Void",0,"")))</f>
        <v/>
      </c>
      <c r="O119" s="24">
        <f>IF(OR(M119="Win",M119="Loss"),IF(F119="Bet",K119,(I119-1)*K119),"")</f>
        <v/>
      </c>
    </row>
    <row r="120">
      <c r="A120" s="37" t="n">
        <v>46283</v>
      </c>
      <c r="B120" s="38" t="inlineStr">
        <is>
          <t>Canberra</t>
        </is>
      </c>
      <c r="C120" s="15" t="n">
        <v>8</v>
      </c>
      <c r="D120" s="15" t="n">
        <v>10</v>
      </c>
      <c r="E120" s="14" t="inlineStr">
        <is>
          <t>Judith's Revenge</t>
        </is>
      </c>
      <c r="F120" s="43" t="inlineStr">
        <is>
          <t>Lay</t>
        </is>
      </c>
      <c r="G120" s="47" t="inlineStr">
        <is>
          <t>Lay</t>
        </is>
      </c>
      <c r="H120" s="41" t="n">
        <v>2</v>
      </c>
      <c r="I120" s="41" t="n">
        <v>1.75</v>
      </c>
      <c r="J120" s="16" t="n">
        <v>-0.0701</v>
      </c>
      <c r="K120" s="42" t="n">
        <v>1</v>
      </c>
      <c r="L120" s="15" t="n">
        <v>4</v>
      </c>
      <c r="M120" s="51" t="inlineStr">
        <is>
          <t>Win</t>
        </is>
      </c>
      <c r="N120" s="17">
        <f>IF(M120="Win",IF(F120="Bet",(I120-1)*K120,K120),IF(M120="Loss",IF(F120="Bet",-K120,-(I120-1)*K120),IF(M120="Void",0,"")))</f>
        <v/>
      </c>
      <c r="O120" s="18">
        <f>IF(OR(M120="Win",M120="Loss"),IF(F120="Bet",K120,(I120-1)*K120),"")</f>
        <v/>
      </c>
    </row>
    <row r="121">
      <c r="A121" s="44" t="n">
        <v>46283</v>
      </c>
      <c r="B121" s="45" t="inlineStr">
        <is>
          <t>Canberra</t>
        </is>
      </c>
      <c r="C121" s="21" t="n">
        <v>3</v>
      </c>
      <c r="D121" s="21" t="n">
        <v>2</v>
      </c>
      <c r="E121" s="20" t="inlineStr">
        <is>
          <t>Feazabeel</t>
        </is>
      </c>
      <c r="F121" s="46" t="inlineStr">
        <is>
          <t>Lay</t>
        </is>
      </c>
      <c r="G121" s="47" t="inlineStr">
        <is>
          <t>Lay</t>
        </is>
      </c>
      <c r="H121" s="48" t="n">
        <v>2.3</v>
      </c>
      <c r="I121" s="48" t="n">
        <v>1.78</v>
      </c>
      <c r="J121" s="22" t="n">
        <v>-0.0645</v>
      </c>
      <c r="K121" s="49" t="n">
        <v>1</v>
      </c>
      <c r="L121" s="21" t="n">
        <v>1</v>
      </c>
      <c r="M121" s="46" t="inlineStr">
        <is>
          <t>Loss</t>
        </is>
      </c>
      <c r="N121" s="23">
        <f>IF(M121="Win",IF(F121="Bet",(I121-1)*K121,K121),IF(M121="Loss",IF(F121="Bet",-K121,-(I121-1)*K121),IF(M121="Void",0,"")))</f>
        <v/>
      </c>
      <c r="O121" s="24">
        <f>IF(OR(M121="Win",M121="Loss"),IF(F121="Bet",K121,(I121-1)*K121),"")</f>
        <v/>
      </c>
    </row>
    <row r="122">
      <c r="A122" s="37" t="n">
        <v>46283</v>
      </c>
      <c r="B122" s="38" t="inlineStr">
        <is>
          <t>Newcastle</t>
        </is>
      </c>
      <c r="C122" s="15" t="n">
        <v>1</v>
      </c>
      <c r="D122" s="15" t="n">
        <v>4</v>
      </c>
      <c r="E122" s="14" t="inlineStr">
        <is>
          <t>Tacitly</t>
        </is>
      </c>
      <c r="F122" s="43" t="inlineStr">
        <is>
          <t>Lay</t>
        </is>
      </c>
      <c r="G122" s="47" t="inlineStr">
        <is>
          <t>Lay</t>
        </is>
      </c>
      <c r="H122" s="41" t="n">
        <v>5.1</v>
      </c>
      <c r="I122" s="41" t="n">
        <v>3.7</v>
      </c>
      <c r="J122" s="16" t="n">
        <v>-0.0759</v>
      </c>
      <c r="K122" s="42" t="n">
        <v>1</v>
      </c>
      <c r="L122" s="15" t="n">
        <v>2</v>
      </c>
      <c r="M122" s="51" t="inlineStr">
        <is>
          <t>Win</t>
        </is>
      </c>
      <c r="N122" s="17">
        <f>IF(M122="Win",IF(F122="Bet",(I122-1)*K122,K122),IF(M122="Loss",IF(F122="Bet",-K122,-(I122-1)*K122),IF(M122="Void",0,"")))</f>
        <v/>
      </c>
      <c r="O122" s="18">
        <f>IF(OR(M122="Win",M122="Loss"),IF(F122="Bet",K122,(I122-1)*K122),"")</f>
        <v/>
      </c>
    </row>
    <row r="123">
      <c r="A123" s="44" t="n">
        <v>46283</v>
      </c>
      <c r="B123" s="45" t="inlineStr">
        <is>
          <t>Canberra</t>
        </is>
      </c>
      <c r="C123" s="21" t="n">
        <v>1</v>
      </c>
      <c r="D123" s="21" t="n">
        <v>1</v>
      </c>
      <c r="E123" s="20" t="inlineStr">
        <is>
          <t>Liyah's Girl</t>
        </is>
      </c>
      <c r="F123" s="46" t="inlineStr">
        <is>
          <t>Lay</t>
        </is>
      </c>
      <c r="G123" s="47" t="inlineStr">
        <is>
          <t>Lay</t>
        </is>
      </c>
      <c r="H123" s="48" t="n">
        <v>3.6</v>
      </c>
      <c r="I123" s="48" t="n">
        <v>2.74</v>
      </c>
      <c r="J123" s="22" t="n">
        <v>-0.08550000000000001</v>
      </c>
      <c r="K123" s="49" t="n">
        <v>1</v>
      </c>
      <c r="L123" s="21" t="n">
        <v>2</v>
      </c>
      <c r="M123" s="50" t="inlineStr">
        <is>
          <t>Win</t>
        </is>
      </c>
      <c r="N123" s="23">
        <f>IF(M123="Win",IF(F123="Bet",(I123-1)*K123,K123),IF(M123="Loss",IF(F123="Bet",-K123,-(I123-1)*K123),IF(M123="Void",0,"")))</f>
        <v/>
      </c>
      <c r="O123" s="24">
        <f>IF(OR(M123="Win",M123="Loss"),IF(F123="Bet",K123,(I123-1)*K123),"")</f>
        <v/>
      </c>
    </row>
    <row r="124">
      <c r="A124" s="37" t="n">
        <v>46283</v>
      </c>
      <c r="B124" s="38" t="inlineStr">
        <is>
          <t>Townsville</t>
        </is>
      </c>
      <c r="C124" s="15" t="n">
        <v>8</v>
      </c>
      <c r="D124" s="15" t="n">
        <v>4</v>
      </c>
      <c r="E124" s="14" t="inlineStr">
        <is>
          <t>Metalcraft</t>
        </is>
      </c>
      <c r="F124" s="43" t="inlineStr">
        <is>
          <t>Lay</t>
        </is>
      </c>
      <c r="G124" s="47" t="inlineStr">
        <is>
          <t>Lay</t>
        </is>
      </c>
      <c r="H124" s="41" t="n">
        <v>8.5</v>
      </c>
      <c r="I124" s="41" t="n">
        <v>1.6</v>
      </c>
      <c r="J124" s="16" t="n">
        <v>-0.4085</v>
      </c>
      <c r="K124" s="42" t="n">
        <v>1</v>
      </c>
      <c r="L124" s="15" t="n">
        <v>1</v>
      </c>
      <c r="M124" s="43" t="inlineStr">
        <is>
          <t>Loss</t>
        </is>
      </c>
      <c r="N124" s="17">
        <f>IF(M124="Win",IF(F124="Bet",(I124-1)*K124,K124),IF(M124="Loss",IF(F124="Bet",-K124,-(I124-1)*K124),IF(M124="Void",0,"")))</f>
        <v/>
      </c>
      <c r="O124" s="18">
        <f>IF(OR(M124="Win",M124="Loss"),IF(F124="Bet",K124,(I124-1)*K124),"")</f>
        <v/>
      </c>
    </row>
    <row r="125">
      <c r="A125" s="44" t="n">
        <v>46283</v>
      </c>
      <c r="B125" s="45" t="inlineStr">
        <is>
          <t>Townsville</t>
        </is>
      </c>
      <c r="C125" s="21" t="n">
        <v>5</v>
      </c>
      <c r="D125" s="21" t="n">
        <v>8</v>
      </c>
      <c r="E125" s="20" t="inlineStr">
        <is>
          <t>Red Feathers</t>
        </is>
      </c>
      <c r="F125" s="46" t="inlineStr">
        <is>
          <t>Lay</t>
        </is>
      </c>
      <c r="G125" s="47" t="inlineStr">
        <is>
          <t>Lay</t>
        </is>
      </c>
      <c r="H125" s="48" t="n">
        <v>4.1</v>
      </c>
      <c r="I125" s="48" t="n">
        <v>1.95</v>
      </c>
      <c r="J125" s="22" t="n">
        <v>-0.09080000000000001</v>
      </c>
      <c r="K125" s="49" t="n">
        <v>1</v>
      </c>
      <c r="L125" s="21" t="n">
        <v>10</v>
      </c>
      <c r="M125" s="50" t="inlineStr">
        <is>
          <t>Win</t>
        </is>
      </c>
      <c r="N125" s="23">
        <f>IF(M125="Win",IF(F125="Bet",(I125-1)*K125,K125),IF(M125="Loss",IF(F125="Bet",-K125,-(I125-1)*K125),IF(M125="Void",0,"")))</f>
        <v/>
      </c>
      <c r="O125" s="24">
        <f>IF(OR(M125="Win",M125="Loss"),IF(F125="Bet",K125,(I125-1)*K125),"")</f>
        <v/>
      </c>
    </row>
    <row r="126">
      <c r="A126" s="37" t="n">
        <v>46283</v>
      </c>
      <c r="B126" s="38" t="inlineStr">
        <is>
          <t>Newcastle</t>
        </is>
      </c>
      <c r="C126" s="15" t="n">
        <v>8</v>
      </c>
      <c r="D126" s="15" t="n">
        <v>5</v>
      </c>
      <c r="E126" s="14" t="inlineStr">
        <is>
          <t>Red Rags To Bulls</t>
        </is>
      </c>
      <c r="F126" s="43" t="inlineStr">
        <is>
          <t>Lay</t>
        </is>
      </c>
      <c r="G126" s="47" t="inlineStr">
        <is>
          <t>Lay</t>
        </is>
      </c>
      <c r="H126" s="41" t="n">
        <v>5.2</v>
      </c>
      <c r="I126" s="41" t="n">
        <v>3.3</v>
      </c>
      <c r="J126" s="16" t="n">
        <v>-0.0635</v>
      </c>
      <c r="K126" s="42" t="n">
        <v>1</v>
      </c>
      <c r="L126" s="15" t="n">
        <v>2</v>
      </c>
      <c r="M126" s="51" t="inlineStr">
        <is>
          <t>Win</t>
        </is>
      </c>
      <c r="N126" s="17">
        <f>IF(M126="Win",IF(F126="Bet",(I126-1)*K126,K126),IF(M126="Loss",IF(F126="Bet",-K126,-(I126-1)*K126),IF(M126="Void",0,"")))</f>
        <v/>
      </c>
      <c r="O126" s="18">
        <f>IF(OR(M126="Win",M126="Loss"),IF(F126="Bet",K126,(I126-1)*K126),"")</f>
        <v/>
      </c>
    </row>
    <row r="127">
      <c r="A127" s="44" t="n">
        <v>46283</v>
      </c>
      <c r="B127" s="45" t="inlineStr">
        <is>
          <t>Ballarat</t>
        </is>
      </c>
      <c r="C127" s="21" t="n">
        <v>9</v>
      </c>
      <c r="D127" s="21" t="n">
        <v>7</v>
      </c>
      <c r="E127" s="20" t="inlineStr">
        <is>
          <t>Autumn In Grinzing</t>
        </is>
      </c>
      <c r="F127" s="46" t="inlineStr">
        <is>
          <t>Lay</t>
        </is>
      </c>
      <c r="G127" s="47" t="inlineStr">
        <is>
          <t>Lay</t>
        </is>
      </c>
      <c r="H127" s="48" t="n">
        <v>4.6</v>
      </c>
      <c r="I127" s="48" t="n">
        <v>2.92</v>
      </c>
      <c r="J127" s="22" t="n">
        <v>-0.0907</v>
      </c>
      <c r="K127" s="49" t="n">
        <v>1</v>
      </c>
      <c r="L127" s="21" t="n">
        <v>7</v>
      </c>
      <c r="M127" s="50" t="inlineStr">
        <is>
          <t>Win</t>
        </is>
      </c>
      <c r="N127" s="23">
        <f>IF(M127="Win",IF(F127="Bet",(I127-1)*K127,K127),IF(M127="Loss",IF(F127="Bet",-K127,-(I127-1)*K127),IF(M127="Void",0,"")))</f>
        <v/>
      </c>
      <c r="O127" s="24">
        <f>IF(OR(M127="Win",M127="Loss"),IF(F127="Bet",K127,(I127-1)*K127),"")</f>
        <v/>
      </c>
    </row>
    <row r="128">
      <c r="A128" s="37" t="n">
        <v>46283</v>
      </c>
      <c r="B128" s="38" t="inlineStr">
        <is>
          <t>Ballarat</t>
        </is>
      </c>
      <c r="C128" s="15" t="n">
        <v>4</v>
      </c>
      <c r="D128" s="15" t="n">
        <v>13</v>
      </c>
      <c r="E128" s="14" t="inlineStr">
        <is>
          <t>Expensive Taste</t>
        </is>
      </c>
      <c r="F128" s="43" t="inlineStr">
        <is>
          <t>Lay</t>
        </is>
      </c>
      <c r="G128" s="47" t="inlineStr">
        <is>
          <t>Lay</t>
        </is>
      </c>
      <c r="H128" s="41" t="n">
        <v>5.9</v>
      </c>
      <c r="I128" s="41" t="n">
        <v>4.2</v>
      </c>
      <c r="J128" s="16" t="n">
        <v>-0.063</v>
      </c>
      <c r="K128" s="42" t="n">
        <v>1</v>
      </c>
      <c r="L128" s="15" t="n">
        <v>6</v>
      </c>
      <c r="M128" s="51" t="inlineStr">
        <is>
          <t>Win</t>
        </is>
      </c>
      <c r="N128" s="17">
        <f>IF(M128="Win",IF(F128="Bet",(I128-1)*K128,K128),IF(M128="Loss",IF(F128="Bet",-K128,-(I128-1)*K128),IF(M128="Void",0,"")))</f>
        <v/>
      </c>
      <c r="O128" s="18">
        <f>IF(OR(M128="Win",M128="Loss"),IF(F128="Bet",K128,(I128-1)*K128),"")</f>
        <v/>
      </c>
    </row>
    <row r="129">
      <c r="A129" s="44" t="n">
        <v>46283</v>
      </c>
      <c r="B129" s="45" t="inlineStr">
        <is>
          <t>Townsville</t>
        </is>
      </c>
      <c r="C129" s="21" t="n">
        <v>1</v>
      </c>
      <c r="D129" s="21" t="n">
        <v>5</v>
      </c>
      <c r="E129" s="20" t="inlineStr">
        <is>
          <t>Red Scentsation</t>
        </is>
      </c>
      <c r="F129" s="46" t="inlineStr">
        <is>
          <t>Lay</t>
        </is>
      </c>
      <c r="G129" s="47" t="inlineStr">
        <is>
          <t>Lay</t>
        </is>
      </c>
      <c r="H129" s="48" t="n">
        <v>3.7</v>
      </c>
      <c r="I129" s="48" t="n">
        <v>2.94</v>
      </c>
      <c r="J129" s="22" t="n">
        <v>-0.0665</v>
      </c>
      <c r="K129" s="49" t="n">
        <v>1</v>
      </c>
      <c r="L129" s="21" t="n">
        <v>3</v>
      </c>
      <c r="M129" s="50" t="inlineStr">
        <is>
          <t>Win</t>
        </is>
      </c>
      <c r="N129" s="23">
        <f>IF(M129="Win",IF(F129="Bet",(I129-1)*K129,K129),IF(M129="Loss",IF(F129="Bet",-K129,-(I129-1)*K129),IF(M129="Void",0,"")))</f>
        <v/>
      </c>
      <c r="O129" s="24">
        <f>IF(OR(M129="Win",M129="Loss"),IF(F129="Bet",K129,(I129-1)*K129),"")</f>
        <v/>
      </c>
    </row>
    <row r="130">
      <c r="A130" s="37" t="n">
        <v>46283</v>
      </c>
      <c r="B130" s="38" t="inlineStr">
        <is>
          <t>Canberra</t>
        </is>
      </c>
      <c r="C130" s="15" t="n">
        <v>1</v>
      </c>
      <c r="D130" s="15" t="n">
        <v>4</v>
      </c>
      <c r="E130" s="14" t="inlineStr">
        <is>
          <t>Courting Emily</t>
        </is>
      </c>
      <c r="F130" s="43" t="inlineStr">
        <is>
          <t>Lay</t>
        </is>
      </c>
      <c r="G130" s="47" t="inlineStr">
        <is>
          <t>Lay</t>
        </is>
      </c>
      <c r="H130" s="41" t="n">
        <v>5.3</v>
      </c>
      <c r="I130" s="41" t="n">
        <v>3.6</v>
      </c>
      <c r="J130" s="16" t="n">
        <v>-0.0718</v>
      </c>
      <c r="K130" s="42" t="n">
        <v>1</v>
      </c>
      <c r="L130" s="15" t="n">
        <v>4</v>
      </c>
      <c r="M130" s="51" t="inlineStr">
        <is>
          <t>Win</t>
        </is>
      </c>
      <c r="N130" s="17">
        <f>IF(M130="Win",IF(F130="Bet",(I130-1)*K130,K130),IF(M130="Loss",IF(F130="Bet",-K130,-(I130-1)*K130),IF(M130="Void",0,"")))</f>
        <v/>
      </c>
      <c r="O130" s="18">
        <f>IF(OR(M130="Win",M130="Loss"),IF(F130="Bet",K130,(I130-1)*K130),"")</f>
        <v/>
      </c>
    </row>
    <row r="131">
      <c r="A131" s="44" t="n">
        <v>46283</v>
      </c>
      <c r="B131" s="45" t="inlineStr">
        <is>
          <t>Ballarat</t>
        </is>
      </c>
      <c r="C131" s="21" t="n">
        <v>2</v>
      </c>
      <c r="D131" s="21" t="n">
        <v>12</v>
      </c>
      <c r="E131" s="20" t="inlineStr">
        <is>
          <t>Superbec</t>
        </is>
      </c>
      <c r="F131" s="46" t="inlineStr">
        <is>
          <t>Lay</t>
        </is>
      </c>
      <c r="G131" s="47" t="inlineStr">
        <is>
          <t>Lay</t>
        </is>
      </c>
      <c r="H131" s="48" t="n">
        <v>4.2</v>
      </c>
      <c r="I131" s="48" t="n">
        <v>2.83</v>
      </c>
      <c r="J131" s="22" t="n">
        <v>-0.06619999999999999</v>
      </c>
      <c r="K131" s="49" t="n">
        <v>1</v>
      </c>
      <c r="L131" s="21" t="n">
        <v>1</v>
      </c>
      <c r="M131" s="46" t="inlineStr">
        <is>
          <t>Loss</t>
        </is>
      </c>
      <c r="N131" s="23">
        <f>IF(M131="Win",IF(F131="Bet",(I131-1)*K131,K131),IF(M131="Loss",IF(F131="Bet",-K131,-(I131-1)*K131),IF(M131="Void",0,"")))</f>
        <v/>
      </c>
      <c r="O131" s="24">
        <f>IF(OR(M131="Win",M131="Loss"),IF(F131="Bet",K131,(I131-1)*K131),"")</f>
        <v/>
      </c>
    </row>
    <row r="132">
      <c r="A132" s="37" t="n">
        <v>46283</v>
      </c>
      <c r="B132" s="38" t="inlineStr">
        <is>
          <t>Townsville</t>
        </is>
      </c>
      <c r="C132" s="15" t="n">
        <v>2</v>
      </c>
      <c r="D132" s="15" t="n">
        <v>4</v>
      </c>
      <c r="E132" s="14" t="inlineStr">
        <is>
          <t>Overland</t>
        </is>
      </c>
      <c r="F132" s="43" t="inlineStr">
        <is>
          <t>Lay</t>
        </is>
      </c>
      <c r="G132" s="47" t="inlineStr">
        <is>
          <t>Lay</t>
        </is>
      </c>
      <c r="H132" s="41" t="n">
        <v>3.1</v>
      </c>
      <c r="I132" s="41" t="n">
        <v>2.58</v>
      </c>
      <c r="J132" s="16" t="n">
        <v>-0.0635</v>
      </c>
      <c r="K132" s="42" t="n">
        <v>1</v>
      </c>
      <c r="L132" s="15" t="n">
        <v>2</v>
      </c>
      <c r="M132" s="51" t="inlineStr">
        <is>
          <t>Win</t>
        </is>
      </c>
      <c r="N132" s="17">
        <f>IF(M132="Win",IF(F132="Bet",(I132-1)*K132,K132),IF(M132="Loss",IF(F132="Bet",-K132,-(I132-1)*K132),IF(M132="Void",0,"")))</f>
        <v/>
      </c>
      <c r="O132" s="18">
        <f>IF(OR(M132="Win",M132="Loss"),IF(F132="Bet",K132,(I132-1)*K132),"")</f>
        <v/>
      </c>
    </row>
    <row r="133">
      <c r="A133" s="44" t="n">
        <v>46283</v>
      </c>
      <c r="B133" s="45" t="inlineStr">
        <is>
          <t>Newcastle</t>
        </is>
      </c>
      <c r="C133" s="21" t="n">
        <v>2</v>
      </c>
      <c r="D133" s="21" t="n">
        <v>1</v>
      </c>
      <c r="E133" s="20" t="inlineStr">
        <is>
          <t>Federalist</t>
        </is>
      </c>
      <c r="F133" s="46" t="inlineStr">
        <is>
          <t>Lay</t>
        </is>
      </c>
      <c r="G133" s="47" t="inlineStr">
        <is>
          <t>Lay</t>
        </is>
      </c>
      <c r="H133" s="48" t="n">
        <v>1.55</v>
      </c>
      <c r="I133" s="48" t="n">
        <v>1.37</v>
      </c>
      <c r="J133" s="22" t="n">
        <v>-0.0679</v>
      </c>
      <c r="K133" s="49" t="n">
        <v>1</v>
      </c>
      <c r="L133" s="21" t="n">
        <v>1</v>
      </c>
      <c r="M133" s="46" t="inlineStr">
        <is>
          <t>Loss</t>
        </is>
      </c>
      <c r="N133" s="23">
        <f>IF(M133="Win",IF(F133="Bet",(I133-1)*K133,K133),IF(M133="Loss",IF(F133="Bet",-K133,-(I133-1)*K133),IF(M133="Void",0,"")))</f>
        <v/>
      </c>
      <c r="O133" s="24">
        <f>IF(OR(M133="Win",M133="Loss"),IF(F133="Bet",K133,(I133-1)*K133),"")</f>
        <v/>
      </c>
    </row>
    <row r="134">
      <c r="A134" s="37" t="n">
        <v>46283</v>
      </c>
      <c r="B134" s="38" t="inlineStr">
        <is>
          <t>Townsville</t>
        </is>
      </c>
      <c r="C134" s="15" t="n">
        <v>2</v>
      </c>
      <c r="D134" s="15" t="n">
        <v>6</v>
      </c>
      <c r="E134" s="14" t="inlineStr">
        <is>
          <t>Roth Authority</t>
        </is>
      </c>
      <c r="F134" s="43" t="inlineStr">
        <is>
          <t>Lay</t>
        </is>
      </c>
      <c r="G134" s="47" t="inlineStr">
        <is>
          <t>Lay</t>
        </is>
      </c>
      <c r="H134" s="41" t="n">
        <v>6.6</v>
      </c>
      <c r="I134" s="41" t="n">
        <v>3.92</v>
      </c>
      <c r="J134" s="16" t="n">
        <v>-0.0609</v>
      </c>
      <c r="K134" s="42" t="n">
        <v>1</v>
      </c>
      <c r="L134" s="15" t="n">
        <v>3</v>
      </c>
      <c r="M134" s="51" t="inlineStr">
        <is>
          <t>Win</t>
        </is>
      </c>
      <c r="N134" s="17">
        <f>IF(M134="Win",IF(F134="Bet",(I134-1)*K134,K134),IF(M134="Loss",IF(F134="Bet",-K134,-(I134-1)*K134),IF(M134="Void",0,"")))</f>
        <v/>
      </c>
      <c r="O134" s="18">
        <f>IF(OR(M134="Win",M134="Loss"),IF(F134="Bet",K134,(I134-1)*K134),"")</f>
        <v/>
      </c>
    </row>
    <row r="135">
      <c r="A135" s="44" t="n">
        <v>46283</v>
      </c>
      <c r="B135" s="45" t="inlineStr">
        <is>
          <t>Ballarat</t>
        </is>
      </c>
      <c r="C135" s="21" t="n">
        <v>3</v>
      </c>
      <c r="D135" s="21" t="n">
        <v>11</v>
      </c>
      <c r="E135" s="20" t="inlineStr">
        <is>
          <t>Keen Observer</t>
        </is>
      </c>
      <c r="F135" s="46" t="inlineStr">
        <is>
          <t>Lay</t>
        </is>
      </c>
      <c r="G135" s="47" t="inlineStr">
        <is>
          <t>Lay</t>
        </is>
      </c>
      <c r="H135" s="48" t="n">
        <v>3.6</v>
      </c>
      <c r="I135" s="48" t="n">
        <v>2.94</v>
      </c>
      <c r="J135" s="22" t="n">
        <v>-0.06370000000000001</v>
      </c>
      <c r="K135" s="49" t="n">
        <v>1</v>
      </c>
      <c r="L135" s="21" t="n">
        <v>3</v>
      </c>
      <c r="M135" s="50" t="inlineStr">
        <is>
          <t>Win</t>
        </is>
      </c>
      <c r="N135" s="23">
        <f>IF(M135="Win",IF(F135="Bet",(I135-1)*K135,K135),IF(M135="Loss",IF(F135="Bet",-K135,-(I135-1)*K135),IF(M135="Void",0,"")))</f>
        <v/>
      </c>
      <c r="O135" s="24">
        <f>IF(OR(M135="Win",M135="Loss"),IF(F135="Bet",K135,(I135-1)*K135),"")</f>
        <v/>
      </c>
    </row>
    <row r="136">
      <c r="A136" s="37" t="n">
        <v>46283</v>
      </c>
      <c r="B136" s="38" t="inlineStr">
        <is>
          <t>Ballarat</t>
        </is>
      </c>
      <c r="C136" s="15" t="n">
        <v>5</v>
      </c>
      <c r="D136" s="15" t="n">
        <v>4</v>
      </c>
      <c r="E136" s="14" t="inlineStr">
        <is>
          <t>Deny Entry</t>
        </is>
      </c>
      <c r="F136" s="43" t="inlineStr">
        <is>
          <t>Lay</t>
        </is>
      </c>
      <c r="G136" s="47" t="inlineStr">
        <is>
          <t>Lay</t>
        </is>
      </c>
      <c r="H136" s="41" t="n">
        <v>5.1</v>
      </c>
      <c r="I136" s="41" t="n">
        <v>2.96</v>
      </c>
      <c r="J136" s="16" t="n">
        <v>-0.0624</v>
      </c>
      <c r="K136" s="42" t="n">
        <v>1</v>
      </c>
      <c r="L136" s="15" t="n">
        <v>12</v>
      </c>
      <c r="M136" s="51" t="inlineStr">
        <is>
          <t>Win</t>
        </is>
      </c>
      <c r="N136" s="17">
        <f>IF(M136="Win",IF(F136="Bet",(I136-1)*K136,K136),IF(M136="Loss",IF(F136="Bet",-K136,-(I136-1)*K136),IF(M136="Void",0,"")))</f>
        <v/>
      </c>
      <c r="O136" s="18">
        <f>IF(OR(M136="Win",M136="Loss"),IF(F136="Bet",K136,(I136-1)*K136),"")</f>
        <v/>
      </c>
    </row>
    <row r="137">
      <c r="A137" s="44" t="n">
        <v>46283</v>
      </c>
      <c r="B137" s="45" t="inlineStr">
        <is>
          <t>Townsville</t>
        </is>
      </c>
      <c r="C137" s="21" t="n">
        <v>3</v>
      </c>
      <c r="D137" s="21" t="n">
        <v>11</v>
      </c>
      <c r="E137" s="20" t="inlineStr">
        <is>
          <t>Fake</t>
        </is>
      </c>
      <c r="F137" s="46" t="inlineStr">
        <is>
          <t>Lay</t>
        </is>
      </c>
      <c r="G137" s="47" t="inlineStr">
        <is>
          <t>Lay</t>
        </is>
      </c>
      <c r="H137" s="48" t="n">
        <v>7</v>
      </c>
      <c r="I137" s="48" t="n">
        <v>4.2</v>
      </c>
      <c r="J137" s="22" t="n">
        <v>-0.0703</v>
      </c>
      <c r="K137" s="49" t="n">
        <v>1</v>
      </c>
      <c r="L137" s="21" t="n">
        <v>6</v>
      </c>
      <c r="M137" s="50" t="inlineStr">
        <is>
          <t>Win</t>
        </is>
      </c>
      <c r="N137" s="23">
        <f>IF(M137="Win",IF(F137="Bet",(I137-1)*K137,K137),IF(M137="Loss",IF(F137="Bet",-K137,-(I137-1)*K137),IF(M137="Void",0,"")))</f>
        <v/>
      </c>
      <c r="O137" s="24">
        <f>IF(OR(M137="Win",M137="Loss"),IF(F137="Bet",K137,(I137-1)*K137),"")</f>
        <v/>
      </c>
    </row>
    <row r="138">
      <c r="A138" s="37" t="n">
        <v>46283</v>
      </c>
      <c r="B138" s="38" t="inlineStr">
        <is>
          <t>Newcastle</t>
        </is>
      </c>
      <c r="C138" s="15" t="n">
        <v>4</v>
      </c>
      <c r="D138" s="15" t="n">
        <v>1</v>
      </c>
      <c r="E138" s="14" t="inlineStr">
        <is>
          <t>Generous Harry</t>
        </is>
      </c>
      <c r="F138" s="43" t="inlineStr">
        <is>
          <t>Lay</t>
        </is>
      </c>
      <c r="G138" s="47" t="inlineStr">
        <is>
          <t>Lay</t>
        </is>
      </c>
      <c r="H138" s="41" t="n">
        <v>5.2</v>
      </c>
      <c r="I138" s="41" t="n">
        <v>3</v>
      </c>
      <c r="J138" s="16" t="n">
        <v>-0.06519999999999999</v>
      </c>
      <c r="K138" s="42" t="n">
        <v>1</v>
      </c>
      <c r="L138" s="15" t="n">
        <v>1</v>
      </c>
      <c r="M138" s="43" t="inlineStr">
        <is>
          <t>Loss</t>
        </is>
      </c>
      <c r="N138" s="17">
        <f>IF(M138="Win",IF(F138="Bet",(I138-1)*K138,K138),IF(M138="Loss",IF(F138="Bet",-K138,-(I138-1)*K138),IF(M138="Void",0,"")))</f>
        <v/>
      </c>
      <c r="O138" s="18">
        <f>IF(OR(M138="Win",M138="Loss"),IF(F138="Bet",K138,(I138-1)*K138),"")</f>
        <v/>
      </c>
    </row>
    <row r="139">
      <c r="A139" s="44" t="n">
        <v>46283</v>
      </c>
      <c r="B139" s="45" t="inlineStr">
        <is>
          <t>Canberra</t>
        </is>
      </c>
      <c r="C139" s="21" t="n">
        <v>5</v>
      </c>
      <c r="D139" s="21" t="n">
        <v>8</v>
      </c>
      <c r="E139" s="20" t="inlineStr">
        <is>
          <t>Ballyhoo</t>
        </is>
      </c>
      <c r="F139" s="46" t="inlineStr">
        <is>
          <t>Lay</t>
        </is>
      </c>
      <c r="G139" s="47" t="inlineStr">
        <is>
          <t>Lay</t>
        </is>
      </c>
      <c r="H139" s="48" t="n">
        <v>4.9</v>
      </c>
      <c r="I139" s="48" t="n">
        <v>3.6</v>
      </c>
      <c r="J139" s="22" t="n">
        <v>-0.0668</v>
      </c>
      <c r="K139" s="49" t="n">
        <v>1</v>
      </c>
      <c r="L139" s="21" t="n">
        <v>1</v>
      </c>
      <c r="M139" s="46" t="inlineStr">
        <is>
          <t>Loss</t>
        </is>
      </c>
      <c r="N139" s="23">
        <f>IF(M139="Win",IF(F139="Bet",(I139-1)*K139,K139),IF(M139="Loss",IF(F139="Bet",-K139,-(I139-1)*K139),IF(M139="Void",0,"")))</f>
        <v/>
      </c>
      <c r="O139" s="24">
        <f>IF(OR(M139="Win",M139="Loss"),IF(F139="Bet",K139,(I139-1)*K139),"")</f>
        <v/>
      </c>
    </row>
    <row r="140">
      <c r="A140" s="37" t="n">
        <v>46283</v>
      </c>
      <c r="B140" s="38" t="inlineStr">
        <is>
          <t>Ballarat</t>
        </is>
      </c>
      <c r="C140" s="15" t="n">
        <v>8</v>
      </c>
      <c r="D140" s="15" t="n">
        <v>6</v>
      </c>
      <c r="E140" s="14" t="inlineStr">
        <is>
          <t>Ten Commandments</t>
        </is>
      </c>
      <c r="F140" s="43" t="inlineStr">
        <is>
          <t>Lay</t>
        </is>
      </c>
      <c r="G140" s="47" t="inlineStr">
        <is>
          <t>Lay</t>
        </is>
      </c>
      <c r="H140" s="41" t="n">
        <v>4.9</v>
      </c>
      <c r="I140" s="41" t="n">
        <v>3.44</v>
      </c>
      <c r="J140" s="16" t="n">
        <v>-0.0658</v>
      </c>
      <c r="K140" s="42" t="n">
        <v>1</v>
      </c>
      <c r="L140" s="15" t="n">
        <v>1</v>
      </c>
      <c r="M140" s="43" t="inlineStr">
        <is>
          <t>Loss</t>
        </is>
      </c>
      <c r="N140" s="17">
        <f>IF(M140="Win",IF(F140="Bet",(I140-1)*K140,K140),IF(M140="Loss",IF(F140="Bet",-K140,-(I140-1)*K140),IF(M140="Void",0,"")))</f>
        <v/>
      </c>
      <c r="O140" s="18">
        <f>IF(OR(M140="Win",M140="Loss"),IF(F140="Bet",K140,(I140-1)*K140),"")</f>
        <v/>
      </c>
    </row>
    <row r="141">
      <c r="A141" s="44" t="n">
        <v>46283</v>
      </c>
      <c r="B141" s="45" t="inlineStr">
        <is>
          <t>Townsville</t>
        </is>
      </c>
      <c r="C141" s="21" t="n">
        <v>6</v>
      </c>
      <c r="D141" s="21" t="n">
        <v>10</v>
      </c>
      <c r="E141" s="20" t="inlineStr">
        <is>
          <t>Zeamaize</t>
        </is>
      </c>
      <c r="F141" s="46" t="inlineStr">
        <is>
          <t>Lay</t>
        </is>
      </c>
      <c r="G141" s="47" t="inlineStr">
        <is>
          <t>Lay</t>
        </is>
      </c>
      <c r="H141" s="48" t="n">
        <v>8.6</v>
      </c>
      <c r="I141" s="48" t="n">
        <v>5.6</v>
      </c>
      <c r="J141" s="22" t="n">
        <v>-0.063</v>
      </c>
      <c r="K141" s="49" t="n">
        <v>1</v>
      </c>
      <c r="L141" s="21" t="n">
        <v>9</v>
      </c>
      <c r="M141" s="50" t="inlineStr">
        <is>
          <t>Win</t>
        </is>
      </c>
      <c r="N141" s="23">
        <f>IF(M141="Win",IF(F141="Bet",(I141-1)*K141,K141),IF(M141="Loss",IF(F141="Bet",-K141,-(I141-1)*K141),IF(M141="Void",0,"")))</f>
        <v/>
      </c>
      <c r="O141" s="24">
        <f>IF(OR(M141="Win",M141="Loss"),IF(F141="Bet",K141,(I141-1)*K141),"")</f>
        <v/>
      </c>
    </row>
    <row r="142">
      <c r="A142" s="37" t="n">
        <v>46283</v>
      </c>
      <c r="B142" s="38" t="inlineStr">
        <is>
          <t>Canberra</t>
        </is>
      </c>
      <c r="C142" s="15" t="n">
        <v>7</v>
      </c>
      <c r="D142" s="15" t="n">
        <v>7</v>
      </c>
      <c r="E142" s="14" t="inlineStr">
        <is>
          <t>My Last Hooray</t>
        </is>
      </c>
      <c r="F142" s="43" t="inlineStr">
        <is>
          <t>Lay</t>
        </is>
      </c>
      <c r="G142" s="47" t="inlineStr">
        <is>
          <t>Lay</t>
        </is>
      </c>
      <c r="H142" s="41" t="n">
        <v>11.9</v>
      </c>
      <c r="I142" s="41" t="n">
        <v>5.79</v>
      </c>
      <c r="J142" s="16" t="n">
        <v>-0.0633</v>
      </c>
      <c r="K142" s="42" t="n">
        <v>1</v>
      </c>
      <c r="L142" s="15" t="n">
        <v>2</v>
      </c>
      <c r="M142" s="51" t="inlineStr">
        <is>
          <t>Win</t>
        </is>
      </c>
      <c r="N142" s="17">
        <f>IF(M142="Win",IF(F142="Bet",(I142-1)*K142,K142),IF(M142="Loss",IF(F142="Bet",-K142,-(I142-1)*K142),IF(M142="Void",0,"")))</f>
        <v/>
      </c>
      <c r="O142" s="18">
        <f>IF(OR(M142="Win",M142="Loss"),IF(F142="Bet",K142,(I142-1)*K142),"")</f>
        <v/>
      </c>
    </row>
    <row r="143">
      <c r="A143" s="44" t="n">
        <v>46283</v>
      </c>
      <c r="B143" s="45" t="inlineStr">
        <is>
          <t>Townsville</t>
        </is>
      </c>
      <c r="C143" s="21" t="n">
        <v>7</v>
      </c>
      <c r="D143" s="21" t="n">
        <v>8</v>
      </c>
      <c r="E143" s="20" t="inlineStr">
        <is>
          <t>British Gem</t>
        </is>
      </c>
      <c r="F143" s="46" t="inlineStr">
        <is>
          <t>Lay</t>
        </is>
      </c>
      <c r="G143" s="47" t="inlineStr">
        <is>
          <t>Lay</t>
        </is>
      </c>
      <c r="H143" s="48" t="n">
        <v>5.2</v>
      </c>
      <c r="I143" s="48" t="n">
        <v>3.7</v>
      </c>
      <c r="J143" s="22" t="n">
        <v>-0.064</v>
      </c>
      <c r="K143" s="49" t="n">
        <v>1</v>
      </c>
      <c r="L143" s="21" t="n">
        <v>8</v>
      </c>
      <c r="M143" s="50" t="inlineStr">
        <is>
          <t>Win</t>
        </is>
      </c>
      <c r="N143" s="23">
        <f>IF(M143="Win",IF(F143="Bet",(I143-1)*K143,K143),IF(M143="Loss",IF(F143="Bet",-K143,-(I143-1)*K143),IF(M143="Void",0,"")))</f>
        <v/>
      </c>
      <c r="O143" s="24">
        <f>IF(OR(M143="Win",M143="Loss"),IF(F143="Bet",K143,(I143-1)*K143),"")</f>
        <v/>
      </c>
    </row>
    <row r="144">
      <c r="A144" s="37" t="n">
        <v>46283</v>
      </c>
      <c r="B144" s="38" t="inlineStr">
        <is>
          <t>Ballarat</t>
        </is>
      </c>
      <c r="C144" s="15" t="n">
        <v>9</v>
      </c>
      <c r="D144" s="15" t="n">
        <v>5</v>
      </c>
      <c r="E144" s="14" t="inlineStr">
        <is>
          <t>La Barrita</t>
        </is>
      </c>
      <c r="F144" s="43" t="inlineStr">
        <is>
          <t>Lay</t>
        </is>
      </c>
      <c r="G144" s="47" t="inlineStr">
        <is>
          <t>Lay</t>
        </is>
      </c>
      <c r="H144" s="41" t="n">
        <v>6</v>
      </c>
      <c r="I144" s="41" t="n">
        <v>3.61</v>
      </c>
      <c r="J144" s="16" t="n">
        <v>-0.0704</v>
      </c>
      <c r="K144" s="42" t="n">
        <v>1</v>
      </c>
      <c r="L144" s="15" t="n">
        <v>1</v>
      </c>
      <c r="M144" s="43" t="inlineStr">
        <is>
          <t>Loss</t>
        </is>
      </c>
      <c r="N144" s="17">
        <f>IF(M144="Win",IF(F144="Bet",(I144-1)*K144,K144),IF(M144="Loss",IF(F144="Bet",-K144,-(I144-1)*K144),IF(M144="Void",0,"")))</f>
        <v/>
      </c>
      <c r="O144" s="18">
        <f>IF(OR(M144="Win",M144="Loss"),IF(F144="Bet",K144,(I144-1)*K144),"")</f>
        <v/>
      </c>
    </row>
    <row r="145">
      <c r="A145" s="44" t="n">
        <v>46284</v>
      </c>
      <c r="B145" s="45" t="inlineStr">
        <is>
          <t>Randwick</t>
        </is>
      </c>
      <c r="C145" s="21" t="n">
        <v>2</v>
      </c>
      <c r="D145" s="21" t="n">
        <v>2</v>
      </c>
      <c r="E145" s="20" t="inlineStr">
        <is>
          <t>Barrengarry</t>
        </is>
      </c>
      <c r="F145" s="46" t="inlineStr">
        <is>
          <t>Lay</t>
        </is>
      </c>
      <c r="G145" s="47" t="inlineStr">
        <is>
          <t>Lay</t>
        </is>
      </c>
      <c r="H145" s="48" t="n">
        <v>2.6</v>
      </c>
      <c r="I145" s="48" t="n">
        <v>1.78</v>
      </c>
      <c r="J145" s="22" t="n">
        <v>-0.1063</v>
      </c>
      <c r="K145" s="49" t="n">
        <v>1</v>
      </c>
      <c r="L145" s="21" t="n">
        <v>1</v>
      </c>
      <c r="M145" s="46" t="inlineStr">
        <is>
          <t>Loss</t>
        </is>
      </c>
      <c r="N145" s="23">
        <f>IF(M145="Win",IF(F145="Bet",(I145-1)*K145,K145),IF(M145="Loss",IF(F145="Bet",-K145,-(I145-1)*K145),IF(M145="Void",0,"")))</f>
        <v/>
      </c>
      <c r="O145" s="24">
        <f>IF(OR(M145="Win",M145="Loss"),IF(F145="Bet",K145,(I145-1)*K145),"")</f>
        <v/>
      </c>
    </row>
    <row r="146">
      <c r="A146" s="37" t="n">
        <v>46284</v>
      </c>
      <c r="B146" s="38" t="inlineStr">
        <is>
          <t>Morphettville Parks</t>
        </is>
      </c>
      <c r="C146" s="15" t="n">
        <v>3</v>
      </c>
      <c r="D146" s="15" t="n">
        <v>6</v>
      </c>
      <c r="E146" s="14" t="inlineStr">
        <is>
          <t>Light The Night</t>
        </is>
      </c>
      <c r="F146" s="43" t="inlineStr">
        <is>
          <t>Lay</t>
        </is>
      </c>
      <c r="G146" s="47" t="inlineStr">
        <is>
          <t>Lay</t>
        </is>
      </c>
      <c r="H146" s="41" t="n">
        <v>3.4</v>
      </c>
      <c r="I146" s="41" t="n">
        <v>2.5</v>
      </c>
      <c r="J146" s="16" t="n">
        <v>-0.0619</v>
      </c>
      <c r="K146" s="42" t="n">
        <v>1</v>
      </c>
      <c r="L146" s="15" t="n">
        <v>2</v>
      </c>
      <c r="M146" s="51" t="inlineStr">
        <is>
          <t>Win</t>
        </is>
      </c>
      <c r="N146" s="17">
        <f>IF(M146="Win",IF(F146="Bet",(I146-1)*K146,K146),IF(M146="Loss",IF(F146="Bet",-K146,-(I146-1)*K146),IF(M146="Void",0,"")))</f>
        <v/>
      </c>
      <c r="O146" s="18">
        <f>IF(OR(M146="Win",M146="Loss"),IF(F146="Bet",K146,(I146-1)*K146),"")</f>
        <v/>
      </c>
    </row>
    <row r="147">
      <c r="A147" s="44" t="n">
        <v>46284</v>
      </c>
      <c r="B147" s="45" t="inlineStr">
        <is>
          <t>Caulfield</t>
        </is>
      </c>
      <c r="C147" s="21" t="n">
        <v>8</v>
      </c>
      <c r="D147" s="21" t="n">
        <v>14</v>
      </c>
      <c r="E147" s="20" t="inlineStr">
        <is>
          <t>Zahrann</t>
        </is>
      </c>
      <c r="F147" s="46" t="inlineStr">
        <is>
          <t>Lay</t>
        </is>
      </c>
      <c r="G147" s="47" t="inlineStr">
        <is>
          <t>Lay</t>
        </is>
      </c>
      <c r="H147" s="48" t="n">
        <v>4.4</v>
      </c>
      <c r="I147" s="48" t="n">
        <v>3.05</v>
      </c>
      <c r="J147" s="22" t="n">
        <v>-0.0779</v>
      </c>
      <c r="K147" s="49" t="n">
        <v>1</v>
      </c>
      <c r="L147" s="21" t="n">
        <v>1</v>
      </c>
      <c r="M147" s="46" t="inlineStr">
        <is>
          <t>Loss</t>
        </is>
      </c>
      <c r="N147" s="23">
        <f>IF(M147="Win",IF(F147="Bet",(I147-1)*K147,K147),IF(M147="Loss",IF(F147="Bet",-K147,-(I147-1)*K147),IF(M147="Void",0,"")))</f>
        <v/>
      </c>
      <c r="O147" s="24">
        <f>IF(OR(M147="Win",M147="Loss"),IF(F147="Bet",K147,(I147-1)*K147),"")</f>
        <v/>
      </c>
    </row>
    <row r="148">
      <c r="A148" s="37" t="n">
        <v>46284</v>
      </c>
      <c r="B148" s="38" t="inlineStr">
        <is>
          <t>Eagle Farm</t>
        </is>
      </c>
      <c r="C148" s="15" t="n">
        <v>1</v>
      </c>
      <c r="D148" s="15" t="n">
        <v>1</v>
      </c>
      <c r="E148" s="14" t="inlineStr">
        <is>
          <t>Zweigelt</t>
        </is>
      </c>
      <c r="F148" s="43" t="inlineStr">
        <is>
          <t>Lay</t>
        </is>
      </c>
      <c r="G148" s="47" t="inlineStr">
        <is>
          <t>Lay</t>
        </is>
      </c>
      <c r="H148" s="41" t="n">
        <v>3.7</v>
      </c>
      <c r="I148" s="41" t="n">
        <v>2.86</v>
      </c>
      <c r="J148" s="16" t="n">
        <v>-0.0604</v>
      </c>
      <c r="K148" s="42" t="n">
        <v>1</v>
      </c>
      <c r="L148" s="15" t="n">
        <v>1</v>
      </c>
      <c r="M148" s="43" t="inlineStr">
        <is>
          <t>Loss</t>
        </is>
      </c>
      <c r="N148" s="17">
        <f>IF(M148="Win",IF(F148="Bet",(I148-1)*K148,K148),IF(M148="Loss",IF(F148="Bet",-K148,-(I148-1)*K148),IF(M148="Void",0,"")))</f>
        <v/>
      </c>
      <c r="O148" s="18">
        <f>IF(OR(M148="Win",M148="Loss"),IF(F148="Bet",K148,(I148-1)*K148),"")</f>
        <v/>
      </c>
    </row>
    <row r="149">
      <c r="A149" s="44" t="n">
        <v>46284</v>
      </c>
      <c r="B149" s="45" t="inlineStr">
        <is>
          <t>Gold Coast</t>
        </is>
      </c>
      <c r="C149" s="21" t="n">
        <v>8</v>
      </c>
      <c r="D149" s="21" t="n">
        <v>4</v>
      </c>
      <c r="E149" s="20" t="inlineStr">
        <is>
          <t>Metaphorically</t>
        </is>
      </c>
      <c r="F149" s="46" t="inlineStr">
        <is>
          <t>Lay</t>
        </is>
      </c>
      <c r="G149" s="47" t="inlineStr">
        <is>
          <t>Lay</t>
        </is>
      </c>
      <c r="H149" s="48" t="n">
        <v>5</v>
      </c>
      <c r="I149" s="48" t="n">
        <v>2.62</v>
      </c>
      <c r="J149" s="22" t="n">
        <v>-0.0759</v>
      </c>
      <c r="K149" s="49" t="n">
        <v>1</v>
      </c>
      <c r="L149" s="21" t="n">
        <v>1</v>
      </c>
      <c r="M149" s="46" t="inlineStr">
        <is>
          <t>Loss</t>
        </is>
      </c>
      <c r="N149" s="23">
        <f>IF(M149="Win",IF(F149="Bet",(I149-1)*K149,K149),IF(M149="Loss",IF(F149="Bet",-K149,-(I149-1)*K149),IF(M149="Void",0,"")))</f>
        <v/>
      </c>
      <c r="O149" s="24">
        <f>IF(OR(M149="Win",M149="Loss"),IF(F149="Bet",K149,(I149-1)*K149),"")</f>
        <v/>
      </c>
    </row>
    <row r="150">
      <c r="A150" s="37" t="n">
        <v>46284</v>
      </c>
      <c r="B150" s="38" t="inlineStr">
        <is>
          <t>Gold Coast</t>
        </is>
      </c>
      <c r="C150" s="15" t="n">
        <v>9</v>
      </c>
      <c r="D150" s="15" t="n">
        <v>8</v>
      </c>
      <c r="E150" s="14" t="inlineStr">
        <is>
          <t>Hurricane Lu</t>
        </is>
      </c>
      <c r="F150" s="43" t="inlineStr">
        <is>
          <t>Lay</t>
        </is>
      </c>
      <c r="G150" s="47" t="inlineStr">
        <is>
          <t>Lay</t>
        </is>
      </c>
      <c r="H150" s="41" t="n">
        <v>3.3</v>
      </c>
      <c r="I150" s="41" t="n">
        <v>1.91</v>
      </c>
      <c r="J150" s="16" t="n">
        <v>-0.0708</v>
      </c>
      <c r="K150" s="42" t="n">
        <v>1</v>
      </c>
      <c r="L150" s="15" t="n">
        <v>3</v>
      </c>
      <c r="M150" s="51" t="inlineStr">
        <is>
          <t>Win</t>
        </is>
      </c>
      <c r="N150" s="17">
        <f>IF(M150="Win",IF(F150="Bet",(I150-1)*K150,K150),IF(M150="Loss",IF(F150="Bet",-K150,-(I150-1)*K150),IF(M150="Void",0,"")))</f>
        <v/>
      </c>
      <c r="O150" s="18">
        <f>IF(OR(M150="Win",M150="Loss"),IF(F150="Bet",K150,(I150-1)*K150),"")</f>
        <v/>
      </c>
    </row>
    <row r="151">
      <c r="A151" s="44" t="n">
        <v>46284</v>
      </c>
      <c r="B151" s="45" t="inlineStr">
        <is>
          <t>Darwin</t>
        </is>
      </c>
      <c r="C151" s="21" t="n">
        <v>3</v>
      </c>
      <c r="D151" s="21" t="n">
        <v>1</v>
      </c>
      <c r="E151" s="20" t="inlineStr">
        <is>
          <t>Wild Beau</t>
        </is>
      </c>
      <c r="F151" s="46" t="inlineStr">
        <is>
          <t>Lay</t>
        </is>
      </c>
      <c r="G151" s="47" t="inlineStr">
        <is>
          <t>Lay</t>
        </is>
      </c>
      <c r="H151" s="48" t="n">
        <v>1.55</v>
      </c>
      <c r="I151" s="48" t="n">
        <v>1.36</v>
      </c>
      <c r="J151" s="22" t="n">
        <v>-0.0697</v>
      </c>
      <c r="K151" s="49" t="n">
        <v>1</v>
      </c>
      <c r="L151" s="21" t="n">
        <v>1</v>
      </c>
      <c r="M151" s="46" t="inlineStr">
        <is>
          <t>Loss</t>
        </is>
      </c>
      <c r="N151" s="23">
        <f>IF(M151="Win",IF(F151="Bet",(I151-1)*K151,K151),IF(M151="Loss",IF(F151="Bet",-K151,-(I151-1)*K151),IF(M151="Void",0,"")))</f>
        <v/>
      </c>
      <c r="O151" s="24">
        <f>IF(OR(M151="Win",M151="Loss"),IF(F151="Bet",K151,(I151-1)*K151),"")</f>
        <v/>
      </c>
    </row>
    <row r="152">
      <c r="A152" s="37" t="n">
        <v>46284</v>
      </c>
      <c r="B152" s="38" t="inlineStr">
        <is>
          <t>Randwick</t>
        </is>
      </c>
      <c r="C152" s="15" t="n">
        <v>1</v>
      </c>
      <c r="D152" s="15" t="n">
        <v>10</v>
      </c>
      <c r="E152" s="14" t="inlineStr">
        <is>
          <t>Cruizingthestars</t>
        </is>
      </c>
      <c r="F152" s="43" t="inlineStr">
        <is>
          <t>Lay</t>
        </is>
      </c>
      <c r="G152" s="47" t="inlineStr">
        <is>
          <t>Lay</t>
        </is>
      </c>
      <c r="H152" s="41" t="n">
        <v>5.7</v>
      </c>
      <c r="I152" s="41" t="n">
        <v>3.23</v>
      </c>
      <c r="J152" s="16" t="n">
        <v>-0.0639</v>
      </c>
      <c r="K152" s="42" t="n">
        <v>1</v>
      </c>
      <c r="L152" s="15" t="n">
        <v>1</v>
      </c>
      <c r="M152" s="43" t="inlineStr">
        <is>
          <t>Loss</t>
        </is>
      </c>
      <c r="N152" s="17">
        <f>IF(M152="Win",IF(F152="Bet",(I152-1)*K152,K152),IF(M152="Loss",IF(F152="Bet",-K152,-(I152-1)*K152),IF(M152="Void",0,"")))</f>
        <v/>
      </c>
      <c r="O152" s="18">
        <f>IF(OR(M152="Win",M152="Loss"),IF(F152="Bet",K152,(I152-1)*K152),"")</f>
        <v/>
      </c>
    </row>
    <row r="153">
      <c r="A153" s="44" t="n">
        <v>46284</v>
      </c>
      <c r="B153" s="45" t="inlineStr">
        <is>
          <t>Darwin</t>
        </is>
      </c>
      <c r="C153" s="21" t="n">
        <v>2</v>
      </c>
      <c r="D153" s="21" t="n">
        <v>2</v>
      </c>
      <c r="E153" s="20" t="inlineStr">
        <is>
          <t>All Inclusive</t>
        </is>
      </c>
      <c r="F153" s="46" t="inlineStr">
        <is>
          <t>Lay</t>
        </is>
      </c>
      <c r="G153" s="47" t="inlineStr">
        <is>
          <t>Lay</t>
        </is>
      </c>
      <c r="H153" s="48" t="n">
        <v>3.7</v>
      </c>
      <c r="I153" s="48" t="n">
        <v>2.46</v>
      </c>
      <c r="J153" s="22" t="n">
        <v>-0.0757</v>
      </c>
      <c r="K153" s="49" t="n">
        <v>1</v>
      </c>
      <c r="L153" s="21" t="n">
        <v>1</v>
      </c>
      <c r="M153" s="46" t="inlineStr">
        <is>
          <t>Loss</t>
        </is>
      </c>
      <c r="N153" s="23">
        <f>IF(M153="Win",IF(F153="Bet",(I153-1)*K153,K153),IF(M153="Loss",IF(F153="Bet",-K153,-(I153-1)*K153),IF(M153="Void",0,"")))</f>
        <v/>
      </c>
      <c r="O153" s="24">
        <f>IF(OR(M153="Win",M153="Loss"),IF(F153="Bet",K153,(I153-1)*K153),"")</f>
        <v/>
      </c>
    </row>
    <row r="154">
      <c r="A154" s="37" t="n">
        <v>46284</v>
      </c>
      <c r="B154" s="38" t="inlineStr">
        <is>
          <t>Eagle Farm</t>
        </is>
      </c>
      <c r="C154" s="15" t="n">
        <v>2</v>
      </c>
      <c r="D154" s="15" t="n">
        <v>15</v>
      </c>
      <c r="E154" s="14" t="inlineStr">
        <is>
          <t>Metric</t>
        </is>
      </c>
      <c r="F154" s="43" t="inlineStr">
        <is>
          <t>Lay</t>
        </is>
      </c>
      <c r="G154" s="47" t="inlineStr">
        <is>
          <t>Lay</t>
        </is>
      </c>
      <c r="H154" s="41" t="n">
        <v>3.2</v>
      </c>
      <c r="I154" s="41" t="n">
        <v>2.28</v>
      </c>
      <c r="J154" s="16" t="n">
        <v>-0.07530000000000001</v>
      </c>
      <c r="K154" s="42" t="n">
        <v>1</v>
      </c>
      <c r="L154" s="15" t="n">
        <v>1</v>
      </c>
      <c r="M154" s="43" t="inlineStr">
        <is>
          <t>Loss</t>
        </is>
      </c>
      <c r="N154" s="17">
        <f>IF(M154="Win",IF(F154="Bet",(I154-1)*K154,K154),IF(M154="Loss",IF(F154="Bet",-K154,-(I154-1)*K154),IF(M154="Void",0,"")))</f>
        <v/>
      </c>
      <c r="O154" s="18">
        <f>IF(OR(M154="Win",M154="Loss"),IF(F154="Bet",K154,(I154-1)*K154),"")</f>
        <v/>
      </c>
    </row>
    <row r="155">
      <c r="A155" s="44" t="n">
        <v>46284</v>
      </c>
      <c r="B155" s="45" t="inlineStr">
        <is>
          <t>Eagle Farm</t>
        </is>
      </c>
      <c r="C155" s="21" t="n">
        <v>5</v>
      </c>
      <c r="D155" s="21" t="n">
        <v>6</v>
      </c>
      <c r="E155" s="20" t="inlineStr">
        <is>
          <t>Esha</t>
        </is>
      </c>
      <c r="F155" s="46" t="inlineStr">
        <is>
          <t>Lay</t>
        </is>
      </c>
      <c r="G155" s="47" t="inlineStr">
        <is>
          <t>Lay</t>
        </is>
      </c>
      <c r="H155" s="48" t="n">
        <v>2.1</v>
      </c>
      <c r="I155" s="48" t="n">
        <v>1.57</v>
      </c>
      <c r="J155" s="22" t="n">
        <v>-0.07779999999999999</v>
      </c>
      <c r="K155" s="49" t="n">
        <v>1</v>
      </c>
      <c r="L155" s="21" t="n">
        <v>1</v>
      </c>
      <c r="M155" s="46" t="inlineStr">
        <is>
          <t>Loss</t>
        </is>
      </c>
      <c r="N155" s="23">
        <f>IF(M155="Win",IF(F155="Bet",(I155-1)*K155,K155),IF(M155="Loss",IF(F155="Bet",-K155,-(I155-1)*K155),IF(M155="Void",0,"")))</f>
        <v/>
      </c>
      <c r="O155" s="24">
        <f>IF(OR(M155="Win",M155="Loss"),IF(F155="Bet",K155,(I155-1)*K155),"")</f>
        <v/>
      </c>
    </row>
    <row r="156">
      <c r="A156" s="37" t="n">
        <v>46284</v>
      </c>
      <c r="B156" s="38" t="inlineStr">
        <is>
          <t>Eagle Farm</t>
        </is>
      </c>
      <c r="C156" s="15" t="n">
        <v>8</v>
      </c>
      <c r="D156" s="15" t="n">
        <v>12</v>
      </c>
      <c r="E156" s="14" t="inlineStr">
        <is>
          <t>Vincley</t>
        </is>
      </c>
      <c r="F156" s="43" t="inlineStr">
        <is>
          <t>Lay</t>
        </is>
      </c>
      <c r="G156" s="47" t="inlineStr">
        <is>
          <t>Lay</t>
        </is>
      </c>
      <c r="H156" s="41" t="n">
        <v>5.2</v>
      </c>
      <c r="I156" s="41" t="n">
        <v>3.8</v>
      </c>
      <c r="J156" s="16" t="n">
        <v>-0.06950000000000001</v>
      </c>
      <c r="K156" s="42" t="n">
        <v>1</v>
      </c>
      <c r="L156" s="15" t="n"/>
      <c r="M156" s="54" t="inlineStr">
        <is>
          <t>Void</t>
        </is>
      </c>
      <c r="N156" s="17">
        <f>IF(M156="Win",IF(F156="Bet",(I156-1)*K156,K156),IF(M156="Loss",IF(F156="Bet",-K156,-(I156-1)*K156),IF(M156="Void",0,"")))</f>
        <v/>
      </c>
      <c r="O156" s="18">
        <f>IF(OR(M156="Win",M156="Loss"),IF(F156="Bet",K156,(I156-1)*K156),"")</f>
        <v/>
      </c>
    </row>
    <row r="157">
      <c r="A157" s="44" t="n">
        <v>46284</v>
      </c>
      <c r="B157" s="45" t="inlineStr">
        <is>
          <t>Newcastle</t>
        </is>
      </c>
      <c r="C157" s="21" t="n">
        <v>1</v>
      </c>
      <c r="D157" s="21" t="n">
        <v>8</v>
      </c>
      <c r="E157" s="20" t="inlineStr">
        <is>
          <t>Excelluna</t>
        </is>
      </c>
      <c r="F157" s="46" t="inlineStr">
        <is>
          <t>Lay</t>
        </is>
      </c>
      <c r="G157" s="47" t="inlineStr">
        <is>
          <t>Lay</t>
        </is>
      </c>
      <c r="H157" s="48" t="n">
        <v>3.2</v>
      </c>
      <c r="I157" s="48" t="n">
        <v>2.6</v>
      </c>
      <c r="J157" s="22" t="n">
        <v>-0.0697</v>
      </c>
      <c r="K157" s="49" t="n">
        <v>1</v>
      </c>
      <c r="L157" s="21" t="n">
        <v>1</v>
      </c>
      <c r="M157" s="46" t="inlineStr">
        <is>
          <t>Loss</t>
        </is>
      </c>
      <c r="N157" s="23">
        <f>IF(M157="Win",IF(F157="Bet",(I157-1)*K157,K157),IF(M157="Loss",IF(F157="Bet",-K157,-(I157-1)*K157),IF(M157="Void",0,"")))</f>
        <v/>
      </c>
      <c r="O157" s="24">
        <f>IF(OR(M157="Win",M157="Loss"),IF(F157="Bet",K157,(I157-1)*K157),"")</f>
        <v/>
      </c>
    </row>
    <row r="158">
      <c r="A158" s="37" t="n">
        <v>46284</v>
      </c>
      <c r="B158" s="38" t="inlineStr">
        <is>
          <t>Newcastle</t>
        </is>
      </c>
      <c r="C158" s="15" t="n">
        <v>2</v>
      </c>
      <c r="D158" s="15" t="n">
        <v>7</v>
      </c>
      <c r="E158" s="14" t="inlineStr">
        <is>
          <t>Klocke</t>
        </is>
      </c>
      <c r="F158" s="43" t="inlineStr">
        <is>
          <t>Lay</t>
        </is>
      </c>
      <c r="G158" s="47" t="inlineStr">
        <is>
          <t>Lay</t>
        </is>
      </c>
      <c r="H158" s="41" t="n">
        <v>2.05</v>
      </c>
      <c r="I158" s="41" t="n">
        <v>1.41</v>
      </c>
      <c r="J158" s="16" t="n">
        <v>-0.0675</v>
      </c>
      <c r="K158" s="42" t="n">
        <v>1</v>
      </c>
      <c r="L158" s="15" t="n">
        <v>2</v>
      </c>
      <c r="M158" s="51" t="inlineStr">
        <is>
          <t>Win</t>
        </is>
      </c>
      <c r="N158" s="17">
        <f>IF(M158="Win",IF(F158="Bet",(I158-1)*K158,K158),IF(M158="Loss",IF(F158="Bet",-K158,-(I158-1)*K158),IF(M158="Void",0,"")))</f>
        <v/>
      </c>
      <c r="O158" s="18">
        <f>IF(OR(M158="Win",M158="Loss"),IF(F158="Bet",K158,(I158-1)*K158),"")</f>
        <v/>
      </c>
    </row>
    <row r="159">
      <c r="A159" s="44" t="n">
        <v>46284</v>
      </c>
      <c r="B159" s="45" t="inlineStr">
        <is>
          <t>Gold Coast</t>
        </is>
      </c>
      <c r="C159" s="21" t="n">
        <v>7</v>
      </c>
      <c r="D159" s="21" t="n">
        <v>1</v>
      </c>
      <c r="E159" s="20" t="inlineStr">
        <is>
          <t>Grand Impact</t>
        </is>
      </c>
      <c r="F159" s="46" t="inlineStr">
        <is>
          <t>Lay</t>
        </is>
      </c>
      <c r="G159" s="47" t="inlineStr">
        <is>
          <t>Lay</t>
        </is>
      </c>
      <c r="H159" s="48" t="n">
        <v>3.3</v>
      </c>
      <c r="I159" s="48" t="n">
        <v>2.48</v>
      </c>
      <c r="J159" s="22" t="n">
        <v>-0.0709</v>
      </c>
      <c r="K159" s="49" t="n">
        <v>1</v>
      </c>
      <c r="L159" s="21" t="n">
        <v>5</v>
      </c>
      <c r="M159" s="50" t="inlineStr">
        <is>
          <t>Win</t>
        </is>
      </c>
      <c r="N159" s="23">
        <f>IF(M159="Win",IF(F159="Bet",(I159-1)*K159,K159),IF(M159="Loss",IF(F159="Bet",-K159,-(I159-1)*K159),IF(M159="Void",0,"")))</f>
        <v/>
      </c>
      <c r="O159" s="24">
        <f>IF(OR(M159="Win",M159="Loss"),IF(F159="Bet",K159,(I159-1)*K159),"")</f>
        <v/>
      </c>
    </row>
    <row r="160">
      <c r="A160" s="37" t="n">
        <v>46284</v>
      </c>
      <c r="B160" s="38" t="inlineStr">
        <is>
          <t>Wagga</t>
        </is>
      </c>
      <c r="C160" s="15" t="n">
        <v>2</v>
      </c>
      <c r="D160" s="15" t="n">
        <v>9</v>
      </c>
      <c r="E160" s="14" t="inlineStr">
        <is>
          <t>El Cool Gee</t>
        </is>
      </c>
      <c r="F160" s="43" t="inlineStr">
        <is>
          <t>Lay</t>
        </is>
      </c>
      <c r="G160" s="47" t="inlineStr">
        <is>
          <t>Lay</t>
        </is>
      </c>
      <c r="H160" s="41" t="n">
        <v>3.3</v>
      </c>
      <c r="I160" s="41" t="n">
        <v>2.65</v>
      </c>
      <c r="J160" s="16" t="n">
        <v>-0.0634</v>
      </c>
      <c r="K160" s="42" t="n">
        <v>1</v>
      </c>
      <c r="L160" s="15" t="n">
        <v>2</v>
      </c>
      <c r="M160" s="51" t="inlineStr">
        <is>
          <t>Win</t>
        </is>
      </c>
      <c r="N160" s="17">
        <f>IF(M160="Win",IF(F160="Bet",(I160-1)*K160,K160),IF(M160="Loss",IF(F160="Bet",-K160,-(I160-1)*K160),IF(M160="Void",0,"")))</f>
        <v/>
      </c>
      <c r="O160" s="18">
        <f>IF(OR(M160="Win",M160="Loss"),IF(F160="Bet",K160,(I160-1)*K160),"")</f>
        <v/>
      </c>
    </row>
    <row r="161">
      <c r="A161" s="44" t="n">
        <v>46284</v>
      </c>
      <c r="B161" s="45" t="inlineStr">
        <is>
          <t>Morphettville Parks</t>
        </is>
      </c>
      <c r="C161" s="21" t="n">
        <v>9</v>
      </c>
      <c r="D161" s="21" t="n">
        <v>2</v>
      </c>
      <c r="E161" s="20" t="inlineStr">
        <is>
          <t>Nicish</t>
        </is>
      </c>
      <c r="F161" s="46" t="inlineStr">
        <is>
          <t>Lay</t>
        </is>
      </c>
      <c r="G161" s="47" t="inlineStr">
        <is>
          <t>Lay</t>
        </is>
      </c>
      <c r="H161" s="48" t="n">
        <v>4</v>
      </c>
      <c r="I161" s="48" t="n">
        <v>2.96</v>
      </c>
      <c r="J161" s="22" t="n">
        <v>-0.0687</v>
      </c>
      <c r="K161" s="49" t="n">
        <v>1</v>
      </c>
      <c r="L161" s="21" t="n">
        <v>9</v>
      </c>
      <c r="M161" s="50" t="inlineStr">
        <is>
          <t>Win</t>
        </is>
      </c>
      <c r="N161" s="23">
        <f>IF(M161="Win",IF(F161="Bet",(I161-1)*K161,K161),IF(M161="Loss",IF(F161="Bet",-K161,-(I161-1)*K161),IF(M161="Void",0,"")))</f>
        <v/>
      </c>
      <c r="O161" s="24">
        <f>IF(OR(M161="Win",M161="Loss"),IF(F161="Bet",K161,(I161-1)*K161),"")</f>
        <v/>
      </c>
    </row>
    <row r="162">
      <c r="A162" s="37" t="n">
        <v>46284</v>
      </c>
      <c r="B162" s="38" t="inlineStr">
        <is>
          <t>Caulfield</t>
        </is>
      </c>
      <c r="C162" s="15" t="n">
        <v>7</v>
      </c>
      <c r="D162" s="15" t="n">
        <v>1</v>
      </c>
      <c r="E162" s="14" t="inlineStr">
        <is>
          <t>Lindermann</t>
        </is>
      </c>
      <c r="F162" s="43" t="inlineStr">
        <is>
          <t>Lay</t>
        </is>
      </c>
      <c r="G162" s="47" t="inlineStr">
        <is>
          <t>Lay</t>
        </is>
      </c>
      <c r="H162" s="41" t="n">
        <v>3.7</v>
      </c>
      <c r="I162" s="41" t="n">
        <v>2.72</v>
      </c>
      <c r="J162" s="16" t="n">
        <v>-0.0621</v>
      </c>
      <c r="K162" s="42" t="n">
        <v>1</v>
      </c>
      <c r="L162" s="15" t="n">
        <v>8</v>
      </c>
      <c r="M162" s="51" t="inlineStr">
        <is>
          <t>Win</t>
        </is>
      </c>
      <c r="N162" s="17">
        <f>IF(M162="Win",IF(F162="Bet",(I162-1)*K162,K162),IF(M162="Loss",IF(F162="Bet",-K162,-(I162-1)*K162),IF(M162="Void",0,"")))</f>
        <v/>
      </c>
      <c r="O162" s="18">
        <f>IF(OR(M162="Win",M162="Loss"),IF(F162="Bet",K162,(I162-1)*K162),"")</f>
        <v/>
      </c>
    </row>
    <row r="163">
      <c r="A163" s="44" t="n">
        <v>46284</v>
      </c>
      <c r="B163" s="45" t="inlineStr">
        <is>
          <t>Randwick</t>
        </is>
      </c>
      <c r="C163" s="21" t="n">
        <v>7</v>
      </c>
      <c r="D163" s="21" t="n">
        <v>3</v>
      </c>
      <c r="E163" s="20" t="inlineStr">
        <is>
          <t>Striking Alibi</t>
        </is>
      </c>
      <c r="F163" s="46" t="inlineStr">
        <is>
          <t>Lay</t>
        </is>
      </c>
      <c r="G163" s="47" t="inlineStr">
        <is>
          <t>Lay</t>
        </is>
      </c>
      <c r="H163" s="48" t="n">
        <v>5.5</v>
      </c>
      <c r="I163" s="48" t="n">
        <v>3.1</v>
      </c>
      <c r="J163" s="22" t="n">
        <v>-0.08069999999999999</v>
      </c>
      <c r="K163" s="49" t="n">
        <v>1</v>
      </c>
      <c r="L163" s="21" t="n">
        <v>2</v>
      </c>
      <c r="M163" s="50" t="inlineStr">
        <is>
          <t>Win</t>
        </is>
      </c>
      <c r="N163" s="23">
        <f>IF(M163="Win",IF(F163="Bet",(I163-1)*K163,K163),IF(M163="Loss",IF(F163="Bet",-K163,-(I163-1)*K163),IF(M163="Void",0,"")))</f>
        <v/>
      </c>
      <c r="O163" s="24">
        <f>IF(OR(M163="Win",M163="Loss"),IF(F163="Bet",K163,(I163-1)*K163),"")</f>
        <v/>
      </c>
    </row>
    <row r="164">
      <c r="A164" s="37" t="n">
        <v>46284</v>
      </c>
      <c r="B164" s="38" t="inlineStr">
        <is>
          <t>Gold Coast</t>
        </is>
      </c>
      <c r="C164" s="15" t="n">
        <v>2</v>
      </c>
      <c r="D164" s="15" t="n">
        <v>4</v>
      </c>
      <c r="E164" s="14" t="inlineStr">
        <is>
          <t>Weownachevy</t>
        </is>
      </c>
      <c r="F164" s="43" t="inlineStr">
        <is>
          <t>Lay</t>
        </is>
      </c>
      <c r="G164" s="47" t="inlineStr">
        <is>
          <t>Lay</t>
        </is>
      </c>
      <c r="H164" s="41" t="n">
        <v>4.3</v>
      </c>
      <c r="I164" s="41" t="n">
        <v>2.98</v>
      </c>
      <c r="J164" s="16" t="n">
        <v>-0.0983</v>
      </c>
      <c r="K164" s="42" t="n">
        <v>1</v>
      </c>
      <c r="L164" s="15" t="n">
        <v>1</v>
      </c>
      <c r="M164" s="43" t="inlineStr">
        <is>
          <t>Loss</t>
        </is>
      </c>
      <c r="N164" s="17">
        <f>IF(M164="Win",IF(F164="Bet",(I164-1)*K164,K164),IF(M164="Loss",IF(F164="Bet",-K164,-(I164-1)*K164),IF(M164="Void",0,"")))</f>
        <v/>
      </c>
      <c r="O164" s="18">
        <f>IF(OR(M164="Win",M164="Loss"),IF(F164="Bet",K164,(I164-1)*K164),"")</f>
        <v/>
      </c>
    </row>
    <row r="165">
      <c r="A165" s="44" t="n">
        <v>46284</v>
      </c>
      <c r="B165" s="45" t="inlineStr">
        <is>
          <t>Bowraville</t>
        </is>
      </c>
      <c r="C165" s="21" t="n">
        <v>7</v>
      </c>
      <c r="D165" s="21" t="n">
        <v>7</v>
      </c>
      <c r="E165" s="20" t="inlineStr">
        <is>
          <t>Enzoni</t>
        </is>
      </c>
      <c r="F165" s="46" t="inlineStr">
        <is>
          <t>Lay</t>
        </is>
      </c>
      <c r="G165" s="47" t="inlineStr">
        <is>
          <t>Lay</t>
        </is>
      </c>
      <c r="H165" s="48" t="n">
        <v>5.4</v>
      </c>
      <c r="I165" s="48" t="n">
        <v>3.35</v>
      </c>
      <c r="J165" s="22" t="n">
        <v>-0.0759</v>
      </c>
      <c r="K165" s="49" t="n">
        <v>1</v>
      </c>
      <c r="L165" s="21" t="n">
        <v>5</v>
      </c>
      <c r="M165" s="50" t="inlineStr">
        <is>
          <t>Win</t>
        </is>
      </c>
      <c r="N165" s="23">
        <f>IF(M165="Win",IF(F165="Bet",(I165-1)*K165,K165),IF(M165="Loss",IF(F165="Bet",-K165,-(I165-1)*K165),IF(M165="Void",0,"")))</f>
        <v/>
      </c>
      <c r="O165" s="24">
        <f>IF(OR(M165="Win",M165="Loss"),IF(F165="Bet",K165,(I165-1)*K165),"")</f>
        <v/>
      </c>
    </row>
    <row r="166">
      <c r="A166" s="37" t="n">
        <v>46284</v>
      </c>
      <c r="B166" s="38" t="inlineStr">
        <is>
          <t>Belmont</t>
        </is>
      </c>
      <c r="C166" s="15" t="n">
        <v>3</v>
      </c>
      <c r="D166" s="15" t="n">
        <v>1</v>
      </c>
      <c r="E166" s="14" t="inlineStr">
        <is>
          <t>Ginnivan</t>
        </is>
      </c>
      <c r="F166" s="43" t="inlineStr">
        <is>
          <t>Lay</t>
        </is>
      </c>
      <c r="G166" s="47" t="inlineStr">
        <is>
          <t>Lay</t>
        </is>
      </c>
      <c r="H166" s="41" t="n">
        <v>6</v>
      </c>
      <c r="I166" s="41" t="n">
        <v>3.2</v>
      </c>
      <c r="J166" s="16" t="n">
        <v>-0.0601</v>
      </c>
      <c r="K166" s="42" t="n">
        <v>1</v>
      </c>
      <c r="L166" s="15" t="n">
        <v>7</v>
      </c>
      <c r="M166" s="51" t="inlineStr">
        <is>
          <t>Win</t>
        </is>
      </c>
      <c r="N166" s="17">
        <f>IF(M166="Win",IF(F166="Bet",(I166-1)*K166,K166),IF(M166="Loss",IF(F166="Bet",-K166,-(I166-1)*K166),IF(M166="Void",0,"")))</f>
        <v/>
      </c>
      <c r="O166" s="18">
        <f>IF(OR(M166="Win",M166="Loss"),IF(F166="Bet",K166,(I166-1)*K166),"")</f>
        <v/>
      </c>
    </row>
    <row r="167">
      <c r="A167" s="44" t="n">
        <v>46284</v>
      </c>
      <c r="B167" s="45" t="inlineStr">
        <is>
          <t>Mt Magnet</t>
        </is>
      </c>
      <c r="C167" s="21" t="n">
        <v>6</v>
      </c>
      <c r="D167" s="21" t="n">
        <v>1</v>
      </c>
      <c r="E167" s="20" t="inlineStr">
        <is>
          <t>Another Nephew</t>
        </is>
      </c>
      <c r="F167" s="46" t="inlineStr">
        <is>
          <t>Lay</t>
        </is>
      </c>
      <c r="G167" s="47" t="inlineStr">
        <is>
          <t>Lay</t>
        </is>
      </c>
      <c r="H167" s="48" t="n">
        <v>2.9</v>
      </c>
      <c r="I167" s="48" t="n">
        <v>2.15</v>
      </c>
      <c r="J167" s="22" t="n">
        <v>-0.0859</v>
      </c>
      <c r="K167" s="49" t="n">
        <v>1</v>
      </c>
      <c r="L167" s="21" t="n"/>
      <c r="M167" s="55" t="inlineStr">
        <is>
          <t>Void</t>
        </is>
      </c>
      <c r="N167" s="23">
        <f>IF(M167="Win",IF(F167="Bet",(I167-1)*K167,K167),IF(M167="Loss",IF(F167="Bet",-K167,-(I167-1)*K167),IF(M167="Void",0,"")))</f>
        <v/>
      </c>
      <c r="O167" s="24">
        <f>IF(OR(M167="Win",M167="Loss"),IF(F167="Bet",K167,(I167-1)*K167),"")</f>
        <v/>
      </c>
    </row>
    <row r="168">
      <c r="A168" s="37" t="n">
        <v>46284</v>
      </c>
      <c r="B168" s="38" t="inlineStr">
        <is>
          <t>Randwick</t>
        </is>
      </c>
      <c r="C168" s="15" t="n">
        <v>5</v>
      </c>
      <c r="D168" s="15" t="n">
        <v>1</v>
      </c>
      <c r="E168" s="14" t="inlineStr">
        <is>
          <t>Headley Grange</t>
        </is>
      </c>
      <c r="F168" s="43" t="inlineStr">
        <is>
          <t>Lay</t>
        </is>
      </c>
      <c r="G168" s="47" t="inlineStr">
        <is>
          <t>Lay</t>
        </is>
      </c>
      <c r="H168" s="41" t="n">
        <v>3.9</v>
      </c>
      <c r="I168" s="41" t="n">
        <v>3</v>
      </c>
      <c r="J168" s="16" t="n">
        <v>-0.07969999999999999</v>
      </c>
      <c r="K168" s="42" t="n">
        <v>1</v>
      </c>
      <c r="L168" s="15" t="n">
        <v>3</v>
      </c>
      <c r="M168" s="51" t="inlineStr">
        <is>
          <t>Win</t>
        </is>
      </c>
      <c r="N168" s="17">
        <f>IF(M168="Win",IF(F168="Bet",(I168-1)*K168,K168),IF(M168="Loss",IF(F168="Bet",-K168,-(I168-1)*K168),IF(M168="Void",0,"")))</f>
        <v/>
      </c>
      <c r="O168" s="18">
        <f>IF(OR(M168="Win",M168="Loss"),IF(F168="Bet",K168,(I168-1)*K168),"")</f>
        <v/>
      </c>
    </row>
    <row r="169">
      <c r="A169" s="44" t="n">
        <v>46284</v>
      </c>
      <c r="B169" s="45" t="inlineStr">
        <is>
          <t>Gold Coast</t>
        </is>
      </c>
      <c r="C169" s="21" t="n">
        <v>1</v>
      </c>
      <c r="D169" s="21" t="n">
        <v>5</v>
      </c>
      <c r="E169" s="20" t="inlineStr">
        <is>
          <t>Yes Donald Yes</t>
        </is>
      </c>
      <c r="F169" s="46" t="inlineStr">
        <is>
          <t>Lay</t>
        </is>
      </c>
      <c r="G169" s="47" t="inlineStr">
        <is>
          <t>Lay</t>
        </is>
      </c>
      <c r="H169" s="48" t="n">
        <v>5.2</v>
      </c>
      <c r="I169" s="48" t="n">
        <v>2.57</v>
      </c>
      <c r="J169" s="22" t="n">
        <v>-0.0626</v>
      </c>
      <c r="K169" s="49" t="n">
        <v>1</v>
      </c>
      <c r="L169" s="21" t="n">
        <v>2</v>
      </c>
      <c r="M169" s="50" t="inlineStr">
        <is>
          <t>Win</t>
        </is>
      </c>
      <c r="N169" s="23">
        <f>IF(M169="Win",IF(F169="Bet",(I169-1)*K169,K169),IF(M169="Loss",IF(F169="Bet",-K169,-(I169-1)*K169),IF(M169="Void",0,"")))</f>
        <v/>
      </c>
      <c r="O169" s="24">
        <f>IF(OR(M169="Win",M169="Loss"),IF(F169="Bet",K169,(I169-1)*K169),"")</f>
        <v/>
      </c>
    </row>
    <row r="170">
      <c r="A170" s="37" t="n">
        <v>46284</v>
      </c>
      <c r="B170" s="38" t="inlineStr">
        <is>
          <t>Eagle Farm</t>
        </is>
      </c>
      <c r="C170" s="15" t="n">
        <v>8</v>
      </c>
      <c r="D170" s="15" t="n">
        <v>11</v>
      </c>
      <c r="E170" s="14" t="inlineStr">
        <is>
          <t>Olivoni</t>
        </is>
      </c>
      <c r="F170" s="43" t="inlineStr">
        <is>
          <t>Lay</t>
        </is>
      </c>
      <c r="G170" s="47" t="inlineStr">
        <is>
          <t>Lay</t>
        </is>
      </c>
      <c r="H170" s="41" t="n">
        <v>3.4</v>
      </c>
      <c r="I170" s="41" t="n">
        <v>1.71</v>
      </c>
      <c r="J170" s="16" t="n">
        <v>-0.094</v>
      </c>
      <c r="K170" s="42" t="n">
        <v>1</v>
      </c>
      <c r="L170" s="15" t="n">
        <v>2</v>
      </c>
      <c r="M170" s="51" t="inlineStr">
        <is>
          <t>Win</t>
        </is>
      </c>
      <c r="N170" s="17">
        <f>IF(M170="Win",IF(F170="Bet",(I170-1)*K170,K170),IF(M170="Loss",IF(F170="Bet",-K170,-(I170-1)*K170),IF(M170="Void",0,"")))</f>
        <v/>
      </c>
      <c r="O170" s="18">
        <f>IF(OR(M170="Win",M170="Loss"),IF(F170="Bet",K170,(I170-1)*K170),"")</f>
        <v/>
      </c>
    </row>
    <row r="171">
      <c r="A171" s="44" t="n">
        <v>46284</v>
      </c>
      <c r="B171" s="45" t="inlineStr">
        <is>
          <t>Echuca</t>
        </is>
      </c>
      <c r="C171" s="21" t="n">
        <v>4</v>
      </c>
      <c r="D171" s="21" t="n">
        <v>5</v>
      </c>
      <c r="E171" s="20" t="inlineStr">
        <is>
          <t>Makusha</t>
        </is>
      </c>
      <c r="F171" s="46" t="inlineStr">
        <is>
          <t>Lay</t>
        </is>
      </c>
      <c r="G171" s="47" t="inlineStr">
        <is>
          <t>Lay</t>
        </is>
      </c>
      <c r="H171" s="48" t="n">
        <v>4.8</v>
      </c>
      <c r="I171" s="48" t="n">
        <v>2.23</v>
      </c>
      <c r="J171" s="22" t="n">
        <v>-0.0696</v>
      </c>
      <c r="K171" s="49" t="n">
        <v>1</v>
      </c>
      <c r="L171" s="21" t="n">
        <v>3</v>
      </c>
      <c r="M171" s="50" t="inlineStr">
        <is>
          <t>Win</t>
        </is>
      </c>
      <c r="N171" s="23">
        <f>IF(M171="Win",IF(F171="Bet",(I171-1)*K171,K171),IF(M171="Loss",IF(F171="Bet",-K171,-(I171-1)*K171),IF(M171="Void",0,"")))</f>
        <v/>
      </c>
      <c r="O171" s="24">
        <f>IF(OR(M171="Win",M171="Loss"),IF(F171="Bet",K171,(I171-1)*K171),"")</f>
        <v/>
      </c>
    </row>
    <row r="172">
      <c r="A172" s="37" t="n">
        <v>46284</v>
      </c>
      <c r="B172" s="38" t="inlineStr">
        <is>
          <t>Eagle Farm</t>
        </is>
      </c>
      <c r="C172" s="15" t="n">
        <v>6</v>
      </c>
      <c r="D172" s="15" t="n">
        <v>10</v>
      </c>
      <c r="E172" s="14" t="inlineStr">
        <is>
          <t>Russian Ripper</t>
        </is>
      </c>
      <c r="F172" s="43" t="inlineStr">
        <is>
          <t>Lay</t>
        </is>
      </c>
      <c r="G172" s="47" t="inlineStr">
        <is>
          <t>Lay</t>
        </is>
      </c>
      <c r="H172" s="41" t="n">
        <v>5.7</v>
      </c>
      <c r="I172" s="41" t="n">
        <v>3.6</v>
      </c>
      <c r="J172" s="16" t="n">
        <v>-0.0838</v>
      </c>
      <c r="K172" s="42" t="n">
        <v>1</v>
      </c>
      <c r="L172" s="15" t="n">
        <v>4</v>
      </c>
      <c r="M172" s="51" t="inlineStr">
        <is>
          <t>Win</t>
        </is>
      </c>
      <c r="N172" s="17">
        <f>IF(M172="Win",IF(F172="Bet",(I172-1)*K172,K172),IF(M172="Loss",IF(F172="Bet",-K172,-(I172-1)*K172),IF(M172="Void",0,"")))</f>
        <v/>
      </c>
      <c r="O172" s="18">
        <f>IF(OR(M172="Win",M172="Loss"),IF(F172="Bet",K172,(I172-1)*K172),"")</f>
        <v/>
      </c>
    </row>
    <row r="173">
      <c r="A173" s="44" t="n">
        <v>46284</v>
      </c>
      <c r="B173" s="45" t="inlineStr">
        <is>
          <t>Belmont</t>
        </is>
      </c>
      <c r="C173" s="21" t="n">
        <v>1</v>
      </c>
      <c r="D173" s="21" t="n">
        <v>1</v>
      </c>
      <c r="E173" s="20" t="inlineStr">
        <is>
          <t>Dawn Dancer</t>
        </is>
      </c>
      <c r="F173" s="46" t="inlineStr">
        <is>
          <t>Lay</t>
        </is>
      </c>
      <c r="G173" s="47" t="inlineStr">
        <is>
          <t>Lay</t>
        </is>
      </c>
      <c r="H173" s="48" t="n">
        <v>2.6</v>
      </c>
      <c r="I173" s="48" t="n">
        <v>2</v>
      </c>
      <c r="J173" s="22" t="n">
        <v>-0.067</v>
      </c>
      <c r="K173" s="49" t="n">
        <v>1</v>
      </c>
      <c r="L173" s="21" t="n">
        <v>1</v>
      </c>
      <c r="M173" s="46" t="inlineStr">
        <is>
          <t>Loss</t>
        </is>
      </c>
      <c r="N173" s="23">
        <f>IF(M173="Win",IF(F173="Bet",(I173-1)*K173,K173),IF(M173="Loss",IF(F173="Bet",-K173,-(I173-1)*K173),IF(M173="Void",0,"")))</f>
        <v/>
      </c>
      <c r="O173" s="24">
        <f>IF(OR(M173="Win",M173="Loss"),IF(F173="Bet",K173,(I173-1)*K173),"")</f>
        <v/>
      </c>
    </row>
    <row r="174">
      <c r="A174" s="37" t="n">
        <v>46284</v>
      </c>
      <c r="B174" s="38" t="inlineStr">
        <is>
          <t>Belmont</t>
        </is>
      </c>
      <c r="C174" s="15" t="n">
        <v>4</v>
      </c>
      <c r="D174" s="15" t="n">
        <v>2</v>
      </c>
      <c r="E174" s="14" t="inlineStr">
        <is>
          <t>Royal Toronado</t>
        </is>
      </c>
      <c r="F174" s="43" t="inlineStr">
        <is>
          <t>Lay</t>
        </is>
      </c>
      <c r="G174" s="47" t="inlineStr">
        <is>
          <t>Lay</t>
        </is>
      </c>
      <c r="H174" s="41" t="n">
        <v>3.4</v>
      </c>
      <c r="I174" s="41" t="n">
        <v>2.7</v>
      </c>
      <c r="J174" s="16" t="n">
        <v>-0.0727</v>
      </c>
      <c r="K174" s="42" t="n">
        <v>1</v>
      </c>
      <c r="L174" s="15" t="n">
        <v>3</v>
      </c>
      <c r="M174" s="51" t="inlineStr">
        <is>
          <t>Win</t>
        </is>
      </c>
      <c r="N174" s="17">
        <f>IF(M174="Win",IF(F174="Bet",(I174-1)*K174,K174),IF(M174="Loss",IF(F174="Bet",-K174,-(I174-1)*K174),IF(M174="Void",0,"")))</f>
        <v/>
      </c>
      <c r="O174" s="18">
        <f>IF(OR(M174="Win",M174="Loss"),IF(F174="Bet",K174,(I174-1)*K174),"")</f>
        <v/>
      </c>
    </row>
    <row r="175">
      <c r="A175" s="44" t="n">
        <v>46284</v>
      </c>
      <c r="B175" s="45" t="inlineStr">
        <is>
          <t>Caulfield</t>
        </is>
      </c>
      <c r="C175" s="21" t="n">
        <v>10</v>
      </c>
      <c r="D175" s="21" t="n">
        <v>17</v>
      </c>
      <c r="E175" s="20" t="inlineStr">
        <is>
          <t>Cruiserweight</t>
        </is>
      </c>
      <c r="F175" s="46" t="inlineStr">
        <is>
          <t>Lay</t>
        </is>
      </c>
      <c r="G175" s="47" t="inlineStr">
        <is>
          <t>Lay</t>
        </is>
      </c>
      <c r="H175" s="48" t="n">
        <v>3.9</v>
      </c>
      <c r="I175" s="48" t="n">
        <v>2.98</v>
      </c>
      <c r="J175" s="22" t="n">
        <v>-0.06859999999999999</v>
      </c>
      <c r="K175" s="49" t="n">
        <v>1</v>
      </c>
      <c r="L175" s="21" t="n">
        <v>7</v>
      </c>
      <c r="M175" s="50" t="inlineStr">
        <is>
          <t>Win</t>
        </is>
      </c>
      <c r="N175" s="23">
        <f>IF(M175="Win",IF(F175="Bet",(I175-1)*K175,K175),IF(M175="Loss",IF(F175="Bet",-K175,-(I175-1)*K175),IF(M175="Void",0,"")))</f>
        <v/>
      </c>
      <c r="O175" s="24">
        <f>IF(OR(M175="Win",M175="Loss"),IF(F175="Bet",K175,(I175-1)*K175),"")</f>
        <v/>
      </c>
    </row>
    <row r="176">
      <c r="A176" s="37" t="n">
        <v>46284</v>
      </c>
      <c r="B176" s="38" t="inlineStr">
        <is>
          <t>Newcastle</t>
        </is>
      </c>
      <c r="C176" s="15" t="n">
        <v>6</v>
      </c>
      <c r="D176" s="15" t="n">
        <v>2</v>
      </c>
      <c r="E176" s="14" t="inlineStr">
        <is>
          <t>Oakfield Utah</t>
        </is>
      </c>
      <c r="F176" s="43" t="inlineStr">
        <is>
          <t>Lay</t>
        </is>
      </c>
      <c r="G176" s="47" t="inlineStr">
        <is>
          <t>Lay</t>
        </is>
      </c>
      <c r="H176" s="41" t="n">
        <v>5.6</v>
      </c>
      <c r="I176" s="41" t="n">
        <v>4</v>
      </c>
      <c r="J176" s="16" t="n">
        <v>-0.0708</v>
      </c>
      <c r="K176" s="42" t="n">
        <v>1</v>
      </c>
      <c r="L176" s="15" t="n">
        <v>1</v>
      </c>
      <c r="M176" s="43" t="inlineStr">
        <is>
          <t>Loss</t>
        </is>
      </c>
      <c r="N176" s="17">
        <f>IF(M176="Win",IF(F176="Bet",(I176-1)*K176,K176),IF(M176="Loss",IF(F176="Bet",-K176,-(I176-1)*K176),IF(M176="Void",0,"")))</f>
        <v/>
      </c>
      <c r="O176" s="18">
        <f>IF(OR(M176="Win",M176="Loss"),IF(F176="Bet",K176,(I176-1)*K176),"")</f>
        <v/>
      </c>
    </row>
    <row r="177">
      <c r="A177" s="44" t="n">
        <v>46284</v>
      </c>
      <c r="B177" s="45" t="inlineStr">
        <is>
          <t>Caulfield</t>
        </is>
      </c>
      <c r="C177" s="21" t="n">
        <v>3</v>
      </c>
      <c r="D177" s="21" t="n">
        <v>2</v>
      </c>
      <c r="E177" s="20" t="inlineStr">
        <is>
          <t>Winnasedge</t>
        </is>
      </c>
      <c r="F177" s="46" t="inlineStr">
        <is>
          <t>Lay</t>
        </is>
      </c>
      <c r="G177" s="47" t="inlineStr">
        <is>
          <t>Lay</t>
        </is>
      </c>
      <c r="H177" s="48" t="n">
        <v>6.7</v>
      </c>
      <c r="I177" s="48" t="n">
        <v>4.4</v>
      </c>
      <c r="J177" s="22" t="n">
        <v>-0.06279999999999999</v>
      </c>
      <c r="K177" s="49" t="n">
        <v>1</v>
      </c>
      <c r="L177" s="21" t="n">
        <v>7</v>
      </c>
      <c r="M177" s="50" t="inlineStr">
        <is>
          <t>Win</t>
        </is>
      </c>
      <c r="N177" s="23">
        <f>IF(M177="Win",IF(F177="Bet",(I177-1)*K177,K177),IF(M177="Loss",IF(F177="Bet",-K177,-(I177-1)*K177),IF(M177="Void",0,"")))</f>
        <v/>
      </c>
      <c r="O177" s="24">
        <f>IF(OR(M177="Win",M177="Loss"),IF(F177="Bet",K177,(I177-1)*K177),"")</f>
        <v/>
      </c>
    </row>
    <row r="178">
      <c r="A178" s="37" t="n">
        <v>46284</v>
      </c>
      <c r="B178" s="38" t="inlineStr">
        <is>
          <t>Caulfield</t>
        </is>
      </c>
      <c r="C178" s="15" t="n">
        <v>5</v>
      </c>
      <c r="D178" s="15" t="n">
        <v>3</v>
      </c>
      <c r="E178" s="14" t="inlineStr">
        <is>
          <t>Blind Raise</t>
        </is>
      </c>
      <c r="F178" s="43" t="inlineStr">
        <is>
          <t>Lay</t>
        </is>
      </c>
      <c r="G178" s="47" t="inlineStr">
        <is>
          <t>Lay</t>
        </is>
      </c>
      <c r="H178" s="41" t="n">
        <v>3.5</v>
      </c>
      <c r="I178" s="41" t="n">
        <v>2.47</v>
      </c>
      <c r="J178" s="16" t="n">
        <v>-0.0644</v>
      </c>
      <c r="K178" s="42" t="n">
        <v>1</v>
      </c>
      <c r="L178" s="15" t="n">
        <v>1</v>
      </c>
      <c r="M178" s="43" t="inlineStr">
        <is>
          <t>Loss</t>
        </is>
      </c>
      <c r="N178" s="17">
        <f>IF(M178="Win",IF(F178="Bet",(I178-1)*K178,K178),IF(M178="Loss",IF(F178="Bet",-K178,-(I178-1)*K178),IF(M178="Void",0,"")))</f>
        <v/>
      </c>
      <c r="O178" s="18">
        <f>IF(OR(M178="Win",M178="Loss"),IF(F178="Bet",K178,(I178-1)*K178),"")</f>
        <v/>
      </c>
    </row>
    <row r="179">
      <c r="A179" s="44" t="n">
        <v>46284</v>
      </c>
      <c r="B179" s="45" t="inlineStr">
        <is>
          <t>Gold Coast</t>
        </is>
      </c>
      <c r="C179" s="21" t="n">
        <v>6</v>
      </c>
      <c r="D179" s="21" t="n">
        <v>12</v>
      </c>
      <c r="E179" s="20" t="inlineStr">
        <is>
          <t>Spirit Of Barty</t>
        </is>
      </c>
      <c r="F179" s="46" t="inlineStr">
        <is>
          <t>Lay</t>
        </is>
      </c>
      <c r="G179" s="47" t="inlineStr">
        <is>
          <t>Lay</t>
        </is>
      </c>
      <c r="H179" s="48" t="n">
        <v>3.8</v>
      </c>
      <c r="I179" s="48" t="n">
        <v>2.67</v>
      </c>
      <c r="J179" s="22" t="n">
        <v>-0.1051</v>
      </c>
      <c r="K179" s="49" t="n">
        <v>1</v>
      </c>
      <c r="L179" s="21" t="n">
        <v>1</v>
      </c>
      <c r="M179" s="46" t="inlineStr">
        <is>
          <t>Loss</t>
        </is>
      </c>
      <c r="N179" s="23">
        <f>IF(M179="Win",IF(F179="Bet",(I179-1)*K179,K179),IF(M179="Loss",IF(F179="Bet",-K179,-(I179-1)*K179),IF(M179="Void",0,"")))</f>
        <v/>
      </c>
      <c r="O179" s="24">
        <f>IF(OR(M179="Win",M179="Loss"),IF(F179="Bet",K179,(I179-1)*K179),"")</f>
        <v/>
      </c>
    </row>
    <row r="180">
      <c r="A180" s="37" t="n">
        <v>46284</v>
      </c>
      <c r="B180" s="38" t="inlineStr">
        <is>
          <t>Belmont</t>
        </is>
      </c>
      <c r="C180" s="15" t="n">
        <v>5</v>
      </c>
      <c r="D180" s="15" t="n">
        <v>4</v>
      </c>
      <c r="E180" s="14" t="inlineStr">
        <is>
          <t>Niccimota</t>
        </is>
      </c>
      <c r="F180" s="43" t="inlineStr">
        <is>
          <t>Lay</t>
        </is>
      </c>
      <c r="G180" s="47" t="inlineStr">
        <is>
          <t>Lay</t>
        </is>
      </c>
      <c r="H180" s="41" t="n">
        <v>5.1</v>
      </c>
      <c r="I180" s="41" t="n">
        <v>3.75</v>
      </c>
      <c r="J180" s="16" t="n">
        <v>-0.0723</v>
      </c>
      <c r="K180" s="42" t="n">
        <v>1</v>
      </c>
      <c r="L180" s="15" t="n">
        <v>2</v>
      </c>
      <c r="M180" s="51" t="inlineStr">
        <is>
          <t>Win</t>
        </is>
      </c>
      <c r="N180" s="17">
        <f>IF(M180="Win",IF(F180="Bet",(I180-1)*K180,K180),IF(M180="Loss",IF(F180="Bet",-K180,-(I180-1)*K180),IF(M180="Void",0,"")))</f>
        <v/>
      </c>
      <c r="O180" s="18">
        <f>IF(OR(M180="Win",M180="Loss"),IF(F180="Bet",K180,(I180-1)*K180),"")</f>
        <v/>
      </c>
    </row>
    <row r="181">
      <c r="A181" s="44" t="n">
        <v>46284</v>
      </c>
      <c r="B181" s="45" t="inlineStr">
        <is>
          <t>Morphettville Parks</t>
        </is>
      </c>
      <c r="C181" s="21" t="n">
        <v>4</v>
      </c>
      <c r="D181" s="21" t="n">
        <v>3</v>
      </c>
      <c r="E181" s="20" t="inlineStr">
        <is>
          <t>Tennessee Spirit</t>
        </is>
      </c>
      <c r="F181" s="46" t="inlineStr">
        <is>
          <t>Lay</t>
        </is>
      </c>
      <c r="G181" s="47" t="inlineStr">
        <is>
          <t>Lay</t>
        </is>
      </c>
      <c r="H181" s="48" t="n">
        <v>4.3</v>
      </c>
      <c r="I181" s="48" t="n">
        <v>3</v>
      </c>
      <c r="J181" s="22" t="n">
        <v>-0.0814</v>
      </c>
      <c r="K181" s="49" t="n">
        <v>1</v>
      </c>
      <c r="L181" s="21" t="n">
        <v>1</v>
      </c>
      <c r="M181" s="46" t="inlineStr">
        <is>
          <t>Loss</t>
        </is>
      </c>
      <c r="N181" s="23">
        <f>IF(M181="Win",IF(F181="Bet",(I181-1)*K181,K181),IF(M181="Loss",IF(F181="Bet",-K181,-(I181-1)*K181),IF(M181="Void",0,"")))</f>
        <v/>
      </c>
      <c r="O181" s="24">
        <f>IF(OR(M181="Win",M181="Loss"),IF(F181="Bet",K181,(I181-1)*K181),"")</f>
        <v/>
      </c>
    </row>
    <row r="182">
      <c r="A182" s="37" t="n">
        <v>46284</v>
      </c>
      <c r="B182" s="38" t="inlineStr">
        <is>
          <t>Morphettville Parks</t>
        </is>
      </c>
      <c r="C182" s="15" t="n">
        <v>6</v>
      </c>
      <c r="D182" s="15" t="n">
        <v>2</v>
      </c>
      <c r="E182" s="14" t="inlineStr">
        <is>
          <t>Bargain Boy</t>
        </is>
      </c>
      <c r="F182" s="43" t="inlineStr">
        <is>
          <t>Lay</t>
        </is>
      </c>
      <c r="G182" s="47" t="inlineStr">
        <is>
          <t>Lay</t>
        </is>
      </c>
      <c r="H182" s="41" t="n">
        <v>3.9</v>
      </c>
      <c r="I182" s="41" t="n">
        <v>2.75</v>
      </c>
      <c r="J182" s="16" t="n">
        <v>-0.06569999999999999</v>
      </c>
      <c r="K182" s="42" t="n">
        <v>1</v>
      </c>
      <c r="L182" s="15" t="n">
        <v>2</v>
      </c>
      <c r="M182" s="51" t="inlineStr">
        <is>
          <t>Win</t>
        </is>
      </c>
      <c r="N182" s="17">
        <f>IF(M182="Win",IF(F182="Bet",(I182-1)*K182,K182),IF(M182="Loss",IF(F182="Bet",-K182,-(I182-1)*K182),IF(M182="Void",0,"")))</f>
        <v/>
      </c>
      <c r="O182" s="18">
        <f>IF(OR(M182="Win",M182="Loss"),IF(F182="Bet",K182,(I182-1)*K182),"")</f>
        <v/>
      </c>
    </row>
    <row r="183">
      <c r="A183" s="44" t="n">
        <v>46284</v>
      </c>
      <c r="B183" s="45" t="inlineStr">
        <is>
          <t>Darwin</t>
        </is>
      </c>
      <c r="C183" s="21" t="n">
        <v>1</v>
      </c>
      <c r="D183" s="21" t="n">
        <v>1</v>
      </c>
      <c r="E183" s="20" t="inlineStr">
        <is>
          <t>Biden Time</t>
        </is>
      </c>
      <c r="F183" s="46" t="inlineStr">
        <is>
          <t>Lay</t>
        </is>
      </c>
      <c r="G183" s="47" t="inlineStr">
        <is>
          <t>Lay</t>
        </is>
      </c>
      <c r="H183" s="48" t="n">
        <v>4.8</v>
      </c>
      <c r="I183" s="48" t="n">
        <v>3.7</v>
      </c>
      <c r="J183" s="22" t="n">
        <v>-0.0612</v>
      </c>
      <c r="K183" s="49" t="n">
        <v>1</v>
      </c>
      <c r="L183" s="21" t="n">
        <v>2</v>
      </c>
      <c r="M183" s="50" t="inlineStr">
        <is>
          <t>Win</t>
        </is>
      </c>
      <c r="N183" s="23">
        <f>IF(M183="Win",IF(F183="Bet",(I183-1)*K183,K183),IF(M183="Loss",IF(F183="Bet",-K183,-(I183-1)*K183),IF(M183="Void",0,"")))</f>
        <v/>
      </c>
      <c r="O183" s="24">
        <f>IF(OR(M183="Win",M183="Loss"),IF(F183="Bet",K183,(I183-1)*K183),"")</f>
        <v/>
      </c>
    </row>
    <row r="184">
      <c r="A184" s="37" t="n">
        <v>46284</v>
      </c>
      <c r="B184" s="38" t="inlineStr">
        <is>
          <t>Newcastle</t>
        </is>
      </c>
      <c r="C184" s="15" t="n">
        <v>4</v>
      </c>
      <c r="D184" s="15" t="n">
        <v>7</v>
      </c>
      <c r="E184" s="14" t="inlineStr">
        <is>
          <t>Joika</t>
        </is>
      </c>
      <c r="F184" s="43" t="inlineStr">
        <is>
          <t>Lay</t>
        </is>
      </c>
      <c r="G184" s="47" t="inlineStr">
        <is>
          <t>Lay</t>
        </is>
      </c>
      <c r="H184" s="41" t="n">
        <v>3.8</v>
      </c>
      <c r="I184" s="41" t="n">
        <v>2.68</v>
      </c>
      <c r="J184" s="16" t="n">
        <v>-0.0624</v>
      </c>
      <c r="K184" s="42" t="n">
        <v>1</v>
      </c>
      <c r="L184" s="15" t="n">
        <v>2</v>
      </c>
      <c r="M184" s="51" t="inlineStr">
        <is>
          <t>Win</t>
        </is>
      </c>
      <c r="N184" s="17">
        <f>IF(M184="Win",IF(F184="Bet",(I184-1)*K184,K184),IF(M184="Loss",IF(F184="Bet",-K184,-(I184-1)*K184),IF(M184="Void",0,"")))</f>
        <v/>
      </c>
      <c r="O184" s="18">
        <f>IF(OR(M184="Win",M184="Loss"),IF(F184="Bet",K184,(I184-1)*K184),"")</f>
        <v/>
      </c>
    </row>
    <row r="185">
      <c r="A185" s="44" t="n">
        <v>46284</v>
      </c>
      <c r="B185" s="45" t="inlineStr">
        <is>
          <t>Belmont</t>
        </is>
      </c>
      <c r="C185" s="21" t="n">
        <v>6</v>
      </c>
      <c r="D185" s="21" t="n">
        <v>5</v>
      </c>
      <c r="E185" s="20" t="inlineStr">
        <is>
          <t>Silent Diva</t>
        </is>
      </c>
      <c r="F185" s="46" t="inlineStr">
        <is>
          <t>Lay</t>
        </is>
      </c>
      <c r="G185" s="47" t="inlineStr">
        <is>
          <t>Lay</t>
        </is>
      </c>
      <c r="H185" s="48" t="n">
        <v>6.4</v>
      </c>
      <c r="I185" s="48" t="n">
        <v>3.85</v>
      </c>
      <c r="J185" s="22" t="n">
        <v>-0.0755</v>
      </c>
      <c r="K185" s="49" t="n">
        <v>1</v>
      </c>
      <c r="L185" s="21" t="n">
        <v>1</v>
      </c>
      <c r="M185" s="46" t="inlineStr">
        <is>
          <t>Loss</t>
        </is>
      </c>
      <c r="N185" s="23">
        <f>IF(M185="Win",IF(F185="Bet",(I185-1)*K185,K185),IF(M185="Loss",IF(F185="Bet",-K185,-(I185-1)*K185),IF(M185="Void",0,"")))</f>
        <v/>
      </c>
      <c r="O185" s="24">
        <f>IF(OR(M185="Win",M185="Loss"),IF(F185="Bet",K185,(I185-1)*K185),"")</f>
        <v/>
      </c>
    </row>
    <row r="186">
      <c r="A186" s="37" t="n">
        <v>46284</v>
      </c>
      <c r="B186" s="38" t="inlineStr">
        <is>
          <t>Belmont</t>
        </is>
      </c>
      <c r="C186" s="15" t="n">
        <v>8</v>
      </c>
      <c r="D186" s="15" t="n">
        <v>5</v>
      </c>
      <c r="E186" s="14" t="inlineStr">
        <is>
          <t>Cosmic Waltz</t>
        </is>
      </c>
      <c r="F186" s="43" t="inlineStr">
        <is>
          <t>Lay</t>
        </is>
      </c>
      <c r="G186" s="47" t="inlineStr">
        <is>
          <t>Lay</t>
        </is>
      </c>
      <c r="H186" s="41" t="n">
        <v>4.6</v>
      </c>
      <c r="I186" s="41" t="n">
        <v>3.5</v>
      </c>
      <c r="J186" s="16" t="n">
        <v>-0.0673</v>
      </c>
      <c r="K186" s="42" t="n">
        <v>1</v>
      </c>
      <c r="L186" s="15" t="n">
        <v>7</v>
      </c>
      <c r="M186" s="51" t="inlineStr">
        <is>
          <t>Win</t>
        </is>
      </c>
      <c r="N186" s="17">
        <f>IF(M186="Win",IF(F186="Bet",(I186-1)*K186,K186),IF(M186="Loss",IF(F186="Bet",-K186,-(I186-1)*K186),IF(M186="Void",0,"")))</f>
        <v/>
      </c>
      <c r="O186" s="18">
        <f>IF(OR(M186="Win",M186="Loss"),IF(F186="Bet",K186,(I186-1)*K186),"")</f>
        <v/>
      </c>
    </row>
    <row r="187">
      <c r="A187" s="44" t="n">
        <v>46284</v>
      </c>
      <c r="B187" s="45" t="inlineStr">
        <is>
          <t>Caulfield</t>
        </is>
      </c>
      <c r="C187" s="21" t="n">
        <v>2</v>
      </c>
      <c r="D187" s="21" t="n">
        <v>3</v>
      </c>
      <c r="E187" s="20" t="inlineStr">
        <is>
          <t>Icy You</t>
        </is>
      </c>
      <c r="F187" s="46" t="inlineStr">
        <is>
          <t>Lay</t>
        </is>
      </c>
      <c r="G187" s="47" t="inlineStr">
        <is>
          <t>Lay</t>
        </is>
      </c>
      <c r="H187" s="48" t="n">
        <v>5.8</v>
      </c>
      <c r="I187" s="48" t="n">
        <v>4.1</v>
      </c>
      <c r="J187" s="22" t="n">
        <v>-0.0711</v>
      </c>
      <c r="K187" s="49" t="n">
        <v>1</v>
      </c>
      <c r="L187" s="21" t="n">
        <v>2</v>
      </c>
      <c r="M187" s="50" t="inlineStr">
        <is>
          <t>Win</t>
        </is>
      </c>
      <c r="N187" s="23">
        <f>IF(M187="Win",IF(F187="Bet",(I187-1)*K187,K187),IF(M187="Loss",IF(F187="Bet",-K187,-(I187-1)*K187),IF(M187="Void",0,"")))</f>
        <v/>
      </c>
      <c r="O187" s="24">
        <f>IF(OR(M187="Win",M187="Loss"),IF(F187="Bet",K187,(I187-1)*K187),"")</f>
        <v/>
      </c>
    </row>
    <row r="188">
      <c r="A188" s="37" t="n">
        <v>46284</v>
      </c>
      <c r="B188" s="38" t="inlineStr">
        <is>
          <t>Gold Coast</t>
        </is>
      </c>
      <c r="C188" s="15" t="n">
        <v>8</v>
      </c>
      <c r="D188" s="15" t="n">
        <v>6</v>
      </c>
      <c r="E188" s="14" t="inlineStr">
        <is>
          <t>Detrimental</t>
        </is>
      </c>
      <c r="F188" s="43" t="inlineStr">
        <is>
          <t>Lay</t>
        </is>
      </c>
      <c r="G188" s="47" t="inlineStr">
        <is>
          <t>Lay</t>
        </is>
      </c>
      <c r="H188" s="41" t="n">
        <v>5.2</v>
      </c>
      <c r="I188" s="41" t="n">
        <v>3.4</v>
      </c>
      <c r="J188" s="16" t="n">
        <v>-0.0941</v>
      </c>
      <c r="K188" s="42" t="n">
        <v>1</v>
      </c>
      <c r="L188" s="15" t="n">
        <v>7</v>
      </c>
      <c r="M188" s="51" t="inlineStr">
        <is>
          <t>Win</t>
        </is>
      </c>
      <c r="N188" s="17">
        <f>IF(M188="Win",IF(F188="Bet",(I188-1)*K188,K188),IF(M188="Loss",IF(F188="Bet",-K188,-(I188-1)*K188),IF(M188="Void",0,"")))</f>
        <v/>
      </c>
      <c r="O188" s="18">
        <f>IF(OR(M188="Win",M188="Loss"),IF(F188="Bet",K188,(I188-1)*K188),"")</f>
        <v/>
      </c>
    </row>
    <row r="189">
      <c r="A189" s="44" t="n">
        <v>46284</v>
      </c>
      <c r="B189" s="45" t="inlineStr">
        <is>
          <t>Caulfield</t>
        </is>
      </c>
      <c r="C189" s="21" t="n">
        <v>6</v>
      </c>
      <c r="D189" s="21" t="n">
        <v>10</v>
      </c>
      <c r="E189" s="20" t="inlineStr">
        <is>
          <t>Bridal Waltz</t>
        </is>
      </c>
      <c r="F189" s="46" t="inlineStr">
        <is>
          <t>Lay</t>
        </is>
      </c>
      <c r="G189" s="47" t="inlineStr">
        <is>
          <t>Lay</t>
        </is>
      </c>
      <c r="H189" s="48" t="n">
        <v>2.6</v>
      </c>
      <c r="I189" s="48" t="n">
        <v>2</v>
      </c>
      <c r="J189" s="22" t="n">
        <v>-0.06619999999999999</v>
      </c>
      <c r="K189" s="49" t="n">
        <v>1</v>
      </c>
      <c r="L189" s="21" t="n">
        <v>2</v>
      </c>
      <c r="M189" s="50" t="inlineStr">
        <is>
          <t>Win</t>
        </is>
      </c>
      <c r="N189" s="23">
        <f>IF(M189="Win",IF(F189="Bet",(I189-1)*K189,K189),IF(M189="Loss",IF(F189="Bet",-K189,-(I189-1)*K189),IF(M189="Void",0,"")))</f>
        <v/>
      </c>
      <c r="O189" s="24">
        <f>IF(OR(M189="Win",M189="Loss"),IF(F189="Bet",K189,(I189-1)*K189),"")</f>
        <v/>
      </c>
    </row>
    <row r="190">
      <c r="A190" s="37" t="n">
        <v>46284</v>
      </c>
      <c r="B190" s="38" t="inlineStr">
        <is>
          <t>Eagle Farm</t>
        </is>
      </c>
      <c r="C190" s="15" t="n">
        <v>3</v>
      </c>
      <c r="D190" s="15" t="n">
        <v>8</v>
      </c>
      <c r="E190" s="14" t="inlineStr">
        <is>
          <t>Biancelli</t>
        </is>
      </c>
      <c r="F190" s="43" t="inlineStr">
        <is>
          <t>Lay</t>
        </is>
      </c>
      <c r="G190" s="47" t="inlineStr">
        <is>
          <t>Lay</t>
        </is>
      </c>
      <c r="H190" s="41" t="n">
        <v>3.4</v>
      </c>
      <c r="I190" s="41" t="n">
        <v>2.32</v>
      </c>
      <c r="J190" s="16" t="n">
        <v>-0.0619</v>
      </c>
      <c r="K190" s="42" t="n">
        <v>1</v>
      </c>
      <c r="L190" s="15" t="n">
        <v>1</v>
      </c>
      <c r="M190" s="43" t="inlineStr">
        <is>
          <t>Loss</t>
        </is>
      </c>
      <c r="N190" s="17">
        <f>IF(M190="Win",IF(F190="Bet",(I190-1)*K190,K190),IF(M190="Loss",IF(F190="Bet",-K190,-(I190-1)*K190),IF(M190="Void",0,"")))</f>
        <v/>
      </c>
      <c r="O190" s="18">
        <f>IF(OR(M190="Win",M190="Loss"),IF(F190="Bet",K190,(I190-1)*K190),"")</f>
        <v/>
      </c>
    </row>
    <row r="191">
      <c r="A191" s="44" t="n">
        <v>46284</v>
      </c>
      <c r="B191" s="45" t="inlineStr">
        <is>
          <t>Belmont</t>
        </is>
      </c>
      <c r="C191" s="21" t="n">
        <v>7</v>
      </c>
      <c r="D191" s="21" t="n">
        <v>7</v>
      </c>
      <c r="E191" s="20" t="inlineStr">
        <is>
          <t>Mind Field</t>
        </is>
      </c>
      <c r="F191" s="46" t="inlineStr">
        <is>
          <t>Lay</t>
        </is>
      </c>
      <c r="G191" s="47" t="inlineStr">
        <is>
          <t>Lay</t>
        </is>
      </c>
      <c r="H191" s="48" t="n">
        <v>7.5</v>
      </c>
      <c r="I191" s="48" t="n">
        <v>4.9</v>
      </c>
      <c r="J191" s="22" t="n">
        <v>-0.0659</v>
      </c>
      <c r="K191" s="49" t="n">
        <v>1</v>
      </c>
      <c r="L191" s="21" t="n">
        <v>6</v>
      </c>
      <c r="M191" s="50" t="inlineStr">
        <is>
          <t>Win</t>
        </is>
      </c>
      <c r="N191" s="23">
        <f>IF(M191="Win",IF(F191="Bet",(I191-1)*K191,K191),IF(M191="Loss",IF(F191="Bet",-K191,-(I191-1)*K191),IF(M191="Void",0,"")))</f>
        <v/>
      </c>
      <c r="O191" s="24">
        <f>IF(OR(M191="Win",M191="Loss"),IF(F191="Bet",K191,(I191-1)*K191),"")</f>
        <v/>
      </c>
    </row>
    <row r="192">
      <c r="A192" s="37" t="n">
        <v>46284</v>
      </c>
      <c r="B192" s="38" t="inlineStr">
        <is>
          <t>Bowraville</t>
        </is>
      </c>
      <c r="C192" s="15" t="n">
        <v>3</v>
      </c>
      <c r="D192" s="15" t="n">
        <v>5</v>
      </c>
      <c r="E192" s="14" t="inlineStr">
        <is>
          <t>Brazen Brando</t>
        </is>
      </c>
      <c r="F192" s="43" t="inlineStr">
        <is>
          <t>Lay</t>
        </is>
      </c>
      <c r="G192" s="47" t="inlineStr">
        <is>
          <t>Lay</t>
        </is>
      </c>
      <c r="H192" s="41" t="n">
        <v>8.4</v>
      </c>
      <c r="I192" s="41" t="n">
        <v>5.4</v>
      </c>
      <c r="J192" s="16" t="n">
        <v>-0.06610000000000001</v>
      </c>
      <c r="K192" s="42" t="n">
        <v>1</v>
      </c>
      <c r="L192" s="15" t="n">
        <v>4</v>
      </c>
      <c r="M192" s="51" t="inlineStr">
        <is>
          <t>Win</t>
        </is>
      </c>
      <c r="N192" s="17">
        <f>IF(M192="Win",IF(F192="Bet",(I192-1)*K192,K192),IF(M192="Loss",IF(F192="Bet",-K192,-(I192-1)*K192),IF(M192="Void",0,"")))</f>
        <v/>
      </c>
      <c r="O192" s="18">
        <f>IF(OR(M192="Win",M192="Loss"),IF(F192="Bet",K192,(I192-1)*K192),"")</f>
        <v/>
      </c>
    </row>
    <row r="193">
      <c r="A193" s="44" t="n">
        <v>46284</v>
      </c>
      <c r="B193" s="45" t="inlineStr">
        <is>
          <t>Bowraville</t>
        </is>
      </c>
      <c r="C193" s="21" t="n">
        <v>3</v>
      </c>
      <c r="D193" s="21" t="n">
        <v>2</v>
      </c>
      <c r="E193" s="20" t="inlineStr">
        <is>
          <t>Where's The Fire</t>
        </is>
      </c>
      <c r="F193" s="46" t="inlineStr">
        <is>
          <t>Lay</t>
        </is>
      </c>
      <c r="G193" s="47" t="inlineStr">
        <is>
          <t>Lay</t>
        </is>
      </c>
      <c r="H193" s="48" t="n">
        <v>4.4</v>
      </c>
      <c r="I193" s="48" t="n">
        <v>2.64</v>
      </c>
      <c r="J193" s="22" t="n">
        <v>-0.06900000000000001</v>
      </c>
      <c r="K193" s="49" t="n">
        <v>1</v>
      </c>
      <c r="L193" s="21" t="n">
        <v>1</v>
      </c>
      <c r="M193" s="46" t="inlineStr">
        <is>
          <t>Loss</t>
        </is>
      </c>
      <c r="N193" s="23">
        <f>IF(M193="Win",IF(F193="Bet",(I193-1)*K193,K193),IF(M193="Loss",IF(F193="Bet",-K193,-(I193-1)*K193),IF(M193="Void",0,"")))</f>
        <v/>
      </c>
      <c r="O193" s="24">
        <f>IF(OR(M193="Win",M193="Loss"),IF(F193="Bet",K193,(I193-1)*K193),"")</f>
        <v/>
      </c>
    </row>
    <row r="194">
      <c r="A194" s="37" t="n">
        <v>46284</v>
      </c>
      <c r="B194" s="38" t="inlineStr">
        <is>
          <t>Bowraville</t>
        </is>
      </c>
      <c r="C194" s="15" t="n">
        <v>4</v>
      </c>
      <c r="D194" s="15" t="n">
        <v>4</v>
      </c>
      <c r="E194" s="14" t="inlineStr">
        <is>
          <t>Cannystep</t>
        </is>
      </c>
      <c r="F194" s="43" t="inlineStr">
        <is>
          <t>Lay</t>
        </is>
      </c>
      <c r="G194" s="47" t="inlineStr">
        <is>
          <t>Lay</t>
        </is>
      </c>
      <c r="H194" s="41" t="n">
        <v>8.5</v>
      </c>
      <c r="I194" s="41" t="n">
        <v>5.6</v>
      </c>
      <c r="J194" s="16" t="n">
        <v>-0.0607</v>
      </c>
      <c r="K194" s="42" t="n">
        <v>1</v>
      </c>
      <c r="L194" s="15" t="n">
        <v>5</v>
      </c>
      <c r="M194" s="51" t="inlineStr">
        <is>
          <t>Win</t>
        </is>
      </c>
      <c r="N194" s="17">
        <f>IF(M194="Win",IF(F194="Bet",(I194-1)*K194,K194),IF(M194="Loss",IF(F194="Bet",-K194,-(I194-1)*K194),IF(M194="Void",0,"")))</f>
        <v/>
      </c>
      <c r="O194" s="18">
        <f>IF(OR(M194="Win",M194="Loss"),IF(F194="Bet",K194,(I194-1)*K194),"")</f>
        <v/>
      </c>
    </row>
    <row r="195">
      <c r="A195" s="44" t="n">
        <v>46284</v>
      </c>
      <c r="B195" s="45" t="inlineStr">
        <is>
          <t>Bowraville</t>
        </is>
      </c>
      <c r="C195" s="21" t="n">
        <v>4</v>
      </c>
      <c r="D195" s="21" t="n">
        <v>3</v>
      </c>
      <c r="E195" s="20" t="inlineStr">
        <is>
          <t>Dipierdomenico</t>
        </is>
      </c>
      <c r="F195" s="46" t="inlineStr">
        <is>
          <t>Lay</t>
        </is>
      </c>
      <c r="G195" s="47" t="inlineStr">
        <is>
          <t>Lay</t>
        </is>
      </c>
      <c r="H195" s="48" t="n">
        <v>3.7</v>
      </c>
      <c r="I195" s="48" t="n">
        <v>2.71</v>
      </c>
      <c r="J195" s="22" t="n">
        <v>-0.0769</v>
      </c>
      <c r="K195" s="49" t="n">
        <v>1</v>
      </c>
      <c r="L195" s="21" t="n">
        <v>1</v>
      </c>
      <c r="M195" s="46" t="inlineStr">
        <is>
          <t>Loss</t>
        </is>
      </c>
      <c r="N195" s="23">
        <f>IF(M195="Win",IF(F195="Bet",(I195-1)*K195,K195),IF(M195="Loss",IF(F195="Bet",-K195,-(I195-1)*K195),IF(M195="Void",0,"")))</f>
        <v/>
      </c>
      <c r="O195" s="24">
        <f>IF(OR(M195="Win",M195="Loss"),IF(F195="Bet",K195,(I195-1)*K195),"")</f>
        <v/>
      </c>
    </row>
    <row r="196">
      <c r="A196" s="37" t="n">
        <v>46284</v>
      </c>
      <c r="B196" s="38" t="inlineStr">
        <is>
          <t>Mt Magnet</t>
        </is>
      </c>
      <c r="C196" s="15" t="n">
        <v>1</v>
      </c>
      <c r="D196" s="15" t="n">
        <v>6</v>
      </c>
      <c r="E196" s="14" t="inlineStr">
        <is>
          <t>Principal Dealer</t>
        </is>
      </c>
      <c r="F196" s="43" t="inlineStr">
        <is>
          <t>Lay</t>
        </is>
      </c>
      <c r="G196" s="47" t="inlineStr">
        <is>
          <t>Lay</t>
        </is>
      </c>
      <c r="H196" s="41" t="n">
        <v>6.9</v>
      </c>
      <c r="I196" s="41" t="n">
        <v>4.4</v>
      </c>
      <c r="J196" s="16" t="n">
        <v>-0.07340000000000001</v>
      </c>
      <c r="K196" s="42" t="n">
        <v>1</v>
      </c>
      <c r="L196" s="15" t="n"/>
      <c r="M196" s="54" t="inlineStr">
        <is>
          <t>Void</t>
        </is>
      </c>
      <c r="N196" s="17">
        <f>IF(M196="Win",IF(F196="Bet",(I196-1)*K196,K196),IF(M196="Loss",IF(F196="Bet",-K196,-(I196-1)*K196),IF(M196="Void",0,"")))</f>
        <v/>
      </c>
      <c r="O196" s="18">
        <f>IF(OR(M196="Win",M196="Loss"),IF(F196="Bet",K196,(I196-1)*K196),"")</f>
        <v/>
      </c>
    </row>
    <row r="197">
      <c r="A197" s="44" t="n">
        <v>46284</v>
      </c>
      <c r="B197" s="45" t="inlineStr">
        <is>
          <t>Echuca</t>
        </is>
      </c>
      <c r="C197" s="21" t="n">
        <v>7</v>
      </c>
      <c r="D197" s="21" t="n">
        <v>3</v>
      </c>
      <c r="E197" s="20" t="inlineStr">
        <is>
          <t>Manchego</t>
        </is>
      </c>
      <c r="F197" s="46" t="inlineStr">
        <is>
          <t>Lay</t>
        </is>
      </c>
      <c r="G197" s="47" t="inlineStr">
        <is>
          <t>Lay</t>
        </is>
      </c>
      <c r="H197" s="48" t="n">
        <v>4.6</v>
      </c>
      <c r="I197" s="48" t="n">
        <v>2.46</v>
      </c>
      <c r="J197" s="22" t="n">
        <v>-0.0946</v>
      </c>
      <c r="K197" s="49" t="n">
        <v>1</v>
      </c>
      <c r="L197" s="21" t="n">
        <v>1</v>
      </c>
      <c r="M197" s="46" t="inlineStr">
        <is>
          <t>Loss</t>
        </is>
      </c>
      <c r="N197" s="23">
        <f>IF(M197="Win",IF(F197="Bet",(I197-1)*K197,K197),IF(M197="Loss",IF(F197="Bet",-K197,-(I197-1)*K197),IF(M197="Void",0,"")))</f>
        <v/>
      </c>
      <c r="O197" s="24">
        <f>IF(OR(M197="Win",M197="Loss"),IF(F197="Bet",K197,(I197-1)*K197),"")</f>
        <v/>
      </c>
    </row>
    <row r="198">
      <c r="A198" s="37" t="n">
        <v>46284</v>
      </c>
      <c r="B198" s="38" t="inlineStr">
        <is>
          <t>Belmont</t>
        </is>
      </c>
      <c r="C198" s="15" t="n">
        <v>7</v>
      </c>
      <c r="D198" s="15" t="n">
        <v>11</v>
      </c>
      <c r="E198" s="14" t="inlineStr">
        <is>
          <t>Marcos</t>
        </is>
      </c>
      <c r="F198" s="43" t="inlineStr">
        <is>
          <t>Lay</t>
        </is>
      </c>
      <c r="G198" s="47" t="inlineStr">
        <is>
          <t>Lay</t>
        </is>
      </c>
      <c r="H198" s="41" t="n">
        <v>6.4</v>
      </c>
      <c r="I198" s="41" t="n">
        <v>3.95</v>
      </c>
      <c r="J198" s="16" t="n">
        <v>-0.0621</v>
      </c>
      <c r="K198" s="42" t="n">
        <v>1</v>
      </c>
      <c r="L198" s="15" t="n">
        <v>1</v>
      </c>
      <c r="M198" s="43" t="inlineStr">
        <is>
          <t>Loss</t>
        </is>
      </c>
      <c r="N198" s="17">
        <f>IF(M198="Win",IF(F198="Bet",(I198-1)*K198,K198),IF(M198="Loss",IF(F198="Bet",-K198,-(I198-1)*K198),IF(M198="Void",0,"")))</f>
        <v/>
      </c>
      <c r="O198" s="18">
        <f>IF(OR(M198="Win",M198="Loss"),IF(F198="Bet",K198,(I198-1)*K198),"")</f>
        <v/>
      </c>
    </row>
    <row r="199">
      <c r="A199" s="44" t="n">
        <v>46284</v>
      </c>
      <c r="B199" s="45" t="inlineStr">
        <is>
          <t>Eagle Farm</t>
        </is>
      </c>
      <c r="C199" s="21" t="n">
        <v>7</v>
      </c>
      <c r="D199" s="21" t="n">
        <v>18</v>
      </c>
      <c r="E199" s="20" t="inlineStr">
        <is>
          <t>Mana Combat</t>
        </is>
      </c>
      <c r="F199" s="46" t="inlineStr">
        <is>
          <t>Lay</t>
        </is>
      </c>
      <c r="G199" s="47" t="inlineStr">
        <is>
          <t>Lay</t>
        </is>
      </c>
      <c r="H199" s="48" t="n">
        <v>8.5</v>
      </c>
      <c r="I199" s="48" t="n">
        <v>5.13</v>
      </c>
      <c r="J199" s="22" t="n">
        <v>-0.0612</v>
      </c>
      <c r="K199" s="49" t="n">
        <v>1</v>
      </c>
      <c r="L199" s="21" t="n">
        <v>3</v>
      </c>
      <c r="M199" s="50" t="inlineStr">
        <is>
          <t>Win</t>
        </is>
      </c>
      <c r="N199" s="23">
        <f>IF(M199="Win",IF(F199="Bet",(I199-1)*K199,K199),IF(M199="Loss",IF(F199="Bet",-K199,-(I199-1)*K199),IF(M199="Void",0,"")))</f>
        <v/>
      </c>
      <c r="O199" s="24">
        <f>IF(OR(M199="Win",M199="Loss"),IF(F199="Bet",K199,(I199-1)*K199),"")</f>
        <v/>
      </c>
    </row>
    <row r="200">
      <c r="A200" s="37" t="n">
        <v>46284</v>
      </c>
      <c r="B200" s="38" t="inlineStr">
        <is>
          <t>Caulfield</t>
        </is>
      </c>
      <c r="C200" s="15" t="n">
        <v>9</v>
      </c>
      <c r="D200" s="15" t="n">
        <v>6</v>
      </c>
      <c r="E200" s="14" t="inlineStr">
        <is>
          <t>Lady Shenandoah</t>
        </is>
      </c>
      <c r="F200" s="43" t="inlineStr">
        <is>
          <t>Lay</t>
        </is>
      </c>
      <c r="G200" s="47" t="inlineStr">
        <is>
          <t>Lay</t>
        </is>
      </c>
      <c r="H200" s="41" t="n">
        <v>6</v>
      </c>
      <c r="I200" s="41" t="n">
        <v>4.2</v>
      </c>
      <c r="J200" s="16" t="n">
        <v>-0.0721</v>
      </c>
      <c r="K200" s="42" t="n">
        <v>1</v>
      </c>
      <c r="L200" s="15" t="n">
        <v>4</v>
      </c>
      <c r="M200" s="51" t="inlineStr">
        <is>
          <t>Win</t>
        </is>
      </c>
      <c r="N200" s="17">
        <f>IF(M200="Win",IF(F200="Bet",(I200-1)*K200,K200),IF(M200="Loss",IF(F200="Bet",-K200,-(I200-1)*K200),IF(M200="Void",0,"")))</f>
        <v/>
      </c>
      <c r="O200" s="18">
        <f>IF(OR(M200="Win",M200="Loss"),IF(F200="Bet",K200,(I200-1)*K200),"")</f>
        <v/>
      </c>
    </row>
    <row r="201">
      <c r="A201" s="44" t="n">
        <v>46284</v>
      </c>
      <c r="B201" s="45" t="inlineStr">
        <is>
          <t>Caulfield</t>
        </is>
      </c>
      <c r="C201" s="21" t="n">
        <v>10</v>
      </c>
      <c r="D201" s="21" t="n">
        <v>19</v>
      </c>
      <c r="E201" s="20" t="inlineStr">
        <is>
          <t>Savoyard</t>
        </is>
      </c>
      <c r="F201" s="46" t="inlineStr">
        <is>
          <t>Lay</t>
        </is>
      </c>
      <c r="G201" s="47" t="inlineStr">
        <is>
          <t>Lay</t>
        </is>
      </c>
      <c r="H201" s="48" t="n">
        <v>5.3</v>
      </c>
      <c r="I201" s="48" t="n">
        <v>4</v>
      </c>
      <c r="J201" s="22" t="n">
        <v>-0.0622</v>
      </c>
      <c r="K201" s="49" t="n">
        <v>1</v>
      </c>
      <c r="L201" s="21" t="n">
        <v>4</v>
      </c>
      <c r="M201" s="50" t="inlineStr">
        <is>
          <t>Win</t>
        </is>
      </c>
      <c r="N201" s="23">
        <f>IF(M201="Win",IF(F201="Bet",(I201-1)*K201,K201),IF(M201="Loss",IF(F201="Bet",-K201,-(I201-1)*K201),IF(M201="Void",0,"")))</f>
        <v/>
      </c>
      <c r="O201" s="24">
        <f>IF(OR(M201="Win",M201="Loss"),IF(F201="Bet",K201,(I201-1)*K201),"")</f>
        <v/>
      </c>
    </row>
    <row r="202">
      <c r="A202" s="37" t="n">
        <v>46284</v>
      </c>
      <c r="B202" s="38" t="inlineStr">
        <is>
          <t>Belmont</t>
        </is>
      </c>
      <c r="C202" s="15" t="n">
        <v>4</v>
      </c>
      <c r="D202" s="15" t="n">
        <v>8</v>
      </c>
      <c r="E202" s="14" t="inlineStr">
        <is>
          <t>Searchin' Times</t>
        </is>
      </c>
      <c r="F202" s="43" t="inlineStr">
        <is>
          <t>Lay</t>
        </is>
      </c>
      <c r="G202" s="47" t="inlineStr">
        <is>
          <t>Lay</t>
        </is>
      </c>
      <c r="H202" s="41" t="n">
        <v>8.5</v>
      </c>
      <c r="I202" s="41" t="n">
        <v>5.1</v>
      </c>
      <c r="J202" s="16" t="n">
        <v>-0.0645</v>
      </c>
      <c r="K202" s="42" t="n">
        <v>1</v>
      </c>
      <c r="L202" s="15" t="n">
        <v>6</v>
      </c>
      <c r="M202" s="51" t="inlineStr">
        <is>
          <t>Win</t>
        </is>
      </c>
      <c r="N202" s="17">
        <f>IF(M202="Win",IF(F202="Bet",(I202-1)*K202,K202),IF(M202="Loss",IF(F202="Bet",-K202,-(I202-1)*K202),IF(M202="Void",0,"")))</f>
        <v/>
      </c>
      <c r="O202" s="18">
        <f>IF(OR(M202="Win",M202="Loss"),IF(F202="Bet",K202,(I202-1)*K202),"")</f>
        <v/>
      </c>
    </row>
    <row r="203">
      <c r="A203" s="44" t="n">
        <v>46284</v>
      </c>
      <c r="B203" s="45" t="inlineStr">
        <is>
          <t>Darwin</t>
        </is>
      </c>
      <c r="C203" s="21" t="n">
        <v>4</v>
      </c>
      <c r="D203" s="21" t="n">
        <v>1</v>
      </c>
      <c r="E203" s="20" t="inlineStr">
        <is>
          <t>Meet Me At The Bar</t>
        </is>
      </c>
      <c r="F203" s="46" t="inlineStr">
        <is>
          <t>Lay</t>
        </is>
      </c>
      <c r="G203" s="47" t="inlineStr">
        <is>
          <t>Lay</t>
        </is>
      </c>
      <c r="H203" s="48" t="n">
        <v>4.4</v>
      </c>
      <c r="I203" s="48" t="n">
        <v>3.45</v>
      </c>
      <c r="J203" s="22" t="n">
        <v>-0.064</v>
      </c>
      <c r="K203" s="49" t="n">
        <v>1</v>
      </c>
      <c r="L203" s="21" t="n">
        <v>5</v>
      </c>
      <c r="M203" s="50" t="inlineStr">
        <is>
          <t>Win</t>
        </is>
      </c>
      <c r="N203" s="23">
        <f>IF(M203="Win",IF(F203="Bet",(I203-1)*K203,K203),IF(M203="Loss",IF(F203="Bet",-K203,-(I203-1)*K203),IF(M203="Void",0,"")))</f>
        <v/>
      </c>
      <c r="O203" s="24">
        <f>IF(OR(M203="Win",M203="Loss"),IF(F203="Bet",K203,(I203-1)*K203),"")</f>
        <v/>
      </c>
    </row>
    <row r="204">
      <c r="A204" s="37" t="n">
        <v>46284</v>
      </c>
      <c r="B204" s="38" t="inlineStr">
        <is>
          <t>Belmont</t>
        </is>
      </c>
      <c r="C204" s="15" t="n">
        <v>8</v>
      </c>
      <c r="D204" s="15" t="n">
        <v>4</v>
      </c>
      <c r="E204" s="14" t="inlineStr">
        <is>
          <t>Double The Fun</t>
        </is>
      </c>
      <c r="F204" s="43" t="inlineStr">
        <is>
          <t>Lay</t>
        </is>
      </c>
      <c r="G204" s="47" t="inlineStr">
        <is>
          <t>Lay</t>
        </is>
      </c>
      <c r="H204" s="41" t="n">
        <v>5.3</v>
      </c>
      <c r="I204" s="41" t="n">
        <v>4</v>
      </c>
      <c r="J204" s="16" t="n">
        <v>-0.06279999999999999</v>
      </c>
      <c r="K204" s="42" t="n">
        <v>1</v>
      </c>
      <c r="L204" s="15" t="n">
        <v>8</v>
      </c>
      <c r="M204" s="51" t="inlineStr">
        <is>
          <t>Win</t>
        </is>
      </c>
      <c r="N204" s="17">
        <f>IF(M204="Win",IF(F204="Bet",(I204-1)*K204,K204),IF(M204="Loss",IF(F204="Bet",-K204,-(I204-1)*K204),IF(M204="Void",0,"")))</f>
        <v/>
      </c>
      <c r="O204" s="18">
        <f>IF(OR(M204="Win",M204="Loss"),IF(F204="Bet",K204,(I204-1)*K204),"")</f>
        <v/>
      </c>
    </row>
    <row r="205">
      <c r="A205" s="44" t="n">
        <v>46285</v>
      </c>
      <c r="B205" s="45" t="inlineStr">
        <is>
          <t>Armidale</t>
        </is>
      </c>
      <c r="C205" s="21" t="n">
        <v>3</v>
      </c>
      <c r="D205" s="21" t="n">
        <v>7</v>
      </c>
      <c r="E205" s="20" t="inlineStr">
        <is>
          <t>Aurora Effect</t>
        </is>
      </c>
      <c r="F205" s="46" t="inlineStr">
        <is>
          <t>Lay</t>
        </is>
      </c>
      <c r="G205" s="47" t="inlineStr">
        <is>
          <t>Lay</t>
        </is>
      </c>
      <c r="H205" s="48" t="n">
        <v>3.7</v>
      </c>
      <c r="I205" s="48" t="n">
        <v>2.76</v>
      </c>
      <c r="J205" s="22" t="n">
        <v>-0.0858</v>
      </c>
      <c r="K205" s="49" t="n">
        <v>1</v>
      </c>
      <c r="L205" s="21" t="n">
        <v>5</v>
      </c>
      <c r="M205" s="50" t="inlineStr">
        <is>
          <t>Win</t>
        </is>
      </c>
      <c r="N205" s="23">
        <f>IF(M205="Win",IF(F205="Bet",(I205-1)*K205,K205),IF(M205="Loss",IF(F205="Bet",-K205,-(I205-1)*K205),IF(M205="Void",0,"")))</f>
        <v/>
      </c>
      <c r="O205" s="24">
        <f>IF(OR(M205="Win",M205="Loss"),IF(F205="Bet",K205,(I205-1)*K205),"")</f>
        <v/>
      </c>
    </row>
    <row r="206">
      <c r="A206" s="37" t="n">
        <v>46285</v>
      </c>
      <c r="B206" s="38" t="inlineStr">
        <is>
          <t>Armidale</t>
        </is>
      </c>
      <c r="C206" s="15" t="n">
        <v>4</v>
      </c>
      <c r="D206" s="15" t="n">
        <v>11</v>
      </c>
      <c r="E206" s="14" t="inlineStr">
        <is>
          <t>Ruairi</t>
        </is>
      </c>
      <c r="F206" s="43" t="inlineStr">
        <is>
          <t>Lay</t>
        </is>
      </c>
      <c r="G206" s="47" t="inlineStr">
        <is>
          <t>Lay</t>
        </is>
      </c>
      <c r="H206" s="41" t="n">
        <v>14.7</v>
      </c>
      <c r="I206" s="41" t="n">
        <v>5.4</v>
      </c>
      <c r="J206" s="16" t="n">
        <v>-0.07099999999999999</v>
      </c>
      <c r="K206" s="42" t="n">
        <v>1</v>
      </c>
      <c r="L206" s="15" t="n">
        <v>8</v>
      </c>
      <c r="M206" s="51" t="inlineStr">
        <is>
          <t>Win</t>
        </is>
      </c>
      <c r="N206" s="17">
        <f>IF(M206="Win",IF(F206="Bet",(I206-1)*K206,K206),IF(M206="Loss",IF(F206="Bet",-K206,-(I206-1)*K206),IF(M206="Void",0,"")))</f>
        <v/>
      </c>
      <c r="O206" s="18">
        <f>IF(OR(M206="Win",M206="Loss"),IF(F206="Bet",K206,(I206-1)*K206),"")</f>
        <v/>
      </c>
    </row>
    <row r="207">
      <c r="A207" s="44" t="n">
        <v>46285</v>
      </c>
      <c r="B207" s="45" t="inlineStr">
        <is>
          <t>Bendigo</t>
        </is>
      </c>
      <c r="C207" s="21" t="n">
        <v>6</v>
      </c>
      <c r="D207" s="21" t="n">
        <v>7</v>
      </c>
      <c r="E207" s="20" t="inlineStr">
        <is>
          <t>Hydrothermal</t>
        </is>
      </c>
      <c r="F207" s="46" t="inlineStr">
        <is>
          <t>Lay</t>
        </is>
      </c>
      <c r="G207" s="47" t="inlineStr">
        <is>
          <t>Lay</t>
        </is>
      </c>
      <c r="H207" s="48" t="n">
        <v>40</v>
      </c>
      <c r="I207" s="48" t="n">
        <v>5.7</v>
      </c>
      <c r="J207" s="22" t="n">
        <v>-0.1505</v>
      </c>
      <c r="K207" s="49" t="n">
        <v>1</v>
      </c>
      <c r="L207" s="21" t="n">
        <v>3</v>
      </c>
      <c r="M207" s="50" t="inlineStr">
        <is>
          <t>Win</t>
        </is>
      </c>
      <c r="N207" s="23">
        <f>IF(M207="Win",IF(F207="Bet",(I207-1)*K207,K207),IF(M207="Loss",IF(F207="Bet",-K207,-(I207-1)*K207),IF(M207="Void",0,"")))</f>
        <v/>
      </c>
      <c r="O207" s="24">
        <f>IF(OR(M207="Win",M207="Loss"),IF(F207="Bet",K207,(I207-1)*K207),"")</f>
        <v/>
      </c>
    </row>
    <row r="208">
      <c r="A208" s="37" t="n">
        <v>46285</v>
      </c>
      <c r="B208" s="38" t="inlineStr">
        <is>
          <t>Kalgoorlie</t>
        </is>
      </c>
      <c r="C208" s="15" t="n">
        <v>6</v>
      </c>
      <c r="D208" s="15" t="n">
        <v>2</v>
      </c>
      <c r="E208" s="14" t="inlineStr">
        <is>
          <t>Opportunistic</t>
        </is>
      </c>
      <c r="F208" s="43" t="inlineStr">
        <is>
          <t>Lay</t>
        </is>
      </c>
      <c r="G208" s="47" t="inlineStr">
        <is>
          <t>Lay</t>
        </is>
      </c>
      <c r="H208" s="41" t="n">
        <v>2.35</v>
      </c>
      <c r="I208" s="41" t="n">
        <v>2</v>
      </c>
      <c r="J208" s="16" t="n">
        <v>-0.0645</v>
      </c>
      <c r="K208" s="42" t="n">
        <v>1</v>
      </c>
      <c r="L208" s="15" t="n">
        <v>2</v>
      </c>
      <c r="M208" s="51" t="inlineStr">
        <is>
          <t>Win</t>
        </is>
      </c>
      <c r="N208" s="17">
        <f>IF(M208="Win",IF(F208="Bet",(I208-1)*K208,K208),IF(M208="Loss",IF(F208="Bet",-K208,-(I208-1)*K208),IF(M208="Void",0,"")))</f>
        <v/>
      </c>
      <c r="O208" s="18">
        <f>IF(OR(M208="Win",M208="Loss"),IF(F208="Bet",K208,(I208-1)*K208),"")</f>
        <v/>
      </c>
    </row>
    <row r="209">
      <c r="A209" s="44" t="n">
        <v>46285</v>
      </c>
      <c r="B209" s="45" t="inlineStr">
        <is>
          <t>Bendigo</t>
        </is>
      </c>
      <c r="C209" s="21" t="n">
        <v>8</v>
      </c>
      <c r="D209" s="21" t="n">
        <v>9</v>
      </c>
      <c r="E209" s="20" t="inlineStr">
        <is>
          <t>Terrortorian</t>
        </is>
      </c>
      <c r="F209" s="46" t="inlineStr">
        <is>
          <t>Lay</t>
        </is>
      </c>
      <c r="G209" s="47" t="inlineStr">
        <is>
          <t>Lay</t>
        </is>
      </c>
      <c r="H209" s="48" t="n">
        <v>5.4</v>
      </c>
      <c r="I209" s="48" t="n">
        <v>2.88</v>
      </c>
      <c r="J209" s="22" t="n">
        <v>-0.07770000000000001</v>
      </c>
      <c r="K209" s="49" t="n">
        <v>1</v>
      </c>
      <c r="L209" s="21" t="n">
        <v>2</v>
      </c>
      <c r="M209" s="50" t="inlineStr">
        <is>
          <t>Win</t>
        </is>
      </c>
      <c r="N209" s="23">
        <f>IF(M209="Win",IF(F209="Bet",(I209-1)*K209,K209),IF(M209="Loss",IF(F209="Bet",-K209,-(I209-1)*K209),IF(M209="Void",0,"")))</f>
        <v/>
      </c>
      <c r="O209" s="24">
        <f>IF(OR(M209="Win",M209="Loss"),IF(F209="Bet",K209,(I209-1)*K209),"")</f>
        <v/>
      </c>
    </row>
    <row r="210">
      <c r="A210" s="37" t="n">
        <v>46285</v>
      </c>
      <c r="B210" s="38" t="inlineStr">
        <is>
          <t>Nowra</t>
        </is>
      </c>
      <c r="C210" s="15" t="n">
        <v>2</v>
      </c>
      <c r="D210" s="15" t="n">
        <v>1</v>
      </c>
      <c r="E210" s="14" t="inlineStr">
        <is>
          <t>Defiance</t>
        </is>
      </c>
      <c r="F210" s="43" t="inlineStr">
        <is>
          <t>Lay</t>
        </is>
      </c>
      <c r="G210" s="47" t="inlineStr">
        <is>
          <t>Lay</t>
        </is>
      </c>
      <c r="H210" s="41" t="n">
        <v>2.3</v>
      </c>
      <c r="I210" s="41" t="n">
        <v>1.36</v>
      </c>
      <c r="J210" s="16" t="n">
        <v>-0.0771</v>
      </c>
      <c r="K210" s="42" t="n">
        <v>1</v>
      </c>
      <c r="L210" s="15" t="n">
        <v>1</v>
      </c>
      <c r="M210" s="43" t="inlineStr">
        <is>
          <t>Loss</t>
        </is>
      </c>
      <c r="N210" s="17">
        <f>IF(M210="Win",IF(F210="Bet",(I210-1)*K210,K210),IF(M210="Loss",IF(F210="Bet",-K210,-(I210-1)*K210),IF(M210="Void",0,"")))</f>
        <v/>
      </c>
      <c r="O210" s="18">
        <f>IF(OR(M210="Win",M210="Loss"),IF(F210="Bet",K210,(I210-1)*K210),"")</f>
        <v/>
      </c>
    </row>
    <row r="211">
      <c r="A211" s="44" t="n">
        <v>46285</v>
      </c>
      <c r="B211" s="45" t="inlineStr">
        <is>
          <t>Nowra</t>
        </is>
      </c>
      <c r="C211" s="21" t="n">
        <v>7</v>
      </c>
      <c r="D211" s="21" t="n">
        <v>11</v>
      </c>
      <c r="E211" s="20" t="inlineStr">
        <is>
          <t>Lady Capitalist</t>
        </is>
      </c>
      <c r="F211" s="46" t="inlineStr">
        <is>
          <t>Lay</t>
        </is>
      </c>
      <c r="G211" s="47" t="inlineStr">
        <is>
          <t>Lay</t>
        </is>
      </c>
      <c r="H211" s="48" t="n">
        <v>5.3</v>
      </c>
      <c r="I211" s="48" t="n">
        <v>3.45</v>
      </c>
      <c r="J211" s="22" t="n">
        <v>-0.0623</v>
      </c>
      <c r="K211" s="49" t="n">
        <v>1</v>
      </c>
      <c r="L211" s="21" t="n">
        <v>5</v>
      </c>
      <c r="M211" s="50" t="inlineStr">
        <is>
          <t>Win</t>
        </is>
      </c>
      <c r="N211" s="23">
        <f>IF(M211="Win",IF(F211="Bet",(I211-1)*K211,K211),IF(M211="Loss",IF(F211="Bet",-K211,-(I211-1)*K211),IF(M211="Void",0,"")))</f>
        <v/>
      </c>
      <c r="O211" s="24">
        <f>IF(OR(M211="Win",M211="Loss"),IF(F211="Bet",K211,(I211-1)*K211),"")</f>
        <v/>
      </c>
    </row>
    <row r="212">
      <c r="A212" s="37" t="n">
        <v>46285</v>
      </c>
      <c r="B212" s="38" t="inlineStr">
        <is>
          <t>Bendigo</t>
        </is>
      </c>
      <c r="C212" s="15" t="n">
        <v>5</v>
      </c>
      <c r="D212" s="15" t="n">
        <v>5</v>
      </c>
      <c r="E212" s="14" t="inlineStr">
        <is>
          <t>Earth's Abundance</t>
        </is>
      </c>
      <c r="F212" s="43" t="inlineStr">
        <is>
          <t>Lay</t>
        </is>
      </c>
      <c r="G212" s="47" t="inlineStr">
        <is>
          <t>Lay</t>
        </is>
      </c>
      <c r="H212" s="41" t="n">
        <v>4.1</v>
      </c>
      <c r="I212" s="41" t="n">
        <v>3.15</v>
      </c>
      <c r="J212" s="16" t="n">
        <v>-0.07149999999999999</v>
      </c>
      <c r="K212" s="42" t="n">
        <v>1</v>
      </c>
      <c r="L212" s="15" t="n"/>
      <c r="M212" s="54" t="inlineStr">
        <is>
          <t>Void</t>
        </is>
      </c>
      <c r="N212" s="17">
        <f>IF(M212="Win",IF(F212="Bet",(I212-1)*K212,K212),IF(M212="Loss",IF(F212="Bet",-K212,-(I212-1)*K212),IF(M212="Void",0,"")))</f>
        <v/>
      </c>
      <c r="O212" s="18">
        <f>IF(OR(M212="Win",M212="Loss"),IF(F212="Bet",K212,(I212-1)*K212),"")</f>
        <v/>
      </c>
    </row>
    <row r="213">
      <c r="A213" s="44" t="n">
        <v>46285</v>
      </c>
      <c r="B213" s="45" t="inlineStr">
        <is>
          <t>Kalgoorlie</t>
        </is>
      </c>
      <c r="C213" s="21" t="n">
        <v>3</v>
      </c>
      <c r="D213" s="21" t="n">
        <v>2</v>
      </c>
      <c r="E213" s="20" t="inlineStr">
        <is>
          <t>Royal Guardian</t>
        </is>
      </c>
      <c r="F213" s="46" t="inlineStr">
        <is>
          <t>Lay</t>
        </is>
      </c>
      <c r="G213" s="47" t="inlineStr">
        <is>
          <t>Lay</t>
        </is>
      </c>
      <c r="H213" s="48" t="n">
        <v>5.8</v>
      </c>
      <c r="I213" s="48" t="n">
        <v>2.84</v>
      </c>
      <c r="J213" s="22" t="n">
        <v>-0.07679999999999999</v>
      </c>
      <c r="K213" s="49" t="n">
        <v>1</v>
      </c>
      <c r="L213" s="21" t="n">
        <v>9</v>
      </c>
      <c r="M213" s="50" t="inlineStr">
        <is>
          <t>Win</t>
        </is>
      </c>
      <c r="N213" s="23">
        <f>IF(M213="Win",IF(F213="Bet",(I213-1)*K213,K213),IF(M213="Loss",IF(F213="Bet",-K213,-(I213-1)*K213),IF(M213="Void",0,"")))</f>
        <v/>
      </c>
      <c r="O213" s="24">
        <f>IF(OR(M213="Win",M213="Loss"),IF(F213="Bet",K213,(I213-1)*K213),"")</f>
        <v/>
      </c>
    </row>
    <row r="214">
      <c r="A214" s="37" t="n">
        <v>46285</v>
      </c>
      <c r="B214" s="38" t="inlineStr">
        <is>
          <t>Kalgoorlie</t>
        </is>
      </c>
      <c r="C214" s="15" t="n">
        <v>5</v>
      </c>
      <c r="D214" s="15" t="n">
        <v>5</v>
      </c>
      <c r="E214" s="14" t="inlineStr">
        <is>
          <t>Science Degree</t>
        </is>
      </c>
      <c r="F214" s="43" t="inlineStr">
        <is>
          <t>Lay</t>
        </is>
      </c>
      <c r="G214" s="47" t="inlineStr">
        <is>
          <t>Lay</t>
        </is>
      </c>
      <c r="H214" s="41" t="n">
        <v>7.5</v>
      </c>
      <c r="I214" s="41" t="n">
        <v>4.7</v>
      </c>
      <c r="J214" s="16" t="n">
        <v>-0.067</v>
      </c>
      <c r="K214" s="42" t="n">
        <v>1</v>
      </c>
      <c r="L214" s="15" t="n">
        <v>1</v>
      </c>
      <c r="M214" s="43" t="inlineStr">
        <is>
          <t>Loss</t>
        </is>
      </c>
      <c r="N214" s="17">
        <f>IF(M214="Win",IF(F214="Bet",(I214-1)*K214,K214),IF(M214="Loss",IF(F214="Bet",-K214,-(I214-1)*K214),IF(M214="Void",0,"")))</f>
        <v/>
      </c>
      <c r="O214" s="18">
        <f>IF(OR(M214="Win",M214="Loss"),IF(F214="Bet",K214,(I214-1)*K214),"")</f>
        <v/>
      </c>
    </row>
    <row r="215">
      <c r="A215" s="44" t="n">
        <v>46285</v>
      </c>
      <c r="B215" s="45" t="inlineStr">
        <is>
          <t>Bendigo</t>
        </is>
      </c>
      <c r="C215" s="21" t="n">
        <v>7</v>
      </c>
      <c r="D215" s="21" t="n">
        <v>14</v>
      </c>
      <c r="E215" s="20" t="inlineStr">
        <is>
          <t>Our Justify</t>
        </is>
      </c>
      <c r="F215" s="46" t="inlineStr">
        <is>
          <t>Lay</t>
        </is>
      </c>
      <c r="G215" s="47" t="inlineStr">
        <is>
          <t>Lay</t>
        </is>
      </c>
      <c r="H215" s="48" t="n">
        <v>5.7</v>
      </c>
      <c r="I215" s="48" t="n">
        <v>2.54</v>
      </c>
      <c r="J215" s="22" t="n">
        <v>-0.09719999999999999</v>
      </c>
      <c r="K215" s="49" t="n">
        <v>1</v>
      </c>
      <c r="L215" s="21" t="n">
        <v>1</v>
      </c>
      <c r="M215" s="46" t="inlineStr">
        <is>
          <t>Loss</t>
        </is>
      </c>
      <c r="N215" s="23">
        <f>IF(M215="Win",IF(F215="Bet",(I215-1)*K215,K215),IF(M215="Loss",IF(F215="Bet",-K215,-(I215-1)*K215),IF(M215="Void",0,"")))</f>
        <v/>
      </c>
      <c r="O215" s="24">
        <f>IF(OR(M215="Win",M215="Loss"),IF(F215="Bet",K215,(I215-1)*K215),"")</f>
        <v/>
      </c>
    </row>
    <row r="216">
      <c r="A216" s="37" t="n">
        <v>46285</v>
      </c>
      <c r="B216" s="38" t="inlineStr">
        <is>
          <t>Bairnsdale</t>
        </is>
      </c>
      <c r="C216" s="15" t="n">
        <v>7</v>
      </c>
      <c r="D216" s="15" t="n">
        <v>1</v>
      </c>
      <c r="E216" s="14" t="inlineStr">
        <is>
          <t>Bleak Mid Winter</t>
        </is>
      </c>
      <c r="F216" s="43" t="inlineStr">
        <is>
          <t>Lay</t>
        </is>
      </c>
      <c r="G216" s="47" t="inlineStr">
        <is>
          <t>Lay</t>
        </is>
      </c>
      <c r="H216" s="41" t="n">
        <v>4.3</v>
      </c>
      <c r="I216" s="41" t="n">
        <v>2.34</v>
      </c>
      <c r="J216" s="16" t="n">
        <v>-0.0618</v>
      </c>
      <c r="K216" s="42" t="n">
        <v>1</v>
      </c>
      <c r="L216" s="15" t="n"/>
      <c r="M216" s="54" t="inlineStr">
        <is>
          <t>Void</t>
        </is>
      </c>
      <c r="N216" s="17">
        <f>IF(M216="Win",IF(F216="Bet",(I216-1)*K216,K216),IF(M216="Loss",IF(F216="Bet",-K216,-(I216-1)*K216),IF(M216="Void",0,"")))</f>
        <v/>
      </c>
      <c r="O216" s="18">
        <f>IF(OR(M216="Win",M216="Loss"),IF(F216="Bet",K216,(I216-1)*K216),"")</f>
        <v/>
      </c>
    </row>
    <row r="217">
      <c r="A217" s="44" t="n">
        <v>46285</v>
      </c>
      <c r="B217" s="45" t="inlineStr">
        <is>
          <t>Sunshine Coast</t>
        </is>
      </c>
      <c r="C217" s="21" t="n">
        <v>1</v>
      </c>
      <c r="D217" s="21" t="n">
        <v>3</v>
      </c>
      <c r="E217" s="20" t="inlineStr">
        <is>
          <t>Vincley</t>
        </is>
      </c>
      <c r="F217" s="46" t="inlineStr">
        <is>
          <t>Lay</t>
        </is>
      </c>
      <c r="G217" s="47" t="inlineStr">
        <is>
          <t>Lay</t>
        </is>
      </c>
      <c r="H217" s="48" t="n">
        <v>2.35</v>
      </c>
      <c r="I217" s="48" t="n">
        <v>1.79</v>
      </c>
      <c r="J217" s="22" t="n">
        <v>-0.1147</v>
      </c>
      <c r="K217" s="49" t="n">
        <v>1</v>
      </c>
      <c r="L217" s="21" t="n">
        <v>2</v>
      </c>
      <c r="M217" s="50" t="inlineStr">
        <is>
          <t>Win</t>
        </is>
      </c>
      <c r="N217" s="23">
        <f>IF(M217="Win",IF(F217="Bet",(I217-1)*K217,K217),IF(M217="Loss",IF(F217="Bet",-K217,-(I217-1)*K217),IF(M217="Void",0,"")))</f>
        <v/>
      </c>
      <c r="O217" s="24">
        <f>IF(OR(M217="Win",M217="Loss"),IF(F217="Bet",K217,(I217-1)*K217),"")</f>
        <v/>
      </c>
    </row>
    <row r="218">
      <c r="A218" s="37" t="n">
        <v>46285</v>
      </c>
      <c r="B218" s="38" t="inlineStr">
        <is>
          <t>Sunshine Coast</t>
        </is>
      </c>
      <c r="C218" s="15" t="n">
        <v>2</v>
      </c>
      <c r="D218" s="15" t="n">
        <v>14</v>
      </c>
      <c r="E218" s="14" t="inlineStr">
        <is>
          <t>Hells Rein</t>
        </is>
      </c>
      <c r="F218" s="43" t="inlineStr">
        <is>
          <t>Lay</t>
        </is>
      </c>
      <c r="G218" s="47" t="inlineStr">
        <is>
          <t>Lay</t>
        </is>
      </c>
      <c r="H218" s="41" t="n">
        <v>4.8</v>
      </c>
      <c r="I218" s="41" t="n">
        <v>2.78</v>
      </c>
      <c r="J218" s="16" t="n">
        <v>-0.0612</v>
      </c>
      <c r="K218" s="42" t="n">
        <v>1</v>
      </c>
      <c r="L218" s="15" t="n">
        <v>5</v>
      </c>
      <c r="M218" s="51" t="inlineStr">
        <is>
          <t>Win</t>
        </is>
      </c>
      <c r="N218" s="17">
        <f>IF(M218="Win",IF(F218="Bet",(I218-1)*K218,K218),IF(M218="Loss",IF(F218="Bet",-K218,-(I218-1)*K218),IF(M218="Void",0,"")))</f>
        <v/>
      </c>
      <c r="O218" s="18">
        <f>IF(OR(M218="Win",M218="Loss"),IF(F218="Bet",K218,(I218-1)*K218),"")</f>
        <v/>
      </c>
    </row>
    <row r="219">
      <c r="A219" s="44" t="n">
        <v>46285</v>
      </c>
      <c r="B219" s="45" t="inlineStr">
        <is>
          <t>Armidale</t>
        </is>
      </c>
      <c r="C219" s="21" t="n">
        <v>6</v>
      </c>
      <c r="D219" s="21" t="n">
        <v>3</v>
      </c>
      <c r="E219" s="20" t="inlineStr">
        <is>
          <t>Miners Mate</t>
        </is>
      </c>
      <c r="F219" s="46" t="inlineStr">
        <is>
          <t>Lay</t>
        </is>
      </c>
      <c r="G219" s="47" t="inlineStr">
        <is>
          <t>Lay</t>
        </is>
      </c>
      <c r="H219" s="48" t="n">
        <v>5.7</v>
      </c>
      <c r="I219" s="48" t="n">
        <v>3.4</v>
      </c>
      <c r="J219" s="22" t="n">
        <v>-0.0815</v>
      </c>
      <c r="K219" s="49" t="n">
        <v>1</v>
      </c>
      <c r="L219" s="21" t="n">
        <v>2</v>
      </c>
      <c r="M219" s="50" t="inlineStr">
        <is>
          <t>Win</t>
        </is>
      </c>
      <c r="N219" s="23">
        <f>IF(M219="Win",IF(F219="Bet",(I219-1)*K219,K219),IF(M219="Loss",IF(F219="Bet",-K219,-(I219-1)*K219),IF(M219="Void",0,"")))</f>
        <v/>
      </c>
      <c r="O219" s="24">
        <f>IF(OR(M219="Win",M219="Loss"),IF(F219="Bet",K219,(I219-1)*K219),"")</f>
        <v/>
      </c>
    </row>
    <row r="220">
      <c r="A220" s="37" t="n">
        <v>46285</v>
      </c>
      <c r="B220" s="38" t="inlineStr">
        <is>
          <t>Sunshine Coast</t>
        </is>
      </c>
      <c r="C220" s="15" t="n">
        <v>3</v>
      </c>
      <c r="D220" s="15" t="n">
        <v>1</v>
      </c>
      <c r="E220" s="14" t="inlineStr">
        <is>
          <t>Old Faithful</t>
        </is>
      </c>
      <c r="F220" s="43" t="inlineStr">
        <is>
          <t>Lay</t>
        </is>
      </c>
      <c r="G220" s="47" t="inlineStr">
        <is>
          <t>Lay</t>
        </is>
      </c>
      <c r="H220" s="41" t="n">
        <v>5.7</v>
      </c>
      <c r="I220" s="41" t="n">
        <v>4.2</v>
      </c>
      <c r="J220" s="16" t="n">
        <v>-0.0638</v>
      </c>
      <c r="K220" s="42" t="n">
        <v>1</v>
      </c>
      <c r="L220" s="15" t="n">
        <v>4</v>
      </c>
      <c r="M220" s="51" t="inlineStr">
        <is>
          <t>Win</t>
        </is>
      </c>
      <c r="N220" s="17">
        <f>IF(M220="Win",IF(F220="Bet",(I220-1)*K220,K220),IF(M220="Loss",IF(F220="Bet",-K220,-(I220-1)*K220),IF(M220="Void",0,"")))</f>
        <v/>
      </c>
      <c r="O220" s="18">
        <f>IF(OR(M220="Win",M220="Loss"),IF(F220="Bet",K220,(I220-1)*K220),"")</f>
        <v/>
      </c>
    </row>
    <row r="221">
      <c r="A221" s="44" t="n">
        <v>46285</v>
      </c>
      <c r="B221" s="45" t="inlineStr">
        <is>
          <t>Nowra</t>
        </is>
      </c>
      <c r="C221" s="21" t="n">
        <v>1</v>
      </c>
      <c r="D221" s="21" t="n">
        <v>1</v>
      </c>
      <c r="E221" s="20" t="inlineStr">
        <is>
          <t>Hard Yards</t>
        </is>
      </c>
      <c r="F221" s="46" t="inlineStr">
        <is>
          <t>Lay</t>
        </is>
      </c>
      <c r="G221" s="47" t="inlineStr">
        <is>
          <t>Lay</t>
        </is>
      </c>
      <c r="H221" s="48" t="n">
        <v>3.4</v>
      </c>
      <c r="I221" s="48" t="n">
        <v>2.7</v>
      </c>
      <c r="J221" s="22" t="n">
        <v>-0.0789</v>
      </c>
      <c r="K221" s="49" t="n">
        <v>1</v>
      </c>
      <c r="L221" s="21" t="n">
        <v>5</v>
      </c>
      <c r="M221" s="50" t="inlineStr">
        <is>
          <t>Win</t>
        </is>
      </c>
      <c r="N221" s="23">
        <f>IF(M221="Win",IF(F221="Bet",(I221-1)*K221,K221),IF(M221="Loss",IF(F221="Bet",-K221,-(I221-1)*K221),IF(M221="Void",0,"")))</f>
        <v/>
      </c>
      <c r="O221" s="24">
        <f>IF(OR(M221="Win",M221="Loss"),IF(F221="Bet",K221,(I221-1)*K221),"")</f>
        <v/>
      </c>
    </row>
    <row r="222">
      <c r="A222" s="37" t="n">
        <v>46285</v>
      </c>
      <c r="B222" s="38" t="inlineStr">
        <is>
          <t>Mount Gambier</t>
        </is>
      </c>
      <c r="C222" s="15" t="n">
        <v>1</v>
      </c>
      <c r="D222" s="15" t="n">
        <v>7</v>
      </c>
      <c r="E222" s="14" t="inlineStr">
        <is>
          <t>Fake Fiction</t>
        </is>
      </c>
      <c r="F222" s="43" t="inlineStr">
        <is>
          <t>Lay</t>
        </is>
      </c>
      <c r="G222" s="47" t="inlineStr">
        <is>
          <t>Lay</t>
        </is>
      </c>
      <c r="H222" s="41" t="n">
        <v>2.8</v>
      </c>
      <c r="I222" s="41" t="n">
        <v>2.26</v>
      </c>
      <c r="J222" s="16" t="n">
        <v>-0.06</v>
      </c>
      <c r="K222" s="42" t="n">
        <v>1</v>
      </c>
      <c r="L222" s="15" t="n">
        <v>5</v>
      </c>
      <c r="M222" s="51" t="inlineStr">
        <is>
          <t>Win</t>
        </is>
      </c>
      <c r="N222" s="17">
        <f>IF(M222="Win",IF(F222="Bet",(I222-1)*K222,K222),IF(M222="Loss",IF(F222="Bet",-K222,-(I222-1)*K222),IF(M222="Void",0,"")))</f>
        <v/>
      </c>
      <c r="O222" s="18">
        <f>IF(OR(M222="Win",M222="Loss"),IF(F222="Bet",K222,(I222-1)*K222),"")</f>
        <v/>
      </c>
    </row>
    <row r="223">
      <c r="A223" s="44" t="n">
        <v>46285</v>
      </c>
      <c r="B223" s="45" t="inlineStr">
        <is>
          <t>Armidale</t>
        </is>
      </c>
      <c r="C223" s="21" t="n">
        <v>5</v>
      </c>
      <c r="D223" s="21" t="n">
        <v>1</v>
      </c>
      <c r="E223" s="20" t="inlineStr">
        <is>
          <t>Set To Prophet</t>
        </is>
      </c>
      <c r="F223" s="46" t="inlineStr">
        <is>
          <t>Lay</t>
        </is>
      </c>
      <c r="G223" s="47" t="inlineStr">
        <is>
          <t>Lay</t>
        </is>
      </c>
      <c r="H223" s="48" t="n">
        <v>4.5</v>
      </c>
      <c r="I223" s="48" t="n">
        <v>2.78</v>
      </c>
      <c r="J223" s="22" t="n">
        <v>-0.07140000000000001</v>
      </c>
      <c r="K223" s="49" t="n">
        <v>1</v>
      </c>
      <c r="L223" s="21" t="n">
        <v>3</v>
      </c>
      <c r="M223" s="50" t="inlineStr">
        <is>
          <t>Win</t>
        </is>
      </c>
      <c r="N223" s="23">
        <f>IF(M223="Win",IF(F223="Bet",(I223-1)*K223,K223),IF(M223="Loss",IF(F223="Bet",-K223,-(I223-1)*K223),IF(M223="Void",0,"")))</f>
        <v/>
      </c>
      <c r="O223" s="24">
        <f>IF(OR(M223="Win",M223="Loss"),IF(F223="Bet",K223,(I223-1)*K223),"")</f>
        <v/>
      </c>
    </row>
    <row r="224">
      <c r="A224" s="37" t="n">
        <v>46285</v>
      </c>
      <c r="B224" s="38" t="inlineStr">
        <is>
          <t>Mount Gambier</t>
        </is>
      </c>
      <c r="C224" s="15" t="n">
        <v>6</v>
      </c>
      <c r="D224" s="15" t="n">
        <v>6</v>
      </c>
      <c r="E224" s="14" t="inlineStr">
        <is>
          <t>Octahedron</t>
        </is>
      </c>
      <c r="F224" s="43" t="inlineStr">
        <is>
          <t>Lay</t>
        </is>
      </c>
      <c r="G224" s="47" t="inlineStr">
        <is>
          <t>Lay</t>
        </is>
      </c>
      <c r="H224" s="41" t="n">
        <v>8</v>
      </c>
      <c r="I224" s="41" t="n">
        <v>4.25</v>
      </c>
      <c r="J224" s="16" t="n">
        <v>-0.08359999999999999</v>
      </c>
      <c r="K224" s="42" t="n">
        <v>1</v>
      </c>
      <c r="L224" s="15" t="n">
        <v>2</v>
      </c>
      <c r="M224" s="51" t="inlineStr">
        <is>
          <t>Win</t>
        </is>
      </c>
      <c r="N224" s="17">
        <f>IF(M224="Win",IF(F224="Bet",(I224-1)*K224,K224),IF(M224="Loss",IF(F224="Bet",-K224,-(I224-1)*K224),IF(M224="Void",0,"")))</f>
        <v/>
      </c>
      <c r="O224" s="18">
        <f>IF(OR(M224="Win",M224="Loss"),IF(F224="Bet",K224,(I224-1)*K224),"")</f>
        <v/>
      </c>
    </row>
    <row r="225">
      <c r="A225" s="44" t="n">
        <v>46285</v>
      </c>
      <c r="B225" s="45" t="inlineStr">
        <is>
          <t>Nowra</t>
        </is>
      </c>
      <c r="C225" s="21" t="n">
        <v>6</v>
      </c>
      <c r="D225" s="21" t="n">
        <v>1</v>
      </c>
      <c r="E225" s="20" t="inlineStr">
        <is>
          <t>August Rush</t>
        </is>
      </c>
      <c r="F225" s="46" t="inlineStr">
        <is>
          <t>Lay</t>
        </is>
      </c>
      <c r="G225" s="47" t="inlineStr">
        <is>
          <t>Lay</t>
        </is>
      </c>
      <c r="H225" s="48" t="n">
        <v>4.6</v>
      </c>
      <c r="I225" s="48" t="n">
        <v>3.3</v>
      </c>
      <c r="J225" s="22" t="n">
        <v>-0.0663</v>
      </c>
      <c r="K225" s="49" t="n">
        <v>1</v>
      </c>
      <c r="L225" s="21" t="n">
        <v>8</v>
      </c>
      <c r="M225" s="50" t="inlineStr">
        <is>
          <t>Win</t>
        </is>
      </c>
      <c r="N225" s="23">
        <f>IF(M225="Win",IF(F225="Bet",(I225-1)*K225,K225),IF(M225="Loss",IF(F225="Bet",-K225,-(I225-1)*K225),IF(M225="Void",0,"")))</f>
        <v/>
      </c>
      <c r="O225" s="24">
        <f>IF(OR(M225="Win",M225="Loss"),IF(F225="Bet",K225,(I225-1)*K225),"")</f>
        <v/>
      </c>
    </row>
    <row r="226">
      <c r="A226" s="37" t="n">
        <v>46285</v>
      </c>
      <c r="B226" s="38" t="inlineStr">
        <is>
          <t>Bendigo</t>
        </is>
      </c>
      <c r="C226" s="15" t="n">
        <v>1</v>
      </c>
      <c r="D226" s="15" t="n">
        <v>12</v>
      </c>
      <c r="E226" s="14" t="inlineStr">
        <is>
          <t>Cajun</t>
        </is>
      </c>
      <c r="F226" s="43" t="inlineStr">
        <is>
          <t>Lay</t>
        </is>
      </c>
      <c r="G226" s="47" t="inlineStr">
        <is>
          <t>Lay</t>
        </is>
      </c>
      <c r="H226" s="41" t="n">
        <v>4.4</v>
      </c>
      <c r="I226" s="41" t="n">
        <v>3.35</v>
      </c>
      <c r="J226" s="16" t="n">
        <v>-0.0737</v>
      </c>
      <c r="K226" s="42" t="n">
        <v>1</v>
      </c>
      <c r="L226" s="15" t="n">
        <v>8</v>
      </c>
      <c r="M226" s="51" t="inlineStr">
        <is>
          <t>Win</t>
        </is>
      </c>
      <c r="N226" s="17">
        <f>IF(M226="Win",IF(F226="Bet",(I226-1)*K226,K226),IF(M226="Loss",IF(F226="Bet",-K226,-(I226-1)*K226),IF(M226="Void",0,"")))</f>
        <v/>
      </c>
      <c r="O226" s="18">
        <f>IF(OR(M226="Win",M226="Loss"),IF(F226="Bet",K226,(I226-1)*K226),"")</f>
        <v/>
      </c>
    </row>
    <row r="227">
      <c r="A227" s="44" t="n">
        <v>46285</v>
      </c>
      <c r="B227" s="45" t="inlineStr">
        <is>
          <t>Bairnsdale</t>
        </is>
      </c>
      <c r="C227" s="21" t="n">
        <v>1</v>
      </c>
      <c r="D227" s="21" t="n">
        <v>7</v>
      </c>
      <c r="E227" s="20" t="inlineStr">
        <is>
          <t>Sheistheboss</t>
        </is>
      </c>
      <c r="F227" s="46" t="inlineStr">
        <is>
          <t>Lay</t>
        </is>
      </c>
      <c r="G227" s="47" t="inlineStr">
        <is>
          <t>Lay</t>
        </is>
      </c>
      <c r="H227" s="48" t="n">
        <v>3.7</v>
      </c>
      <c r="I227" s="48" t="n">
        <v>2.96</v>
      </c>
      <c r="J227" s="22" t="n">
        <v>-0.0665</v>
      </c>
      <c r="K227" s="49" t="n">
        <v>1</v>
      </c>
      <c r="L227" s="21" t="n">
        <v>2</v>
      </c>
      <c r="M227" s="50" t="inlineStr">
        <is>
          <t>Win</t>
        </is>
      </c>
      <c r="N227" s="23">
        <f>IF(M227="Win",IF(F227="Bet",(I227-1)*K227,K227),IF(M227="Loss",IF(F227="Bet",-K227,-(I227-1)*K227),IF(M227="Void",0,"")))</f>
        <v/>
      </c>
      <c r="O227" s="24">
        <f>IF(OR(M227="Win",M227="Loss"),IF(F227="Bet",K227,(I227-1)*K227),"")</f>
        <v/>
      </c>
    </row>
    <row r="228">
      <c r="A228" s="37" t="n">
        <v>46285</v>
      </c>
      <c r="B228" s="38" t="inlineStr">
        <is>
          <t>Nowra</t>
        </is>
      </c>
      <c r="C228" s="15" t="n">
        <v>4</v>
      </c>
      <c r="D228" s="15" t="n">
        <v>5</v>
      </c>
      <c r="E228" s="14" t="inlineStr">
        <is>
          <t>Snap Decision</t>
        </is>
      </c>
      <c r="F228" s="43" t="inlineStr">
        <is>
          <t>Lay</t>
        </is>
      </c>
      <c r="G228" s="47" t="inlineStr">
        <is>
          <t>Lay</t>
        </is>
      </c>
      <c r="H228" s="41" t="n">
        <v>5.2</v>
      </c>
      <c r="I228" s="41" t="n">
        <v>3.7</v>
      </c>
      <c r="J228" s="16" t="n">
        <v>-0.0775</v>
      </c>
      <c r="K228" s="42" t="n">
        <v>1</v>
      </c>
      <c r="L228" s="15" t="n">
        <v>1</v>
      </c>
      <c r="M228" s="43" t="inlineStr">
        <is>
          <t>Loss</t>
        </is>
      </c>
      <c r="N228" s="17">
        <f>IF(M228="Win",IF(F228="Bet",(I228-1)*K228,K228),IF(M228="Loss",IF(F228="Bet",-K228,-(I228-1)*K228),IF(M228="Void",0,"")))</f>
        <v/>
      </c>
      <c r="O228" s="18">
        <f>IF(OR(M228="Win",M228="Loss"),IF(F228="Bet",K228,(I228-1)*K228),"")</f>
        <v/>
      </c>
    </row>
    <row r="229">
      <c r="A229" s="44" t="n">
        <v>46285</v>
      </c>
      <c r="B229" s="45" t="inlineStr">
        <is>
          <t>Sunshine Coast</t>
        </is>
      </c>
      <c r="C229" s="21" t="n">
        <v>4</v>
      </c>
      <c r="D229" s="21" t="n">
        <v>5</v>
      </c>
      <c r="E229" s="20" t="inlineStr">
        <is>
          <t>Sir Goldalot</t>
        </is>
      </c>
      <c r="F229" s="46" t="inlineStr">
        <is>
          <t>Lay</t>
        </is>
      </c>
      <c r="G229" s="47" t="inlineStr">
        <is>
          <t>Lay</t>
        </is>
      </c>
      <c r="H229" s="48" t="n">
        <v>6.4</v>
      </c>
      <c r="I229" s="48" t="n">
        <v>4.3</v>
      </c>
      <c r="J229" s="22" t="n">
        <v>-0.06660000000000001</v>
      </c>
      <c r="K229" s="49" t="n">
        <v>1</v>
      </c>
      <c r="L229" s="21" t="n">
        <v>3</v>
      </c>
      <c r="M229" s="50" t="inlineStr">
        <is>
          <t>Win</t>
        </is>
      </c>
      <c r="N229" s="23">
        <f>IF(M229="Win",IF(F229="Bet",(I229-1)*K229,K229),IF(M229="Loss",IF(F229="Bet",-K229,-(I229-1)*K229),IF(M229="Void",0,"")))</f>
        <v/>
      </c>
      <c r="O229" s="24">
        <f>IF(OR(M229="Win",M229="Loss"),IF(F229="Bet",K229,(I229-1)*K229),"")</f>
        <v/>
      </c>
    </row>
    <row r="230">
      <c r="A230" s="37" t="n">
        <v>46285</v>
      </c>
      <c r="B230" s="38" t="inlineStr">
        <is>
          <t>Alice Springs</t>
        </is>
      </c>
      <c r="C230" s="15" t="n">
        <v>2</v>
      </c>
      <c r="D230" s="15" t="n">
        <v>5</v>
      </c>
      <c r="E230" s="14" t="inlineStr">
        <is>
          <t>Tellez</t>
        </is>
      </c>
      <c r="F230" s="43" t="inlineStr">
        <is>
          <t>Lay</t>
        </is>
      </c>
      <c r="G230" s="47" t="inlineStr">
        <is>
          <t>Lay</t>
        </is>
      </c>
      <c r="H230" s="41" t="n">
        <v>7.2</v>
      </c>
      <c r="I230" s="41" t="n">
        <v>4.88</v>
      </c>
      <c r="J230" s="16" t="n">
        <v>-0.0611</v>
      </c>
      <c r="K230" s="42" t="n">
        <v>1</v>
      </c>
      <c r="L230" s="15" t="n">
        <v>2</v>
      </c>
      <c r="M230" s="51" t="inlineStr">
        <is>
          <t>Win</t>
        </is>
      </c>
      <c r="N230" s="17">
        <f>IF(M230="Win",IF(F230="Bet",(I230-1)*K230,K230),IF(M230="Loss",IF(F230="Bet",-K230,-(I230-1)*K230),IF(M230="Void",0,"")))</f>
        <v/>
      </c>
      <c r="O230" s="18">
        <f>IF(OR(M230="Win",M230="Loss"),IF(F230="Bet",K230,(I230-1)*K230),"")</f>
        <v/>
      </c>
    </row>
    <row r="231">
      <c r="A231" s="44" t="n">
        <v>46285</v>
      </c>
      <c r="B231" s="45" t="inlineStr">
        <is>
          <t>Alice Springs</t>
        </is>
      </c>
      <c r="C231" s="21" t="n">
        <v>3</v>
      </c>
      <c r="D231" s="21" t="n">
        <v>2</v>
      </c>
      <c r="E231" s="20" t="inlineStr">
        <is>
          <t>Mummsie</t>
        </is>
      </c>
      <c r="F231" s="46" t="inlineStr">
        <is>
          <t>Lay</t>
        </is>
      </c>
      <c r="G231" s="47" t="inlineStr">
        <is>
          <t>Lay</t>
        </is>
      </c>
      <c r="H231" s="48" t="n">
        <v>3.1</v>
      </c>
      <c r="I231" s="48" t="n">
        <v>2.4</v>
      </c>
      <c r="J231" s="22" t="n">
        <v>-0.0633</v>
      </c>
      <c r="K231" s="49" t="n">
        <v>1</v>
      </c>
      <c r="L231" s="21" t="n">
        <v>1</v>
      </c>
      <c r="M231" s="46" t="inlineStr">
        <is>
          <t>Loss</t>
        </is>
      </c>
      <c r="N231" s="23">
        <f>IF(M231="Win",IF(F231="Bet",(I231-1)*K231,K231),IF(M231="Loss",IF(F231="Bet",-K231,-(I231-1)*K231),IF(M231="Void",0,"")))</f>
        <v/>
      </c>
      <c r="O231" s="24">
        <f>IF(OR(M231="Win",M231="Loss"),IF(F231="Bet",K231,(I231-1)*K231),"")</f>
        <v/>
      </c>
    </row>
    <row r="232">
      <c r="A232" s="37" t="n">
        <v>46285</v>
      </c>
      <c r="B232" s="38" t="inlineStr">
        <is>
          <t>Sunshine Coast</t>
        </is>
      </c>
      <c r="C232" s="15" t="n">
        <v>6</v>
      </c>
      <c r="D232" s="15" t="n">
        <v>3</v>
      </c>
      <c r="E232" s="14" t="inlineStr">
        <is>
          <t>Gambler</t>
        </is>
      </c>
      <c r="F232" s="43" t="inlineStr">
        <is>
          <t>Lay</t>
        </is>
      </c>
      <c r="G232" s="47" t="inlineStr">
        <is>
          <t>Lay</t>
        </is>
      </c>
      <c r="H232" s="41" t="n">
        <v>6.2</v>
      </c>
      <c r="I232" s="41" t="n">
        <v>3.7</v>
      </c>
      <c r="J232" s="16" t="n">
        <v>-0.0989</v>
      </c>
      <c r="K232" s="42" t="n">
        <v>1</v>
      </c>
      <c r="L232" s="15" t="n">
        <v>1</v>
      </c>
      <c r="M232" s="43" t="inlineStr">
        <is>
          <t>Loss</t>
        </is>
      </c>
      <c r="N232" s="17">
        <f>IF(M232="Win",IF(F232="Bet",(I232-1)*K232,K232),IF(M232="Loss",IF(F232="Bet",-K232,-(I232-1)*K232),IF(M232="Void",0,"")))</f>
        <v/>
      </c>
      <c r="O232" s="18">
        <f>IF(OR(M232="Win",M232="Loss"),IF(F232="Bet",K232,(I232-1)*K232),"")</f>
        <v/>
      </c>
    </row>
    <row r="233">
      <c r="A233" s="44" t="n">
        <v>46285</v>
      </c>
      <c r="B233" s="45" t="inlineStr">
        <is>
          <t>Armidale</t>
        </is>
      </c>
      <c r="C233" s="21" t="n">
        <v>6</v>
      </c>
      <c r="D233" s="21" t="n">
        <v>9</v>
      </c>
      <c r="E233" s="20" t="inlineStr">
        <is>
          <t>Tralee</t>
        </is>
      </c>
      <c r="F233" s="46" t="inlineStr">
        <is>
          <t>Lay</t>
        </is>
      </c>
      <c r="G233" s="47" t="inlineStr">
        <is>
          <t>Lay</t>
        </is>
      </c>
      <c r="H233" s="48" t="n">
        <v>9.300000000000001</v>
      </c>
      <c r="I233" s="48" t="n">
        <v>5.7</v>
      </c>
      <c r="J233" s="22" t="n">
        <v>-0.0677</v>
      </c>
      <c r="K233" s="49" t="n">
        <v>1</v>
      </c>
      <c r="L233" s="21" t="n">
        <v>1</v>
      </c>
      <c r="M233" s="46" t="inlineStr">
        <is>
          <t>Loss</t>
        </is>
      </c>
      <c r="N233" s="23">
        <f>IF(M233="Win",IF(F233="Bet",(I233-1)*K233,K233),IF(M233="Loss",IF(F233="Bet",-K233,-(I233-1)*K233),IF(M233="Void",0,"")))</f>
        <v/>
      </c>
      <c r="O233" s="24">
        <f>IF(OR(M233="Win",M233="Loss"),IF(F233="Bet",K233,(I233-1)*K233),"")</f>
        <v/>
      </c>
    </row>
    <row r="234">
      <c r="A234" s="37" t="n">
        <v>46285</v>
      </c>
      <c r="B234" s="38" t="inlineStr">
        <is>
          <t>Bairnsdale</t>
        </is>
      </c>
      <c r="C234" s="15" t="n">
        <v>6</v>
      </c>
      <c r="D234" s="15" t="n">
        <v>10</v>
      </c>
      <c r="E234" s="14" t="inlineStr">
        <is>
          <t>Dane On Tour</t>
        </is>
      </c>
      <c r="F234" s="43" t="inlineStr">
        <is>
          <t>Lay</t>
        </is>
      </c>
      <c r="G234" s="47" t="inlineStr">
        <is>
          <t>Lay</t>
        </is>
      </c>
      <c r="H234" s="41" t="n">
        <v>5.1</v>
      </c>
      <c r="I234" s="41" t="n">
        <v>3.75</v>
      </c>
      <c r="J234" s="16" t="n">
        <v>-0.0633</v>
      </c>
      <c r="K234" s="42" t="n">
        <v>1</v>
      </c>
      <c r="L234" s="15" t="n">
        <v>1</v>
      </c>
      <c r="M234" s="43" t="inlineStr">
        <is>
          <t>Loss</t>
        </is>
      </c>
      <c r="N234" s="17">
        <f>IF(M234="Win",IF(F234="Bet",(I234-1)*K234,K234),IF(M234="Loss",IF(F234="Bet",-K234,-(I234-1)*K234),IF(M234="Void",0,"")))</f>
        <v/>
      </c>
      <c r="O234" s="18">
        <f>IF(OR(M234="Win",M234="Loss"),IF(F234="Bet",K234,(I234-1)*K234),"")</f>
        <v/>
      </c>
    </row>
    <row r="235">
      <c r="A235" s="44" t="n">
        <v>46285</v>
      </c>
      <c r="B235" s="45" t="inlineStr">
        <is>
          <t>Sunshine Coast</t>
        </is>
      </c>
      <c r="C235" s="21" t="n">
        <v>7</v>
      </c>
      <c r="D235" s="21" t="n">
        <v>9</v>
      </c>
      <c r="E235" s="20" t="inlineStr">
        <is>
          <t>Smoke On The Water</t>
        </is>
      </c>
      <c r="F235" s="46" t="inlineStr">
        <is>
          <t>Lay</t>
        </is>
      </c>
      <c r="G235" s="47" t="inlineStr">
        <is>
          <t>Lay</t>
        </is>
      </c>
      <c r="H235" s="48" t="n">
        <v>7.2</v>
      </c>
      <c r="I235" s="48" t="n">
        <v>3.25</v>
      </c>
      <c r="J235" s="22" t="n">
        <v>-0.0653</v>
      </c>
      <c r="K235" s="49" t="n">
        <v>1</v>
      </c>
      <c r="L235" s="21" t="n">
        <v>1</v>
      </c>
      <c r="M235" s="46" t="inlineStr">
        <is>
          <t>Loss</t>
        </is>
      </c>
      <c r="N235" s="23">
        <f>IF(M235="Win",IF(F235="Bet",(I235-1)*K235,K235),IF(M235="Loss",IF(F235="Bet",-K235,-(I235-1)*K235),IF(M235="Void",0,"")))</f>
        <v/>
      </c>
      <c r="O235" s="24">
        <f>IF(OR(M235="Win",M235="Loss"),IF(F235="Bet",K235,(I235-1)*K235),"")</f>
        <v/>
      </c>
    </row>
    <row r="236">
      <c r="A236" s="37" t="n">
        <v>46285</v>
      </c>
      <c r="B236" s="38" t="inlineStr">
        <is>
          <t>Kalgoorlie</t>
        </is>
      </c>
      <c r="C236" s="15" t="n">
        <v>4</v>
      </c>
      <c r="D236" s="15" t="n">
        <v>3</v>
      </c>
      <c r="E236" s="14" t="inlineStr">
        <is>
          <t>Pancho's Place</t>
        </is>
      </c>
      <c r="F236" s="43" t="inlineStr">
        <is>
          <t>Lay</t>
        </is>
      </c>
      <c r="G236" s="47" t="inlineStr">
        <is>
          <t>Lay</t>
        </is>
      </c>
      <c r="H236" s="41" t="n">
        <v>10.1</v>
      </c>
      <c r="I236" s="41" t="n">
        <v>6.2</v>
      </c>
      <c r="J236" s="16" t="n">
        <v>-0.0621</v>
      </c>
      <c r="K236" s="42" t="n">
        <v>1</v>
      </c>
      <c r="L236" s="15" t="n">
        <v>8</v>
      </c>
      <c r="M236" s="51" t="inlineStr">
        <is>
          <t>Win</t>
        </is>
      </c>
      <c r="N236" s="17">
        <f>IF(M236="Win",IF(F236="Bet",(I236-1)*K236,K236),IF(M236="Loss",IF(F236="Bet",-K236,-(I236-1)*K236),IF(M236="Void",0,"")))</f>
        <v/>
      </c>
      <c r="O236" s="18">
        <f>IF(OR(M236="Win",M236="Loss"),IF(F236="Bet",K236,(I236-1)*K236),"")</f>
        <v/>
      </c>
    </row>
    <row r="237">
      <c r="A237" s="44" t="n">
        <v>46285</v>
      </c>
      <c r="B237" s="45" t="inlineStr">
        <is>
          <t>Nowra</t>
        </is>
      </c>
      <c r="C237" s="21" t="n">
        <v>7</v>
      </c>
      <c r="D237" s="21" t="n">
        <v>4</v>
      </c>
      <c r="E237" s="20" t="inlineStr">
        <is>
          <t>Superata</t>
        </is>
      </c>
      <c r="F237" s="46" t="inlineStr">
        <is>
          <t>Lay</t>
        </is>
      </c>
      <c r="G237" s="47" t="inlineStr">
        <is>
          <t>Lay</t>
        </is>
      </c>
      <c r="H237" s="48" t="n">
        <v>4.9</v>
      </c>
      <c r="I237" s="48" t="n">
        <v>2.75</v>
      </c>
      <c r="J237" s="22" t="n">
        <v>-0.0664</v>
      </c>
      <c r="K237" s="49" t="n">
        <v>1</v>
      </c>
      <c r="L237" s="21" t="n">
        <v>1</v>
      </c>
      <c r="M237" s="46" t="inlineStr">
        <is>
          <t>Loss</t>
        </is>
      </c>
      <c r="N237" s="23">
        <f>IF(M237="Win",IF(F237="Bet",(I237-1)*K237,K237),IF(M237="Loss",IF(F237="Bet",-K237,-(I237-1)*K237),IF(M237="Void",0,"")))</f>
        <v/>
      </c>
      <c r="O237" s="24">
        <f>IF(OR(M237="Win",M237="Loss"),IF(F237="Bet",K237,(I237-1)*K237),"")</f>
        <v/>
      </c>
    </row>
    <row r="238">
      <c r="A238" s="37" t="n">
        <v>46286</v>
      </c>
      <c r="B238" s="38" t="inlineStr">
        <is>
          <t>Narromine</t>
        </is>
      </c>
      <c r="C238" s="15" t="n">
        <v>7</v>
      </c>
      <c r="D238" s="15" t="n">
        <v>11</v>
      </c>
      <c r="E238" s="14" t="inlineStr">
        <is>
          <t>I'm A Beaut</t>
        </is>
      </c>
      <c r="F238" s="43" t="inlineStr">
        <is>
          <t>Lay</t>
        </is>
      </c>
      <c r="G238" s="47" t="inlineStr">
        <is>
          <t>Lay</t>
        </is>
      </c>
      <c r="H238" s="41" t="n">
        <v>4.6</v>
      </c>
      <c r="I238" s="41" t="n">
        <v>3.5</v>
      </c>
      <c r="J238" s="16" t="n">
        <v>-0.068</v>
      </c>
      <c r="K238" s="42" t="n">
        <v>1</v>
      </c>
      <c r="L238" s="15" t="n">
        <v>7</v>
      </c>
      <c r="M238" s="51" t="inlineStr">
        <is>
          <t>Win</t>
        </is>
      </c>
      <c r="N238" s="17">
        <f>IF(M238="Win",IF(F238="Bet",(I238-1)*K238,K238),IF(M238="Loss",IF(F238="Bet",-K238,-(I238-1)*K238),IF(M238="Void",0,"")))</f>
        <v/>
      </c>
      <c r="O238" s="18">
        <f>IF(OR(M238="Win",M238="Loss"),IF(F238="Bet",K238,(I238-1)*K238),"")</f>
        <v/>
      </c>
    </row>
    <row r="239">
      <c r="A239" s="44" t="n">
        <v>46286</v>
      </c>
      <c r="B239" s="45" t="inlineStr">
        <is>
          <t>Warrnambool</t>
        </is>
      </c>
      <c r="C239" s="21" t="n">
        <v>1</v>
      </c>
      <c r="D239" s="21" t="n">
        <v>10</v>
      </c>
      <c r="E239" s="20" t="inlineStr">
        <is>
          <t>King Snitz</t>
        </is>
      </c>
      <c r="F239" s="46" t="inlineStr">
        <is>
          <t>Lay</t>
        </is>
      </c>
      <c r="G239" s="47" t="inlineStr">
        <is>
          <t>Lay</t>
        </is>
      </c>
      <c r="H239" s="48" t="n">
        <v>2.2</v>
      </c>
      <c r="I239" s="48" t="n">
        <v>1.72</v>
      </c>
      <c r="J239" s="22" t="n">
        <v>-0.0747</v>
      </c>
      <c r="K239" s="49" t="n">
        <v>1</v>
      </c>
      <c r="L239" s="21" t="n">
        <v>1</v>
      </c>
      <c r="M239" s="46" t="inlineStr">
        <is>
          <t>Loss</t>
        </is>
      </c>
      <c r="N239" s="23">
        <f>IF(M239="Win",IF(F239="Bet",(I239-1)*K239,K239),IF(M239="Loss",IF(F239="Bet",-K239,-(I239-1)*K239),IF(M239="Void",0,"")))</f>
        <v/>
      </c>
      <c r="O239" s="24">
        <f>IF(OR(M239="Win",M239="Loss"),IF(F239="Bet",K239,(I239-1)*K239),"")</f>
        <v/>
      </c>
    </row>
    <row r="240">
      <c r="A240" s="37" t="n">
        <v>46286</v>
      </c>
      <c r="B240" s="38" t="inlineStr">
        <is>
          <t>Warrnambool</t>
        </is>
      </c>
      <c r="C240" s="15" t="n">
        <v>5</v>
      </c>
      <c r="D240" s="15" t="n">
        <v>6</v>
      </c>
      <c r="E240" s="14" t="inlineStr">
        <is>
          <t>Russian Into It</t>
        </is>
      </c>
      <c r="F240" s="43" t="inlineStr">
        <is>
          <t>Lay</t>
        </is>
      </c>
      <c r="G240" s="47" t="inlineStr">
        <is>
          <t>Lay</t>
        </is>
      </c>
      <c r="H240" s="41" t="n">
        <v>7.3</v>
      </c>
      <c r="I240" s="41" t="n">
        <v>4.7</v>
      </c>
      <c r="J240" s="16" t="n">
        <v>-0.0766</v>
      </c>
      <c r="K240" s="42" t="n">
        <v>1</v>
      </c>
      <c r="L240" s="15" t="n">
        <v>10</v>
      </c>
      <c r="M240" s="51" t="inlineStr">
        <is>
          <t>Win</t>
        </is>
      </c>
      <c r="N240" s="17">
        <f>IF(M240="Win",IF(F240="Bet",(I240-1)*K240,K240),IF(M240="Loss",IF(F240="Bet",-K240,-(I240-1)*K240),IF(M240="Void",0,"")))</f>
        <v/>
      </c>
      <c r="O240" s="18">
        <f>IF(OR(M240="Win",M240="Loss"),IF(F240="Bet",K240,(I240-1)*K240),"")</f>
        <v/>
      </c>
    </row>
    <row r="241">
      <c r="A241" s="44" t="n">
        <v>46286</v>
      </c>
      <c r="B241" s="45" t="inlineStr">
        <is>
          <t>Warrnambool</t>
        </is>
      </c>
      <c r="C241" s="21" t="n">
        <v>3</v>
      </c>
      <c r="D241" s="21" t="n">
        <v>1</v>
      </c>
      <c r="E241" s="20" t="inlineStr">
        <is>
          <t>Big Vee</t>
        </is>
      </c>
      <c r="F241" s="46" t="inlineStr">
        <is>
          <t>Lay</t>
        </is>
      </c>
      <c r="G241" s="47" t="inlineStr">
        <is>
          <t>Lay</t>
        </is>
      </c>
      <c r="H241" s="48" t="n">
        <v>3</v>
      </c>
      <c r="I241" s="48" t="n">
        <v>2.5</v>
      </c>
      <c r="J241" s="22" t="n">
        <v>-0.0669</v>
      </c>
      <c r="K241" s="49" t="n">
        <v>1</v>
      </c>
      <c r="L241" s="21" t="n">
        <v>3</v>
      </c>
      <c r="M241" s="50" t="inlineStr">
        <is>
          <t>Win</t>
        </is>
      </c>
      <c r="N241" s="23">
        <f>IF(M241="Win",IF(F241="Bet",(I241-1)*K241,K241),IF(M241="Loss",IF(F241="Bet",-K241,-(I241-1)*K241),IF(M241="Void",0,"")))</f>
        <v/>
      </c>
      <c r="O241" s="24">
        <f>IF(OR(M241="Win",M241="Loss"),IF(F241="Bet",K241,(I241-1)*K241),"")</f>
        <v/>
      </c>
    </row>
    <row r="242">
      <c r="A242" s="37" t="n">
        <v>46286</v>
      </c>
      <c r="B242" s="38" t="inlineStr">
        <is>
          <t>Narromine</t>
        </is>
      </c>
      <c r="C242" s="15" t="n">
        <v>3</v>
      </c>
      <c r="D242" s="15" t="n">
        <v>3</v>
      </c>
      <c r="E242" s="14" t="inlineStr">
        <is>
          <t>Sutton Storm</t>
        </is>
      </c>
      <c r="F242" s="43" t="inlineStr">
        <is>
          <t>Lay</t>
        </is>
      </c>
      <c r="G242" s="47" t="inlineStr">
        <is>
          <t>Lay</t>
        </is>
      </c>
      <c r="H242" s="41" t="n">
        <v>5</v>
      </c>
      <c r="I242" s="41" t="n">
        <v>3.8</v>
      </c>
      <c r="J242" s="16" t="n">
        <v>-0.0645</v>
      </c>
      <c r="K242" s="42" t="n">
        <v>1</v>
      </c>
      <c r="L242" s="15" t="n">
        <v>1</v>
      </c>
      <c r="M242" s="43" t="inlineStr">
        <is>
          <t>Loss</t>
        </is>
      </c>
      <c r="N242" s="17">
        <f>IF(M242="Win",IF(F242="Bet",(I242-1)*K242,K242),IF(M242="Loss",IF(F242="Bet",-K242,-(I242-1)*K242),IF(M242="Void",0,"")))</f>
        <v/>
      </c>
      <c r="O242" s="18">
        <f>IF(OR(M242="Win",M242="Loss"),IF(F242="Bet",K242,(I242-1)*K242),"")</f>
        <v/>
      </c>
    </row>
    <row r="243">
      <c r="A243" s="44" t="n">
        <v>46286</v>
      </c>
      <c r="B243" s="45" t="inlineStr">
        <is>
          <t>Grafton</t>
        </is>
      </c>
      <c r="C243" s="21" t="n">
        <v>7</v>
      </c>
      <c r="D243" s="21" t="n">
        <v>1</v>
      </c>
      <c r="E243" s="20" t="inlineStr">
        <is>
          <t>Referees</t>
        </is>
      </c>
      <c r="F243" s="46" t="inlineStr">
        <is>
          <t>Lay</t>
        </is>
      </c>
      <c r="G243" s="47" t="inlineStr">
        <is>
          <t>Lay</t>
        </is>
      </c>
      <c r="H243" s="48" t="n">
        <v>3.6</v>
      </c>
      <c r="I243" s="48" t="n">
        <v>2.5</v>
      </c>
      <c r="J243" s="22" t="n">
        <v>-0.0814</v>
      </c>
      <c r="K243" s="49" t="n">
        <v>1</v>
      </c>
      <c r="L243" s="21" t="n">
        <v>4</v>
      </c>
      <c r="M243" s="50" t="inlineStr">
        <is>
          <t>Win</t>
        </is>
      </c>
      <c r="N243" s="23">
        <f>IF(M243="Win",IF(F243="Bet",(I243-1)*K243,K243),IF(M243="Loss",IF(F243="Bet",-K243,-(I243-1)*K243),IF(M243="Void",0,"")))</f>
        <v/>
      </c>
      <c r="O243" s="24">
        <f>IF(OR(M243="Win",M243="Loss"),IF(F243="Bet",K243,(I243-1)*K243),"")</f>
        <v/>
      </c>
    </row>
    <row r="244">
      <c r="A244" s="37" t="n">
        <v>46286</v>
      </c>
      <c r="B244" s="38" t="inlineStr">
        <is>
          <t>Narromine</t>
        </is>
      </c>
      <c r="C244" s="15" t="n">
        <v>1</v>
      </c>
      <c r="D244" s="15" t="n">
        <v>12</v>
      </c>
      <c r="E244" s="14" t="inlineStr">
        <is>
          <t>Silver Dream</t>
        </is>
      </c>
      <c r="F244" s="43" t="inlineStr">
        <is>
          <t>Lay</t>
        </is>
      </c>
      <c r="G244" s="47" t="inlineStr">
        <is>
          <t>Lay</t>
        </is>
      </c>
      <c r="H244" s="41" t="n">
        <v>3.2</v>
      </c>
      <c r="I244" s="41" t="n">
        <v>2.38</v>
      </c>
      <c r="J244" s="16" t="n">
        <v>-0.08110000000000001</v>
      </c>
      <c r="K244" s="42" t="n">
        <v>1</v>
      </c>
      <c r="L244" s="15" t="n">
        <v>8</v>
      </c>
      <c r="M244" s="51" t="inlineStr">
        <is>
          <t>Win</t>
        </is>
      </c>
      <c r="N244" s="17">
        <f>IF(M244="Win",IF(F244="Bet",(I244-1)*K244,K244),IF(M244="Loss",IF(F244="Bet",-K244,-(I244-1)*K244),IF(M244="Void",0,"")))</f>
        <v/>
      </c>
      <c r="O244" s="18">
        <f>IF(OR(M244="Win",M244="Loss"),IF(F244="Bet",K244,(I244-1)*K244),"")</f>
        <v/>
      </c>
    </row>
    <row r="245">
      <c r="A245" s="44" t="n">
        <v>46286</v>
      </c>
      <c r="B245" s="45" t="inlineStr">
        <is>
          <t>Warrnambool</t>
        </is>
      </c>
      <c r="C245" s="21" t="n">
        <v>4</v>
      </c>
      <c r="D245" s="21" t="n">
        <v>8</v>
      </c>
      <c r="E245" s="20" t="inlineStr">
        <is>
          <t>Flying Fury</t>
        </is>
      </c>
      <c r="F245" s="46" t="inlineStr">
        <is>
          <t>Lay</t>
        </is>
      </c>
      <c r="G245" s="47" t="inlineStr">
        <is>
          <t>Lay</t>
        </is>
      </c>
      <c r="H245" s="48" t="n">
        <v>5</v>
      </c>
      <c r="I245" s="48" t="n">
        <v>3.8</v>
      </c>
      <c r="J245" s="22" t="n">
        <v>-0.06370000000000001</v>
      </c>
      <c r="K245" s="49" t="n">
        <v>1</v>
      </c>
      <c r="L245" s="21" t="n">
        <v>3</v>
      </c>
      <c r="M245" s="50" t="inlineStr">
        <is>
          <t>Win</t>
        </is>
      </c>
      <c r="N245" s="23">
        <f>IF(M245="Win",IF(F245="Bet",(I245-1)*K245,K245),IF(M245="Loss",IF(F245="Bet",-K245,-(I245-1)*K245),IF(M245="Void",0,"")))</f>
        <v/>
      </c>
      <c r="O245" s="24">
        <f>IF(OR(M245="Win",M245="Loss"),IF(F245="Bet",K245,(I245-1)*K245),"")</f>
        <v/>
      </c>
    </row>
    <row r="246">
      <c r="A246" s="37" t="n">
        <v>46286</v>
      </c>
      <c r="B246" s="38" t="inlineStr">
        <is>
          <t>Grafton</t>
        </is>
      </c>
      <c r="C246" s="15" t="n">
        <v>4</v>
      </c>
      <c r="D246" s="15" t="n">
        <v>4</v>
      </c>
      <c r="E246" s="14" t="inlineStr">
        <is>
          <t>Battle Of Vienna</t>
        </is>
      </c>
      <c r="F246" s="43" t="inlineStr">
        <is>
          <t>Lay</t>
        </is>
      </c>
      <c r="G246" s="47" t="inlineStr">
        <is>
          <t>Lay</t>
        </is>
      </c>
      <c r="H246" s="41" t="n">
        <v>6.3</v>
      </c>
      <c r="I246" s="41" t="n">
        <v>3.98</v>
      </c>
      <c r="J246" s="16" t="n">
        <v>-0.0794</v>
      </c>
      <c r="K246" s="42" t="n">
        <v>1</v>
      </c>
      <c r="L246" s="15" t="n">
        <v>2</v>
      </c>
      <c r="M246" s="51" t="inlineStr">
        <is>
          <t>Win</t>
        </is>
      </c>
      <c r="N246" s="17">
        <f>IF(M246="Win",IF(F246="Bet",(I246-1)*K246,K246),IF(M246="Loss",IF(F246="Bet",-K246,-(I246-1)*K246),IF(M246="Void",0,"")))</f>
        <v/>
      </c>
      <c r="O246" s="18">
        <f>IF(OR(M246="Win",M246="Loss"),IF(F246="Bet",K246,(I246-1)*K246),"")</f>
        <v/>
      </c>
    </row>
    <row r="247">
      <c r="A247" s="44" t="n">
        <v>46286</v>
      </c>
      <c r="B247" s="45" t="inlineStr">
        <is>
          <t>Grafton</t>
        </is>
      </c>
      <c r="C247" s="21" t="n">
        <v>6</v>
      </c>
      <c r="D247" s="21" t="n">
        <v>9</v>
      </c>
      <c r="E247" s="20" t="inlineStr">
        <is>
          <t>Ever So Ready</t>
        </is>
      </c>
      <c r="F247" s="46" t="inlineStr">
        <is>
          <t>Lay</t>
        </is>
      </c>
      <c r="G247" s="47" t="inlineStr">
        <is>
          <t>Lay</t>
        </is>
      </c>
      <c r="H247" s="48" t="n">
        <v>4</v>
      </c>
      <c r="I247" s="48" t="n">
        <v>2.78</v>
      </c>
      <c r="J247" s="22" t="n">
        <v>-0.0617</v>
      </c>
      <c r="K247" s="49" t="n">
        <v>1</v>
      </c>
      <c r="L247" s="21" t="n">
        <v>1</v>
      </c>
      <c r="M247" s="46" t="inlineStr">
        <is>
          <t>Loss</t>
        </is>
      </c>
      <c r="N247" s="23">
        <f>IF(M247="Win",IF(F247="Bet",(I247-1)*K247,K247),IF(M247="Loss",IF(F247="Bet",-K247,-(I247-1)*K247),IF(M247="Void",0,"")))</f>
        <v/>
      </c>
      <c r="O247" s="24">
        <f>IF(OR(M247="Win",M247="Loss"),IF(F247="Bet",K247,(I247-1)*K247),"")</f>
        <v/>
      </c>
    </row>
    <row r="248">
      <c r="A248" s="37" t="n">
        <v>46287</v>
      </c>
      <c r="B248" s="38" t="inlineStr">
        <is>
          <t>Taree</t>
        </is>
      </c>
      <c r="C248" s="15" t="n">
        <v>6</v>
      </c>
      <c r="D248" s="15" t="n">
        <v>8</v>
      </c>
      <c r="E248" s="14" t="inlineStr">
        <is>
          <t>Gemtiki</t>
        </is>
      </c>
      <c r="F248" s="43" t="inlineStr">
        <is>
          <t>Lay</t>
        </is>
      </c>
      <c r="G248" s="47" t="inlineStr">
        <is>
          <t>Lay</t>
        </is>
      </c>
      <c r="H248" s="41" t="n">
        <v>4</v>
      </c>
      <c r="I248" s="41" t="n">
        <v>2.9</v>
      </c>
      <c r="J248" s="16" t="n">
        <v>-0.0752</v>
      </c>
      <c r="K248" s="42" t="n">
        <v>1</v>
      </c>
      <c r="L248" s="15" t="n">
        <v>4</v>
      </c>
      <c r="M248" s="51" t="inlineStr">
        <is>
          <t>Win</t>
        </is>
      </c>
      <c r="N248" s="17">
        <f>IF(M248="Win",IF(F248="Bet",(I248-1)*K248,K248),IF(M248="Loss",IF(F248="Bet",-K248,-(I248-1)*K248),IF(M248="Void",0,"")))</f>
        <v/>
      </c>
      <c r="O248" s="18">
        <f>IF(OR(M248="Win",M248="Loss"),IF(F248="Bet",K248,(I248-1)*K248),"")</f>
        <v/>
      </c>
    </row>
    <row r="249">
      <c r="A249" s="44" t="n">
        <v>46287</v>
      </c>
      <c r="B249" s="45" t="inlineStr">
        <is>
          <t>Taree</t>
        </is>
      </c>
      <c r="C249" s="21" t="n">
        <v>1</v>
      </c>
      <c r="D249" s="21" t="n">
        <v>6</v>
      </c>
      <c r="E249" s="20" t="inlineStr">
        <is>
          <t>Tasman Deel</t>
        </is>
      </c>
      <c r="F249" s="46" t="inlineStr">
        <is>
          <t>Lay</t>
        </is>
      </c>
      <c r="G249" s="47" t="inlineStr">
        <is>
          <t>Lay</t>
        </is>
      </c>
      <c r="H249" s="48" t="n">
        <v>2.2</v>
      </c>
      <c r="I249" s="48" t="n">
        <v>1.7</v>
      </c>
      <c r="J249" s="22" t="n">
        <v>-0.0678</v>
      </c>
      <c r="K249" s="49" t="n">
        <v>1</v>
      </c>
      <c r="L249" s="21" t="n">
        <v>2</v>
      </c>
      <c r="M249" s="50" t="inlineStr">
        <is>
          <t>Win</t>
        </is>
      </c>
      <c r="N249" s="23">
        <f>IF(M249="Win",IF(F249="Bet",(I249-1)*K249,K249),IF(M249="Loss",IF(F249="Bet",-K249,-(I249-1)*K249),IF(M249="Void",0,"")))</f>
        <v/>
      </c>
      <c r="O249" s="24">
        <f>IF(OR(M249="Win",M249="Loss"),IF(F249="Bet",K249,(I249-1)*K249),"")</f>
        <v/>
      </c>
    </row>
    <row r="250">
      <c r="A250" s="37" t="n">
        <v>46287</v>
      </c>
      <c r="B250" s="38" t="inlineStr">
        <is>
          <t>Leeton</t>
        </is>
      </c>
      <c r="C250" s="15" t="n">
        <v>7</v>
      </c>
      <c r="D250" s="15" t="n">
        <v>1</v>
      </c>
      <c r="E250" s="14" t="inlineStr">
        <is>
          <t>Postwar</t>
        </is>
      </c>
      <c r="F250" s="43" t="inlineStr">
        <is>
          <t>Lay</t>
        </is>
      </c>
      <c r="G250" s="47" t="inlineStr">
        <is>
          <t>Lay</t>
        </is>
      </c>
      <c r="H250" s="41" t="n">
        <v>3.4</v>
      </c>
      <c r="I250" s="41" t="n">
        <v>2.56</v>
      </c>
      <c r="J250" s="16" t="n">
        <v>-0.07630000000000001</v>
      </c>
      <c r="K250" s="42" t="n">
        <v>1</v>
      </c>
      <c r="L250" s="15" t="n">
        <v>5</v>
      </c>
      <c r="M250" s="51" t="inlineStr">
        <is>
          <t>Win</t>
        </is>
      </c>
      <c r="N250" s="17">
        <f>IF(M250="Win",IF(F250="Bet",(I250-1)*K250,K250),IF(M250="Loss",IF(F250="Bet",-K250,-(I250-1)*K250),IF(M250="Void",0,"")))</f>
        <v/>
      </c>
      <c r="O250" s="18">
        <f>IF(OR(M250="Win",M250="Loss"),IF(F250="Bet",K250,(I250-1)*K250),"")</f>
        <v/>
      </c>
    </row>
    <row r="251">
      <c r="A251" s="44" t="n">
        <v>46287</v>
      </c>
      <c r="B251" s="45" t="inlineStr">
        <is>
          <t>Taree</t>
        </is>
      </c>
      <c r="C251" s="21" t="n">
        <v>7</v>
      </c>
      <c r="D251" s="21" t="n">
        <v>4</v>
      </c>
      <c r="E251" s="20" t="inlineStr">
        <is>
          <t>Ellofadude</t>
        </is>
      </c>
      <c r="F251" s="46" t="inlineStr">
        <is>
          <t>Lay</t>
        </is>
      </c>
      <c r="G251" s="47" t="inlineStr">
        <is>
          <t>Lay</t>
        </is>
      </c>
      <c r="H251" s="48" t="n">
        <v>3.2</v>
      </c>
      <c r="I251" s="48" t="n">
        <v>1.92</v>
      </c>
      <c r="J251" s="22" t="n">
        <v>-0.0866</v>
      </c>
      <c r="K251" s="49" t="n">
        <v>1</v>
      </c>
      <c r="L251" s="21" t="n">
        <v>1</v>
      </c>
      <c r="M251" s="46" t="inlineStr">
        <is>
          <t>Loss</t>
        </is>
      </c>
      <c r="N251" s="23">
        <f>IF(M251="Win",IF(F251="Bet",(I251-1)*K251,K251),IF(M251="Loss",IF(F251="Bet",-K251,-(I251-1)*K251),IF(M251="Void",0,"")))</f>
        <v/>
      </c>
      <c r="O251" s="24">
        <f>IF(OR(M251="Win",M251="Loss"),IF(F251="Bet",K251,(I251-1)*K251),"")</f>
        <v/>
      </c>
    </row>
    <row r="252">
      <c r="A252" s="37" t="n">
        <v>46287</v>
      </c>
      <c r="B252" s="38" t="inlineStr">
        <is>
          <t>Leeton</t>
        </is>
      </c>
      <c r="C252" s="15" t="n">
        <v>4</v>
      </c>
      <c r="D252" s="15" t="n">
        <v>4</v>
      </c>
      <c r="E252" s="14" t="inlineStr">
        <is>
          <t>Mayfair Hotel</t>
        </is>
      </c>
      <c r="F252" s="43" t="inlineStr">
        <is>
          <t>Lay</t>
        </is>
      </c>
      <c r="G252" s="47" t="inlineStr">
        <is>
          <t>Lay</t>
        </is>
      </c>
      <c r="H252" s="41" t="n">
        <v>7.9</v>
      </c>
      <c r="I252" s="41" t="n">
        <v>2.86</v>
      </c>
      <c r="J252" s="16" t="n">
        <v>-0.0625</v>
      </c>
      <c r="K252" s="42" t="n">
        <v>1</v>
      </c>
      <c r="L252" s="15" t="n">
        <v>4</v>
      </c>
      <c r="M252" s="51" t="inlineStr">
        <is>
          <t>Win</t>
        </is>
      </c>
      <c r="N252" s="17">
        <f>IF(M252="Win",IF(F252="Bet",(I252-1)*K252,K252),IF(M252="Loss",IF(F252="Bet",-K252,-(I252-1)*K252),IF(M252="Void",0,"")))</f>
        <v/>
      </c>
      <c r="O252" s="18">
        <f>IF(OR(M252="Win",M252="Loss"),IF(F252="Bet",K252,(I252-1)*K252),"")</f>
        <v/>
      </c>
    </row>
    <row r="253">
      <c r="A253" s="44" t="n">
        <v>46287</v>
      </c>
      <c r="B253" s="45" t="inlineStr">
        <is>
          <t>Emerald</t>
        </is>
      </c>
      <c r="C253" s="21" t="n">
        <v>1</v>
      </c>
      <c r="D253" s="21" t="n">
        <v>12</v>
      </c>
      <c r="E253" s="20" t="inlineStr">
        <is>
          <t>Saint Anns</t>
        </is>
      </c>
      <c r="F253" s="46" t="inlineStr">
        <is>
          <t>Lay</t>
        </is>
      </c>
      <c r="G253" s="47" t="inlineStr">
        <is>
          <t>Lay</t>
        </is>
      </c>
      <c r="H253" s="48" t="n">
        <v>5.5</v>
      </c>
      <c r="I253" s="48" t="n">
        <v>2.36</v>
      </c>
      <c r="J253" s="22" t="n">
        <v>-0.0829</v>
      </c>
      <c r="K253" s="49" t="n">
        <v>1</v>
      </c>
      <c r="L253" s="21" t="n">
        <v>1</v>
      </c>
      <c r="M253" s="46" t="inlineStr">
        <is>
          <t>Loss</t>
        </is>
      </c>
      <c r="N253" s="23">
        <f>IF(M253="Win",IF(F253="Bet",(I253-1)*K253,K253),IF(M253="Loss",IF(F253="Bet",-K253,-(I253-1)*K253),IF(M253="Void",0,"")))</f>
        <v/>
      </c>
      <c r="O253" s="24">
        <f>IF(OR(M253="Win",M253="Loss"),IF(F253="Bet",K253,(I253-1)*K253),"")</f>
        <v/>
      </c>
    </row>
    <row r="254">
      <c r="A254" s="37" t="n">
        <v>46287</v>
      </c>
      <c r="B254" s="38" t="inlineStr">
        <is>
          <t>Leeton</t>
        </is>
      </c>
      <c r="C254" s="15" t="n">
        <v>2</v>
      </c>
      <c r="D254" s="15" t="n">
        <v>3</v>
      </c>
      <c r="E254" s="14" t="inlineStr">
        <is>
          <t>Tully's Bell</t>
        </is>
      </c>
      <c r="F254" s="43" t="inlineStr">
        <is>
          <t>Lay</t>
        </is>
      </c>
      <c r="G254" s="47" t="inlineStr">
        <is>
          <t>Lay</t>
        </is>
      </c>
      <c r="H254" s="41" t="n">
        <v>7.2</v>
      </c>
      <c r="I254" s="41" t="n">
        <v>4.9</v>
      </c>
      <c r="J254" s="16" t="n">
        <v>-0.0644</v>
      </c>
      <c r="K254" s="42" t="n">
        <v>1</v>
      </c>
      <c r="L254" s="15" t="n">
        <v>7</v>
      </c>
      <c r="M254" s="51" t="inlineStr">
        <is>
          <t>Win</t>
        </is>
      </c>
      <c r="N254" s="17">
        <f>IF(M254="Win",IF(F254="Bet",(I254-1)*K254,K254),IF(M254="Loss",IF(F254="Bet",-K254,-(I254-1)*K254),IF(M254="Void",0,"")))</f>
        <v/>
      </c>
      <c r="O254" s="18">
        <f>IF(OR(M254="Win",M254="Loss"),IF(F254="Bet",K254,(I254-1)*K254),"")</f>
        <v/>
      </c>
    </row>
    <row r="255">
      <c r="A255" s="44" t="n">
        <v>46287</v>
      </c>
      <c r="B255" s="45" t="inlineStr">
        <is>
          <t>Swan Hill</t>
        </is>
      </c>
      <c r="C255" s="21" t="n">
        <v>5</v>
      </c>
      <c r="D255" s="21" t="n">
        <v>12</v>
      </c>
      <c r="E255" s="20" t="inlineStr">
        <is>
          <t>Explosive Magic</t>
        </is>
      </c>
      <c r="F255" s="46" t="inlineStr">
        <is>
          <t>Lay</t>
        </is>
      </c>
      <c r="G255" s="47" t="inlineStr">
        <is>
          <t>Lay</t>
        </is>
      </c>
      <c r="H255" s="48" t="n">
        <v>4.9</v>
      </c>
      <c r="I255" s="48" t="n">
        <v>3.15</v>
      </c>
      <c r="J255" s="22" t="n">
        <v>-0.0814</v>
      </c>
      <c r="K255" s="49" t="n">
        <v>1</v>
      </c>
      <c r="L255" s="21" t="n">
        <v>2</v>
      </c>
      <c r="M255" s="50" t="inlineStr">
        <is>
          <t>Win</t>
        </is>
      </c>
      <c r="N255" s="23">
        <f>IF(M255="Win",IF(F255="Bet",(I255-1)*K255,K255),IF(M255="Loss",IF(F255="Bet",-K255,-(I255-1)*K255),IF(M255="Void",0,"")))</f>
        <v/>
      </c>
      <c r="O255" s="24">
        <f>IF(OR(M255="Win",M255="Loss"),IF(F255="Bet",K255,(I255-1)*K255),"")</f>
        <v/>
      </c>
    </row>
    <row r="256">
      <c r="A256" s="37" t="n">
        <v>46287</v>
      </c>
      <c r="B256" s="38" t="inlineStr">
        <is>
          <t>Emerald</t>
        </is>
      </c>
      <c r="C256" s="15" t="n">
        <v>6</v>
      </c>
      <c r="D256" s="15" t="n">
        <v>3</v>
      </c>
      <c r="E256" s="14" t="inlineStr">
        <is>
          <t>Sunnycoast</t>
        </is>
      </c>
      <c r="F256" s="43" t="inlineStr">
        <is>
          <t>Lay</t>
        </is>
      </c>
      <c r="G256" s="47" t="inlineStr">
        <is>
          <t>Lay</t>
        </is>
      </c>
      <c r="H256" s="41" t="n">
        <v>5.8</v>
      </c>
      <c r="I256" s="41" t="n">
        <v>3.05</v>
      </c>
      <c r="J256" s="16" t="n">
        <v>-0.0653</v>
      </c>
      <c r="K256" s="42" t="n">
        <v>1</v>
      </c>
      <c r="L256" s="15" t="n">
        <v>2</v>
      </c>
      <c r="M256" s="51" t="inlineStr">
        <is>
          <t>Win</t>
        </is>
      </c>
      <c r="N256" s="17">
        <f>IF(M256="Win",IF(F256="Bet",(I256-1)*K256,K256),IF(M256="Loss",IF(F256="Bet",-K256,-(I256-1)*K256),IF(M256="Void",0,"")))</f>
        <v/>
      </c>
      <c r="O256" s="18">
        <f>IF(OR(M256="Win",M256="Loss"),IF(F256="Bet",K256,(I256-1)*K256),"")</f>
        <v/>
      </c>
    </row>
    <row r="257">
      <c r="A257" s="44" t="n">
        <v>46287</v>
      </c>
      <c r="B257" s="45" t="inlineStr">
        <is>
          <t>Taree</t>
        </is>
      </c>
      <c r="C257" s="21" t="n">
        <v>5</v>
      </c>
      <c r="D257" s="21" t="n">
        <v>8</v>
      </c>
      <c r="E257" s="20" t="inlineStr">
        <is>
          <t>Alabama Charm</t>
        </is>
      </c>
      <c r="F257" s="46" t="inlineStr">
        <is>
          <t>Lay</t>
        </is>
      </c>
      <c r="G257" s="47" t="inlineStr">
        <is>
          <t>Lay</t>
        </is>
      </c>
      <c r="H257" s="48" t="n">
        <v>3</v>
      </c>
      <c r="I257" s="48" t="n">
        <v>2.44</v>
      </c>
      <c r="J257" s="22" t="n">
        <v>-0.0765</v>
      </c>
      <c r="K257" s="49" t="n">
        <v>1</v>
      </c>
      <c r="L257" s="21" t="n">
        <v>3</v>
      </c>
      <c r="M257" s="50" t="inlineStr">
        <is>
          <t>Win</t>
        </is>
      </c>
      <c r="N257" s="23">
        <f>IF(M257="Win",IF(F257="Bet",(I257-1)*K257,K257),IF(M257="Loss",IF(F257="Bet",-K257,-(I257-1)*K257),IF(M257="Void",0,"")))</f>
        <v/>
      </c>
      <c r="O257" s="24">
        <f>IF(OR(M257="Win",M257="Loss"),IF(F257="Bet",K257,(I257-1)*K257),"")</f>
        <v/>
      </c>
    </row>
    <row r="258">
      <c r="A258" s="37" t="n">
        <v>46287</v>
      </c>
      <c r="B258" s="38" t="inlineStr">
        <is>
          <t>Swan Hill</t>
        </is>
      </c>
      <c r="C258" s="15" t="n">
        <v>7</v>
      </c>
      <c r="D258" s="15" t="n">
        <v>12</v>
      </c>
      <c r="E258" s="14" t="inlineStr">
        <is>
          <t>Habitual</t>
        </is>
      </c>
      <c r="F258" s="43" t="inlineStr">
        <is>
          <t>Lay</t>
        </is>
      </c>
      <c r="G258" s="47" t="inlineStr">
        <is>
          <t>Lay</t>
        </is>
      </c>
      <c r="H258" s="41" t="n">
        <v>3.2</v>
      </c>
      <c r="I258" s="41" t="n">
        <v>2.32</v>
      </c>
      <c r="J258" s="16" t="n">
        <v>-0.06</v>
      </c>
      <c r="K258" s="42" t="n">
        <v>1</v>
      </c>
      <c r="L258" s="15" t="n">
        <v>4</v>
      </c>
      <c r="M258" s="51" t="inlineStr">
        <is>
          <t>Win</t>
        </is>
      </c>
      <c r="N258" s="17">
        <f>IF(M258="Win",IF(F258="Bet",(I258-1)*K258,K258),IF(M258="Loss",IF(F258="Bet",-K258,-(I258-1)*K258),IF(M258="Void",0,"")))</f>
        <v/>
      </c>
      <c r="O258" s="18">
        <f>IF(OR(M258="Win",M258="Loss"),IF(F258="Bet",K258,(I258-1)*K258),"")</f>
        <v/>
      </c>
    </row>
    <row r="259">
      <c r="A259" s="44" t="n">
        <v>46287</v>
      </c>
      <c r="B259" s="45" t="inlineStr">
        <is>
          <t>Emerald</t>
        </is>
      </c>
      <c r="C259" s="21" t="n">
        <v>3</v>
      </c>
      <c r="D259" s="21" t="n">
        <v>9</v>
      </c>
      <c r="E259" s="20" t="inlineStr">
        <is>
          <t>Too Many Kisses</t>
        </is>
      </c>
      <c r="F259" s="46" t="inlineStr">
        <is>
          <t>Lay</t>
        </is>
      </c>
      <c r="G259" s="47" t="inlineStr">
        <is>
          <t>Lay</t>
        </is>
      </c>
      <c r="H259" s="48" t="n">
        <v>3.7</v>
      </c>
      <c r="I259" s="48" t="n">
        <v>2.54</v>
      </c>
      <c r="J259" s="22" t="n">
        <v>-0.0613</v>
      </c>
      <c r="K259" s="49" t="n">
        <v>1</v>
      </c>
      <c r="L259" s="21" t="n">
        <v>1</v>
      </c>
      <c r="M259" s="46" t="inlineStr">
        <is>
          <t>Loss</t>
        </is>
      </c>
      <c r="N259" s="23">
        <f>IF(M259="Win",IF(F259="Bet",(I259-1)*K259,K259),IF(M259="Loss",IF(F259="Bet",-K259,-(I259-1)*K259),IF(M259="Void",0,"")))</f>
        <v/>
      </c>
      <c r="O259" s="24">
        <f>IF(OR(M259="Win",M259="Loss"),IF(F259="Bet",K259,(I259-1)*K259),"")</f>
        <v/>
      </c>
    </row>
    <row r="260">
      <c r="A260" s="37" t="n">
        <v>46287</v>
      </c>
      <c r="B260" s="38" t="inlineStr">
        <is>
          <t>Emerald</t>
        </is>
      </c>
      <c r="C260" s="15" t="n">
        <v>2</v>
      </c>
      <c r="D260" s="15" t="n">
        <v>1</v>
      </c>
      <c r="E260" s="14" t="inlineStr">
        <is>
          <t>Pride Of Savabella</t>
        </is>
      </c>
      <c r="F260" s="43" t="inlineStr">
        <is>
          <t>Lay</t>
        </is>
      </c>
      <c r="G260" s="47" t="inlineStr">
        <is>
          <t>Lay</t>
        </is>
      </c>
      <c r="H260" s="41" t="n">
        <v>2.25</v>
      </c>
      <c r="I260" s="41" t="n">
        <v>1.95</v>
      </c>
      <c r="J260" s="16" t="n">
        <v>-0.0698</v>
      </c>
      <c r="K260" s="42" t="n">
        <v>1</v>
      </c>
      <c r="L260" s="15" t="n">
        <v>5</v>
      </c>
      <c r="M260" s="51" t="inlineStr">
        <is>
          <t>Win</t>
        </is>
      </c>
      <c r="N260" s="17">
        <f>IF(M260="Win",IF(F260="Bet",(I260-1)*K260,K260),IF(M260="Loss",IF(F260="Bet",-K260,-(I260-1)*K260),IF(M260="Void",0,"")))</f>
        <v/>
      </c>
      <c r="O260" s="18">
        <f>IF(OR(M260="Win",M260="Loss"),IF(F260="Bet",K260,(I260-1)*K260),"")</f>
        <v/>
      </c>
    </row>
    <row r="261">
      <c r="A261" s="44" t="n">
        <v>46287</v>
      </c>
      <c r="B261" s="45" t="inlineStr">
        <is>
          <t>Swan Hill</t>
        </is>
      </c>
      <c r="C261" s="21" t="n">
        <v>3</v>
      </c>
      <c r="D261" s="21" t="n">
        <v>5</v>
      </c>
      <c r="E261" s="20" t="inlineStr">
        <is>
          <t>So Star</t>
        </is>
      </c>
      <c r="F261" s="46" t="inlineStr">
        <is>
          <t>Lay</t>
        </is>
      </c>
      <c r="G261" s="47" t="inlineStr">
        <is>
          <t>Lay</t>
        </is>
      </c>
      <c r="H261" s="48" t="n">
        <v>1.45</v>
      </c>
      <c r="I261" s="48" t="n">
        <v>1.32</v>
      </c>
      <c r="J261" s="22" t="n">
        <v>-0.0622</v>
      </c>
      <c r="K261" s="49" t="n">
        <v>1</v>
      </c>
      <c r="L261" s="21" t="n">
        <v>1</v>
      </c>
      <c r="M261" s="46" t="inlineStr">
        <is>
          <t>Loss</t>
        </is>
      </c>
      <c r="N261" s="23">
        <f>IF(M261="Win",IF(F261="Bet",(I261-1)*K261,K261),IF(M261="Loss",IF(F261="Bet",-K261,-(I261-1)*K261),IF(M261="Void",0,"")))</f>
        <v/>
      </c>
      <c r="O261" s="24">
        <f>IF(OR(M261="Win",M261="Loss"),IF(F261="Bet",K261,(I261-1)*K261),"")</f>
        <v/>
      </c>
    </row>
    <row r="262">
      <c r="A262" s="37" t="n">
        <v>46287</v>
      </c>
      <c r="B262" s="38" t="inlineStr">
        <is>
          <t>Taree</t>
        </is>
      </c>
      <c r="C262" s="15" t="n">
        <v>4</v>
      </c>
      <c r="D262" s="15" t="n">
        <v>7</v>
      </c>
      <c r="E262" s="14" t="inlineStr">
        <is>
          <t>Columbo</t>
        </is>
      </c>
      <c r="F262" s="43" t="inlineStr">
        <is>
          <t>Lay</t>
        </is>
      </c>
      <c r="G262" s="47" t="inlineStr">
        <is>
          <t>Lay</t>
        </is>
      </c>
      <c r="H262" s="41" t="n">
        <v>3.8</v>
      </c>
      <c r="I262" s="41" t="n">
        <v>2.7</v>
      </c>
      <c r="J262" s="16" t="n">
        <v>-0.0621</v>
      </c>
      <c r="K262" s="42" t="n">
        <v>1</v>
      </c>
      <c r="L262" s="15" t="n">
        <v>1</v>
      </c>
      <c r="M262" s="43" t="inlineStr">
        <is>
          <t>Loss</t>
        </is>
      </c>
      <c r="N262" s="17">
        <f>IF(M262="Win",IF(F262="Bet",(I262-1)*K262,K262),IF(M262="Loss",IF(F262="Bet",-K262,-(I262-1)*K262),IF(M262="Void",0,"")))</f>
        <v/>
      </c>
      <c r="O262" s="18">
        <f>IF(OR(M262="Win",M262="Loss"),IF(F262="Bet",K262,(I262-1)*K262),"")</f>
        <v/>
      </c>
    </row>
    <row r="263">
      <c r="A263" s="44" t="n">
        <v>46287</v>
      </c>
      <c r="B263" s="45" t="inlineStr">
        <is>
          <t>Swan Hill</t>
        </is>
      </c>
      <c r="C263" s="21" t="n">
        <v>6</v>
      </c>
      <c r="D263" s="21" t="n">
        <v>4</v>
      </c>
      <c r="E263" s="20" t="inlineStr">
        <is>
          <t>Fonn Power</t>
        </is>
      </c>
      <c r="F263" s="46" t="inlineStr">
        <is>
          <t>Lay</t>
        </is>
      </c>
      <c r="G263" s="47" t="inlineStr">
        <is>
          <t>Lay</t>
        </is>
      </c>
      <c r="H263" s="48" t="n">
        <v>4.8</v>
      </c>
      <c r="I263" s="48" t="n">
        <v>3.05</v>
      </c>
      <c r="J263" s="22" t="n">
        <v>-0.0601</v>
      </c>
      <c r="K263" s="49" t="n">
        <v>1</v>
      </c>
      <c r="L263" s="21" t="n">
        <v>8</v>
      </c>
      <c r="M263" s="50" t="inlineStr">
        <is>
          <t>Win</t>
        </is>
      </c>
      <c r="N263" s="23">
        <f>IF(M263="Win",IF(F263="Bet",(I263-1)*K263,K263),IF(M263="Loss",IF(F263="Bet",-K263,-(I263-1)*K263),IF(M263="Void",0,"")))</f>
        <v/>
      </c>
      <c r="O263" s="24">
        <f>IF(OR(M263="Win",M263="Loss"),IF(F263="Bet",K263,(I263-1)*K263),"")</f>
        <v/>
      </c>
    </row>
    <row r="264">
      <c r="A264" s="37" t="n">
        <v>46287</v>
      </c>
      <c r="B264" s="38" t="inlineStr">
        <is>
          <t>Emerald</t>
        </is>
      </c>
      <c r="C264" s="15" t="n">
        <v>5</v>
      </c>
      <c r="D264" s="15" t="n">
        <v>4</v>
      </c>
      <c r="E264" s="14" t="inlineStr">
        <is>
          <t>Crudo</t>
        </is>
      </c>
      <c r="F264" s="43" t="inlineStr">
        <is>
          <t>Lay</t>
        </is>
      </c>
      <c r="G264" s="47" t="inlineStr">
        <is>
          <t>Lay</t>
        </is>
      </c>
      <c r="H264" s="41" t="n">
        <v>10.1</v>
      </c>
      <c r="I264" s="41" t="n">
        <v>5.7</v>
      </c>
      <c r="J264" s="16" t="n">
        <v>-0.0622</v>
      </c>
      <c r="K264" s="42" t="n">
        <v>1</v>
      </c>
      <c r="L264" s="15" t="n">
        <v>5</v>
      </c>
      <c r="M264" s="51" t="inlineStr">
        <is>
          <t>Win</t>
        </is>
      </c>
      <c r="N264" s="17">
        <f>IF(M264="Win",IF(F264="Bet",(I264-1)*K264,K264),IF(M264="Loss",IF(F264="Bet",-K264,-(I264-1)*K264),IF(M264="Void",0,"")))</f>
        <v/>
      </c>
      <c r="O264" s="18">
        <f>IF(OR(M264="Win",M264="Loss"),IF(F264="Bet",K264,(I264-1)*K264),"")</f>
        <v/>
      </c>
    </row>
    <row r="265">
      <c r="A265" s="44" t="n">
        <v>46288</v>
      </c>
      <c r="B265" s="45" t="inlineStr">
        <is>
          <t>Northam</t>
        </is>
      </c>
      <c r="C265" s="21" t="n">
        <v>3</v>
      </c>
      <c r="D265" s="21" t="n">
        <v>3</v>
      </c>
      <c r="E265" s="20" t="inlineStr">
        <is>
          <t>Rory's Revenge</t>
        </is>
      </c>
      <c r="F265" s="46" t="inlineStr">
        <is>
          <t>Lay</t>
        </is>
      </c>
      <c r="G265" s="47" t="inlineStr">
        <is>
          <t>Lay</t>
        </is>
      </c>
      <c r="H265" s="48" t="n">
        <v>3.2</v>
      </c>
      <c r="I265" s="48" t="n">
        <v>2.65</v>
      </c>
      <c r="J265" s="22" t="n">
        <v>-0.0696</v>
      </c>
      <c r="K265" s="49" t="n">
        <v>1</v>
      </c>
      <c r="L265" s="21" t="n">
        <v>1</v>
      </c>
      <c r="M265" s="46" t="inlineStr">
        <is>
          <t>Loss</t>
        </is>
      </c>
      <c r="N265" s="23">
        <f>IF(M265="Win",IF(F265="Bet",(I265-1)*K265,K265),IF(M265="Loss",IF(F265="Bet",-K265,-(I265-1)*K265),IF(M265="Void",0,"")))</f>
        <v/>
      </c>
      <c r="O265" s="24">
        <f>IF(OR(M265="Win",M265="Loss"),IF(F265="Bet",K265,(I265-1)*K265),"")</f>
        <v/>
      </c>
    </row>
    <row r="266">
      <c r="A266" s="37" t="n">
        <v>46288</v>
      </c>
      <c r="B266" s="38" t="inlineStr">
        <is>
          <t>Northam</t>
        </is>
      </c>
      <c r="C266" s="15" t="n">
        <v>6</v>
      </c>
      <c r="D266" s="15" t="n">
        <v>4</v>
      </c>
      <c r="E266" s="14" t="inlineStr">
        <is>
          <t>Olden</t>
        </is>
      </c>
      <c r="F266" s="43" t="inlineStr">
        <is>
          <t>Lay</t>
        </is>
      </c>
      <c r="G266" s="47" t="inlineStr">
        <is>
          <t>Lay</t>
        </is>
      </c>
      <c r="H266" s="41" t="n">
        <v>5.4</v>
      </c>
      <c r="I266" s="41" t="n">
        <v>3.86</v>
      </c>
      <c r="J266" s="16" t="n">
        <v>-0.0649</v>
      </c>
      <c r="K266" s="42" t="n">
        <v>1</v>
      </c>
      <c r="L266" s="15" t="n">
        <v>1</v>
      </c>
      <c r="M266" s="43" t="inlineStr">
        <is>
          <t>Loss</t>
        </is>
      </c>
      <c r="N266" s="17">
        <f>IF(M266="Win",IF(F266="Bet",(I266-1)*K266,K266),IF(M266="Loss",IF(F266="Bet",-K266,-(I266-1)*K266),IF(M266="Void",0,"")))</f>
        <v/>
      </c>
      <c r="O266" s="18">
        <f>IF(OR(M266="Win",M266="Loss"),IF(F266="Bet",K266,(I266-1)*K266),"")</f>
        <v/>
      </c>
    </row>
    <row r="267">
      <c r="A267" s="44" t="n">
        <v>46288</v>
      </c>
      <c r="B267" s="45" t="inlineStr">
        <is>
          <t>Geelong</t>
        </is>
      </c>
      <c r="C267" s="21" t="n">
        <v>3</v>
      </c>
      <c r="D267" s="21" t="n">
        <v>12</v>
      </c>
      <c r="E267" s="20" t="inlineStr">
        <is>
          <t>Stipulation</t>
        </is>
      </c>
      <c r="F267" s="46" t="inlineStr">
        <is>
          <t>Lay</t>
        </is>
      </c>
      <c r="G267" s="47" t="inlineStr">
        <is>
          <t>Lay</t>
        </is>
      </c>
      <c r="H267" s="48" t="n">
        <v>4.5</v>
      </c>
      <c r="I267" s="48" t="n">
        <v>1.72</v>
      </c>
      <c r="J267" s="22" t="n">
        <v>-0.0636</v>
      </c>
      <c r="K267" s="49" t="n">
        <v>1</v>
      </c>
      <c r="L267" s="21" t="n">
        <v>1</v>
      </c>
      <c r="M267" s="46" t="inlineStr">
        <is>
          <t>Loss</t>
        </is>
      </c>
      <c r="N267" s="23">
        <f>IF(M267="Win",IF(F267="Bet",(I267-1)*K267,K267),IF(M267="Loss",IF(F267="Bet",-K267,-(I267-1)*K267),IF(M267="Void",0,"")))</f>
        <v/>
      </c>
      <c r="O267" s="24">
        <f>IF(OR(M267="Win",M267="Loss"),IF(F267="Bet",K267,(I267-1)*K267),"")</f>
        <v/>
      </c>
    </row>
    <row r="268">
      <c r="A268" s="37" t="n">
        <v>46288</v>
      </c>
      <c r="B268" s="38" t="inlineStr">
        <is>
          <t>Warwick Farm</t>
        </is>
      </c>
      <c r="C268" s="15" t="n">
        <v>2</v>
      </c>
      <c r="D268" s="15" t="n">
        <v>6</v>
      </c>
      <c r="E268" s="14" t="inlineStr">
        <is>
          <t>Peyton</t>
        </is>
      </c>
      <c r="F268" s="43" t="inlineStr">
        <is>
          <t>Lay</t>
        </is>
      </c>
      <c r="G268" s="47" t="inlineStr">
        <is>
          <t>Lay</t>
        </is>
      </c>
      <c r="H268" s="41" t="n">
        <v>3.4</v>
      </c>
      <c r="I268" s="41" t="n">
        <v>2.24</v>
      </c>
      <c r="J268" s="16" t="n">
        <v>-0.0796</v>
      </c>
      <c r="K268" s="42" t="n">
        <v>1</v>
      </c>
      <c r="L268" s="15" t="n"/>
      <c r="M268" s="54" t="inlineStr">
        <is>
          <t>Void</t>
        </is>
      </c>
      <c r="N268" s="17">
        <f>IF(M268="Win",IF(F268="Bet",(I268-1)*K268,K268),IF(M268="Loss",IF(F268="Bet",-K268,-(I268-1)*K268),IF(M268="Void",0,"")))</f>
        <v/>
      </c>
      <c r="O268" s="18">
        <f>IF(OR(M268="Win",M268="Loss"),IF(F268="Bet",K268,(I268-1)*K268),"")</f>
        <v/>
      </c>
    </row>
    <row r="269">
      <c r="A269" s="44" t="n">
        <v>46288</v>
      </c>
      <c r="B269" s="45" t="inlineStr">
        <is>
          <t>Northam</t>
        </is>
      </c>
      <c r="C269" s="21" t="n">
        <v>1</v>
      </c>
      <c r="D269" s="21" t="n">
        <v>1</v>
      </c>
      <c r="E269" s="20" t="inlineStr">
        <is>
          <t>Last Stylebender</t>
        </is>
      </c>
      <c r="F269" s="46" t="inlineStr">
        <is>
          <t>Lay</t>
        </is>
      </c>
      <c r="G269" s="47" t="inlineStr">
        <is>
          <t>Lay</t>
        </is>
      </c>
      <c r="H269" s="48" t="n">
        <v>3</v>
      </c>
      <c r="I269" s="48" t="n">
        <v>2.52</v>
      </c>
      <c r="J269" s="22" t="n">
        <v>-0.0672</v>
      </c>
      <c r="K269" s="49" t="n">
        <v>1</v>
      </c>
      <c r="L269" s="21" t="n">
        <v>1</v>
      </c>
      <c r="M269" s="46" t="inlineStr">
        <is>
          <t>Loss</t>
        </is>
      </c>
      <c r="N269" s="23">
        <f>IF(M269="Win",IF(F269="Bet",(I269-1)*K269,K269),IF(M269="Loss",IF(F269="Bet",-K269,-(I269-1)*K269),IF(M269="Void",0,"")))</f>
        <v/>
      </c>
      <c r="O269" s="24">
        <f>IF(OR(M269="Win",M269="Loss"),IF(F269="Bet",K269,(I269-1)*K269),"")</f>
        <v/>
      </c>
    </row>
    <row r="270">
      <c r="A270" s="37" t="n">
        <v>46288</v>
      </c>
      <c r="B270" s="38" t="inlineStr">
        <is>
          <t>Eagle Farm</t>
        </is>
      </c>
      <c r="C270" s="15" t="n">
        <v>2</v>
      </c>
      <c r="D270" s="15" t="n">
        <v>11</v>
      </c>
      <c r="E270" s="14" t="inlineStr">
        <is>
          <t>Maremoto</t>
        </is>
      </c>
      <c r="F270" s="43" t="inlineStr">
        <is>
          <t>Lay</t>
        </is>
      </c>
      <c r="G270" s="47" t="inlineStr">
        <is>
          <t>Lay</t>
        </is>
      </c>
      <c r="H270" s="41" t="n">
        <v>2.55</v>
      </c>
      <c r="I270" s="41" t="n">
        <v>2.14</v>
      </c>
      <c r="J270" s="16" t="n">
        <v>-0.064</v>
      </c>
      <c r="K270" s="42" t="n">
        <v>1</v>
      </c>
      <c r="L270" s="15" t="n">
        <v>3</v>
      </c>
      <c r="M270" s="51" t="inlineStr">
        <is>
          <t>Win</t>
        </is>
      </c>
      <c r="N270" s="17">
        <f>IF(M270="Win",IF(F270="Bet",(I270-1)*K270,K270),IF(M270="Loss",IF(F270="Bet",-K270,-(I270-1)*K270),IF(M270="Void",0,"")))</f>
        <v/>
      </c>
      <c r="O270" s="18">
        <f>IF(OR(M270="Win",M270="Loss"),IF(F270="Bet",K270,(I270-1)*K270),"")</f>
        <v/>
      </c>
    </row>
    <row r="271">
      <c r="A271" s="44" t="n">
        <v>46288</v>
      </c>
      <c r="B271" s="45" t="inlineStr">
        <is>
          <t>Gawler</t>
        </is>
      </c>
      <c r="C271" s="21" t="n">
        <v>1</v>
      </c>
      <c r="D271" s="21" t="n">
        <v>3</v>
      </c>
      <c r="E271" s="20" t="inlineStr">
        <is>
          <t>Lunar Vista</t>
        </is>
      </c>
      <c r="F271" s="46" t="inlineStr">
        <is>
          <t>Lay</t>
        </is>
      </c>
      <c r="G271" s="47" t="inlineStr">
        <is>
          <t>Lay</t>
        </is>
      </c>
      <c r="H271" s="48" t="n">
        <v>4.4</v>
      </c>
      <c r="I271" s="48" t="n">
        <v>2.24</v>
      </c>
      <c r="J271" s="22" t="n">
        <v>-0.0975</v>
      </c>
      <c r="K271" s="49" t="n">
        <v>1</v>
      </c>
      <c r="L271" s="21" t="n">
        <v>1</v>
      </c>
      <c r="M271" s="46" t="inlineStr">
        <is>
          <t>Loss</t>
        </is>
      </c>
      <c r="N271" s="23">
        <f>IF(M271="Win",IF(F271="Bet",(I271-1)*K271,K271),IF(M271="Loss",IF(F271="Bet",-K271,-(I271-1)*K271),IF(M271="Void",0,"")))</f>
        <v/>
      </c>
      <c r="O271" s="24">
        <f>IF(OR(M271="Win",M271="Loss"),IF(F271="Bet",K271,(I271-1)*K271),"")</f>
        <v/>
      </c>
    </row>
    <row r="272">
      <c r="A272" s="37" t="n">
        <v>46288</v>
      </c>
      <c r="B272" s="38" t="inlineStr">
        <is>
          <t>Geelong</t>
        </is>
      </c>
      <c r="C272" s="15" t="n">
        <v>8</v>
      </c>
      <c r="D272" s="15" t="n">
        <v>8</v>
      </c>
      <c r="E272" s="14" t="inlineStr">
        <is>
          <t>It's A Yes</t>
        </is>
      </c>
      <c r="F272" s="43" t="inlineStr">
        <is>
          <t>Lay</t>
        </is>
      </c>
      <c r="G272" s="47" t="inlineStr">
        <is>
          <t>Lay</t>
        </is>
      </c>
      <c r="H272" s="41" t="n">
        <v>4.5</v>
      </c>
      <c r="I272" s="41" t="n">
        <v>2.31</v>
      </c>
      <c r="J272" s="16" t="n">
        <v>-0.089</v>
      </c>
      <c r="K272" s="42" t="n">
        <v>1</v>
      </c>
      <c r="L272" s="15" t="n">
        <v>4</v>
      </c>
      <c r="M272" s="51" t="inlineStr">
        <is>
          <t>Win</t>
        </is>
      </c>
      <c r="N272" s="17">
        <f>IF(M272="Win",IF(F272="Bet",(I272-1)*K272,K272),IF(M272="Loss",IF(F272="Bet",-K272,-(I272-1)*K272),IF(M272="Void",0,"")))</f>
        <v/>
      </c>
      <c r="O272" s="18">
        <f>IF(OR(M272="Win",M272="Loss"),IF(F272="Bet",K272,(I272-1)*K272),"")</f>
        <v/>
      </c>
    </row>
    <row r="273">
      <c r="A273" s="44" t="n">
        <v>46288</v>
      </c>
      <c r="B273" s="45" t="inlineStr">
        <is>
          <t>Eagle Farm</t>
        </is>
      </c>
      <c r="C273" s="21" t="n">
        <v>4</v>
      </c>
      <c r="D273" s="21" t="n">
        <v>11</v>
      </c>
      <c r="E273" s="20" t="inlineStr">
        <is>
          <t>Hell Or Heaven</t>
        </is>
      </c>
      <c r="F273" s="46" t="inlineStr">
        <is>
          <t>Lay</t>
        </is>
      </c>
      <c r="G273" s="47" t="inlineStr">
        <is>
          <t>Lay</t>
        </is>
      </c>
      <c r="H273" s="48" t="n">
        <v>11.8</v>
      </c>
      <c r="I273" s="48" t="n">
        <v>4.4</v>
      </c>
      <c r="J273" s="22" t="n">
        <v>-0.0624</v>
      </c>
      <c r="K273" s="49" t="n">
        <v>1</v>
      </c>
      <c r="L273" s="21" t="n">
        <v>2</v>
      </c>
      <c r="M273" s="50" t="inlineStr">
        <is>
          <t>Win</t>
        </is>
      </c>
      <c r="N273" s="23">
        <f>IF(M273="Win",IF(F273="Bet",(I273-1)*K273,K273),IF(M273="Loss",IF(F273="Bet",-K273,-(I273-1)*K273),IF(M273="Void",0,"")))</f>
        <v/>
      </c>
      <c r="O273" s="24">
        <f>IF(OR(M273="Win",M273="Loss"),IF(F273="Bet",K273,(I273-1)*K273),"")</f>
        <v/>
      </c>
    </row>
    <row r="274">
      <c r="A274" s="37" t="n">
        <v>46288</v>
      </c>
      <c r="B274" s="38" t="inlineStr">
        <is>
          <t>Gawler</t>
        </is>
      </c>
      <c r="C274" s="15" t="n">
        <v>6</v>
      </c>
      <c r="D274" s="15" t="n">
        <v>3</v>
      </c>
      <c r="E274" s="14" t="inlineStr">
        <is>
          <t>Ilustrious Warrior</t>
        </is>
      </c>
      <c r="F274" s="43" t="inlineStr">
        <is>
          <t>Lay</t>
        </is>
      </c>
      <c r="G274" s="47" t="inlineStr">
        <is>
          <t>Lay</t>
        </is>
      </c>
      <c r="H274" s="41" t="n">
        <v>6.9</v>
      </c>
      <c r="I274" s="41" t="n">
        <v>3.65</v>
      </c>
      <c r="J274" s="16" t="n">
        <v>-0.06279999999999999</v>
      </c>
      <c r="K274" s="42" t="n">
        <v>1</v>
      </c>
      <c r="L274" s="15" t="n">
        <v>4</v>
      </c>
      <c r="M274" s="51" t="inlineStr">
        <is>
          <t>Win</t>
        </is>
      </c>
      <c r="N274" s="17">
        <f>IF(M274="Win",IF(F274="Bet",(I274-1)*K274,K274),IF(M274="Loss",IF(F274="Bet",-K274,-(I274-1)*K274),IF(M274="Void",0,"")))</f>
        <v/>
      </c>
      <c r="O274" s="18">
        <f>IF(OR(M274="Win",M274="Loss"),IF(F274="Bet",K274,(I274-1)*K274),"")</f>
        <v/>
      </c>
    </row>
    <row r="275">
      <c r="A275" s="44" t="n">
        <v>46288</v>
      </c>
      <c r="B275" s="45" t="inlineStr">
        <is>
          <t>Warwick Farm</t>
        </is>
      </c>
      <c r="C275" s="21" t="n">
        <v>6</v>
      </c>
      <c r="D275" s="21" t="n">
        <v>4</v>
      </c>
      <c r="E275" s="20" t="inlineStr">
        <is>
          <t>Bartolf</t>
        </is>
      </c>
      <c r="F275" s="46" t="inlineStr">
        <is>
          <t>Lay</t>
        </is>
      </c>
      <c r="G275" s="47" t="inlineStr">
        <is>
          <t>Lay</t>
        </is>
      </c>
      <c r="H275" s="48" t="n">
        <v>6.1</v>
      </c>
      <c r="I275" s="48" t="n">
        <v>4.1</v>
      </c>
      <c r="J275" s="22" t="n">
        <v>-0.0789</v>
      </c>
      <c r="K275" s="49" t="n">
        <v>1</v>
      </c>
      <c r="L275" s="21" t="n">
        <v>5</v>
      </c>
      <c r="M275" s="50" t="inlineStr">
        <is>
          <t>Win</t>
        </is>
      </c>
      <c r="N275" s="23">
        <f>IF(M275="Win",IF(F275="Bet",(I275-1)*K275,K275),IF(M275="Loss",IF(F275="Bet",-K275,-(I275-1)*K275),IF(M275="Void",0,"")))</f>
        <v/>
      </c>
      <c r="O275" s="24">
        <f>IF(OR(M275="Win",M275="Loss"),IF(F275="Bet",K275,(I275-1)*K275),"")</f>
        <v/>
      </c>
    </row>
    <row r="276">
      <c r="A276" s="37" t="n">
        <v>46288</v>
      </c>
      <c r="B276" s="38" t="inlineStr">
        <is>
          <t>Gawler</t>
        </is>
      </c>
      <c r="C276" s="15" t="n">
        <v>7</v>
      </c>
      <c r="D276" s="15" t="n">
        <v>3</v>
      </c>
      <c r="E276" s="14" t="inlineStr">
        <is>
          <t>Yarrawizardharry</t>
        </is>
      </c>
      <c r="F276" s="43" t="inlineStr">
        <is>
          <t>Lay</t>
        </is>
      </c>
      <c r="G276" s="47" t="inlineStr">
        <is>
          <t>Lay</t>
        </is>
      </c>
      <c r="H276" s="41" t="n">
        <v>6.3</v>
      </c>
      <c r="I276" s="41" t="n">
        <v>3.61</v>
      </c>
      <c r="J276" s="16" t="n">
        <v>-0.06270000000000001</v>
      </c>
      <c r="K276" s="42" t="n">
        <v>1</v>
      </c>
      <c r="L276" s="15" t="n">
        <v>3</v>
      </c>
      <c r="M276" s="51" t="inlineStr">
        <is>
          <t>Win</t>
        </is>
      </c>
      <c r="N276" s="17">
        <f>IF(M276="Win",IF(F276="Bet",(I276-1)*K276,K276),IF(M276="Loss",IF(F276="Bet",-K276,-(I276-1)*K276),IF(M276="Void",0,"")))</f>
        <v/>
      </c>
      <c r="O276" s="18">
        <f>IF(OR(M276="Win",M276="Loss"),IF(F276="Bet",K276,(I276-1)*K276),"")</f>
        <v/>
      </c>
    </row>
    <row r="277">
      <c r="A277" s="44" t="n">
        <v>46288</v>
      </c>
      <c r="B277" s="45" t="inlineStr">
        <is>
          <t>Northam</t>
        </is>
      </c>
      <c r="C277" s="21" t="n">
        <v>7</v>
      </c>
      <c r="D277" s="21" t="n">
        <v>8</v>
      </c>
      <c r="E277" s="20" t="inlineStr">
        <is>
          <t>My Jimmy</t>
        </is>
      </c>
      <c r="F277" s="46" t="inlineStr">
        <is>
          <t>Lay</t>
        </is>
      </c>
      <c r="G277" s="47" t="inlineStr">
        <is>
          <t>Lay</t>
        </is>
      </c>
      <c r="H277" s="48" t="n">
        <v>5</v>
      </c>
      <c r="I277" s="48" t="n">
        <v>3.25</v>
      </c>
      <c r="J277" s="22" t="n">
        <v>-0.06510000000000001</v>
      </c>
      <c r="K277" s="49" t="n">
        <v>1</v>
      </c>
      <c r="L277" s="21" t="n">
        <v>3</v>
      </c>
      <c r="M277" s="50" t="inlineStr">
        <is>
          <t>Win</t>
        </is>
      </c>
      <c r="N277" s="23">
        <f>IF(M277="Win",IF(F277="Bet",(I277-1)*K277,K277),IF(M277="Loss",IF(F277="Bet",-K277,-(I277-1)*K277),IF(M277="Void",0,"")))</f>
        <v/>
      </c>
      <c r="O277" s="24">
        <f>IF(OR(M277="Win",M277="Loss"),IF(F277="Bet",K277,(I277-1)*K277),"")</f>
        <v/>
      </c>
    </row>
    <row r="278">
      <c r="A278" s="37" t="n">
        <v>46288</v>
      </c>
      <c r="B278" s="38" t="inlineStr">
        <is>
          <t>Gawler</t>
        </is>
      </c>
      <c r="C278" s="15" t="n">
        <v>3</v>
      </c>
      <c r="D278" s="15" t="n">
        <v>6</v>
      </c>
      <c r="E278" s="14" t="inlineStr">
        <is>
          <t>Extra Chill</t>
        </is>
      </c>
      <c r="F278" s="43" t="inlineStr">
        <is>
          <t>Lay</t>
        </is>
      </c>
      <c r="G278" s="47" t="inlineStr">
        <is>
          <t>Lay</t>
        </is>
      </c>
      <c r="H278" s="41" t="n">
        <v>3</v>
      </c>
      <c r="I278" s="41" t="n">
        <v>2.48</v>
      </c>
      <c r="J278" s="16" t="n">
        <v>-0.07049999999999999</v>
      </c>
      <c r="K278" s="42" t="n">
        <v>1</v>
      </c>
      <c r="L278" s="15" t="n">
        <v>6</v>
      </c>
      <c r="M278" s="51" t="inlineStr">
        <is>
          <t>Win</t>
        </is>
      </c>
      <c r="N278" s="17">
        <f>IF(M278="Win",IF(F278="Bet",(I278-1)*K278,K278),IF(M278="Loss",IF(F278="Bet",-K278,-(I278-1)*K278),IF(M278="Void",0,"")))</f>
        <v/>
      </c>
      <c r="O278" s="18">
        <f>IF(OR(M278="Win",M278="Loss"),IF(F278="Bet",K278,(I278-1)*K278),"")</f>
        <v/>
      </c>
    </row>
    <row r="279">
      <c r="A279" s="44" t="n">
        <v>46288</v>
      </c>
      <c r="B279" s="45" t="inlineStr">
        <is>
          <t>Eagle Farm</t>
        </is>
      </c>
      <c r="C279" s="21" t="n">
        <v>6</v>
      </c>
      <c r="D279" s="21" t="n">
        <v>10</v>
      </c>
      <c r="E279" s="20" t="inlineStr">
        <is>
          <t>Quickzou</t>
        </is>
      </c>
      <c r="F279" s="46" t="inlineStr">
        <is>
          <t>Lay</t>
        </is>
      </c>
      <c r="G279" s="47" t="inlineStr">
        <is>
          <t>Lay</t>
        </is>
      </c>
      <c r="H279" s="48" t="n">
        <v>6</v>
      </c>
      <c r="I279" s="48" t="n">
        <v>4.3</v>
      </c>
      <c r="J279" s="22" t="n">
        <v>-0.0608</v>
      </c>
      <c r="K279" s="49" t="n">
        <v>1</v>
      </c>
      <c r="L279" s="21" t="n">
        <v>2</v>
      </c>
      <c r="M279" s="50" t="inlineStr">
        <is>
          <t>Win</t>
        </is>
      </c>
      <c r="N279" s="23">
        <f>IF(M279="Win",IF(F279="Bet",(I279-1)*K279,K279),IF(M279="Loss",IF(F279="Bet",-K279,-(I279-1)*K279),IF(M279="Void",0,"")))</f>
        <v/>
      </c>
      <c r="O279" s="24">
        <f>IF(OR(M279="Win",M279="Loss"),IF(F279="Bet",K279,(I279-1)*K279),"")</f>
        <v/>
      </c>
    </row>
    <row r="280">
      <c r="A280" s="37" t="n">
        <v>46288</v>
      </c>
      <c r="B280" s="38" t="inlineStr">
        <is>
          <t>Northam</t>
        </is>
      </c>
      <c r="C280" s="15" t="n">
        <v>8</v>
      </c>
      <c r="D280" s="15" t="n">
        <v>7</v>
      </c>
      <c r="E280" s="14" t="inlineStr">
        <is>
          <t>Jemconi</t>
        </is>
      </c>
      <c r="F280" s="43" t="inlineStr">
        <is>
          <t>Lay</t>
        </is>
      </c>
      <c r="G280" s="47" t="inlineStr">
        <is>
          <t>Lay</t>
        </is>
      </c>
      <c r="H280" s="41" t="n">
        <v>5</v>
      </c>
      <c r="I280" s="41" t="n">
        <v>2.98</v>
      </c>
      <c r="J280" s="16" t="n">
        <v>-0.0631</v>
      </c>
      <c r="K280" s="42" t="n">
        <v>1</v>
      </c>
      <c r="L280" s="15" t="n">
        <v>3</v>
      </c>
      <c r="M280" s="51" t="inlineStr">
        <is>
          <t>Win</t>
        </is>
      </c>
      <c r="N280" s="17">
        <f>IF(M280="Win",IF(F280="Bet",(I280-1)*K280,K280),IF(M280="Loss",IF(F280="Bet",-K280,-(I280-1)*K280),IF(M280="Void",0,"")))</f>
        <v/>
      </c>
      <c r="O280" s="18">
        <f>IF(OR(M280="Win",M280="Loss"),IF(F280="Bet",K280,(I280-1)*K280),"")</f>
        <v/>
      </c>
    </row>
    <row r="281">
      <c r="A281" s="44" t="n">
        <v>46288</v>
      </c>
      <c r="B281" s="45" t="inlineStr">
        <is>
          <t>Northam</t>
        </is>
      </c>
      <c r="C281" s="21" t="n">
        <v>2</v>
      </c>
      <c r="D281" s="21" t="n">
        <v>2</v>
      </c>
      <c r="E281" s="20" t="inlineStr">
        <is>
          <t>Official Business</t>
        </is>
      </c>
      <c r="F281" s="46" t="inlineStr">
        <is>
          <t>Lay</t>
        </is>
      </c>
      <c r="G281" s="47" t="inlineStr">
        <is>
          <t>Lay</t>
        </is>
      </c>
      <c r="H281" s="48" t="n">
        <v>3.4</v>
      </c>
      <c r="I281" s="48" t="n">
        <v>2.42</v>
      </c>
      <c r="J281" s="22" t="n">
        <v>-0.0722</v>
      </c>
      <c r="K281" s="49" t="n">
        <v>1</v>
      </c>
      <c r="L281" s="21" t="n">
        <v>1</v>
      </c>
      <c r="M281" s="46" t="inlineStr">
        <is>
          <t>Loss</t>
        </is>
      </c>
      <c r="N281" s="23">
        <f>IF(M281="Win",IF(F281="Bet",(I281-1)*K281,K281),IF(M281="Loss",IF(F281="Bet",-K281,-(I281-1)*K281),IF(M281="Void",0,"")))</f>
        <v/>
      </c>
      <c r="O281" s="24">
        <f>IF(OR(M281="Win",M281="Loss"),IF(F281="Bet",K281,(I281-1)*K281),"")</f>
        <v/>
      </c>
    </row>
    <row r="282">
      <c r="A282" s="37" t="n">
        <v>46288</v>
      </c>
      <c r="B282" s="38" t="inlineStr">
        <is>
          <t>Eagle Farm</t>
        </is>
      </c>
      <c r="C282" s="15" t="n">
        <v>2</v>
      </c>
      <c r="D282" s="15" t="n">
        <v>8</v>
      </c>
      <c r="E282" s="14" t="inlineStr">
        <is>
          <t>Whiskey Warrior</t>
        </is>
      </c>
      <c r="F282" s="43" t="inlineStr">
        <is>
          <t>Lay</t>
        </is>
      </c>
      <c r="G282" s="47" t="inlineStr">
        <is>
          <t>Lay</t>
        </is>
      </c>
      <c r="H282" s="41" t="n">
        <v>13.4</v>
      </c>
      <c r="I282" s="41" t="n">
        <v>5.4</v>
      </c>
      <c r="J282" s="16" t="n">
        <v>-0.0604</v>
      </c>
      <c r="K282" s="42" t="n">
        <v>1</v>
      </c>
      <c r="L282" s="15" t="n">
        <v>9</v>
      </c>
      <c r="M282" s="51" t="inlineStr">
        <is>
          <t>Win</t>
        </is>
      </c>
      <c r="N282" s="17">
        <f>IF(M282="Win",IF(F282="Bet",(I282-1)*K282,K282),IF(M282="Loss",IF(F282="Bet",-K282,-(I282-1)*K282),IF(M282="Void",0,"")))</f>
        <v/>
      </c>
      <c r="O282" s="18">
        <f>IF(OR(M282="Win",M282="Loss"),IF(F282="Bet",K282,(I282-1)*K282),"")</f>
        <v/>
      </c>
    </row>
    <row r="283">
      <c r="A283" s="44" t="n">
        <v>46288</v>
      </c>
      <c r="B283" s="45" t="inlineStr">
        <is>
          <t>Geelong</t>
        </is>
      </c>
      <c r="C283" s="21" t="n">
        <v>2</v>
      </c>
      <c r="D283" s="21" t="n">
        <v>8</v>
      </c>
      <c r="E283" s="20" t="inlineStr">
        <is>
          <t>Meness</t>
        </is>
      </c>
      <c r="F283" s="46" t="inlineStr">
        <is>
          <t>Lay</t>
        </is>
      </c>
      <c r="G283" s="47" t="inlineStr">
        <is>
          <t>Lay</t>
        </is>
      </c>
      <c r="H283" s="48" t="n">
        <v>2.6</v>
      </c>
      <c r="I283" s="48" t="n">
        <v>2.22</v>
      </c>
      <c r="J283" s="22" t="n">
        <v>-0.0633</v>
      </c>
      <c r="K283" s="49" t="n">
        <v>1</v>
      </c>
      <c r="L283" s="21" t="n">
        <v>2</v>
      </c>
      <c r="M283" s="50" t="inlineStr">
        <is>
          <t>Win</t>
        </is>
      </c>
      <c r="N283" s="23">
        <f>IF(M283="Win",IF(F283="Bet",(I283-1)*K283,K283),IF(M283="Loss",IF(F283="Bet",-K283,-(I283-1)*K283),IF(M283="Void",0,"")))</f>
        <v/>
      </c>
      <c r="O283" s="24">
        <f>IF(OR(M283="Win",M283="Loss"),IF(F283="Bet",K283,(I283-1)*K283),"")</f>
        <v/>
      </c>
    </row>
    <row r="284">
      <c r="A284" s="37" t="n">
        <v>46288</v>
      </c>
      <c r="B284" s="38" t="inlineStr">
        <is>
          <t>Warwick Farm</t>
        </is>
      </c>
      <c r="C284" s="15" t="n">
        <v>5</v>
      </c>
      <c r="D284" s="15" t="n">
        <v>7</v>
      </c>
      <c r="E284" s="14" t="inlineStr">
        <is>
          <t>Cobra Club</t>
        </is>
      </c>
      <c r="F284" s="43" t="inlineStr">
        <is>
          <t>Lay</t>
        </is>
      </c>
      <c r="G284" s="47" t="inlineStr">
        <is>
          <t>Lay</t>
        </is>
      </c>
      <c r="H284" s="41" t="n">
        <v>7.6</v>
      </c>
      <c r="I284" s="41" t="n">
        <v>5.1</v>
      </c>
      <c r="J284" s="16" t="n">
        <v>-0.064</v>
      </c>
      <c r="K284" s="42" t="n">
        <v>1</v>
      </c>
      <c r="L284" s="15" t="n">
        <v>10</v>
      </c>
      <c r="M284" s="51" t="inlineStr">
        <is>
          <t>Win</t>
        </is>
      </c>
      <c r="N284" s="17">
        <f>IF(M284="Win",IF(F284="Bet",(I284-1)*K284,K284),IF(M284="Loss",IF(F284="Bet",-K284,-(I284-1)*K284),IF(M284="Void",0,"")))</f>
        <v/>
      </c>
      <c r="O284" s="18">
        <f>IF(OR(M284="Win",M284="Loss"),IF(F284="Bet",K284,(I284-1)*K284),"")</f>
        <v/>
      </c>
    </row>
    <row r="285">
      <c r="A285" s="44" t="n">
        <v>46288</v>
      </c>
      <c r="B285" s="45" t="inlineStr">
        <is>
          <t>Gawler</t>
        </is>
      </c>
      <c r="C285" s="21" t="n">
        <v>3</v>
      </c>
      <c r="D285" s="21" t="n">
        <v>8</v>
      </c>
      <c r="E285" s="20" t="inlineStr">
        <is>
          <t>Terminal Shock</t>
        </is>
      </c>
      <c r="F285" s="46" t="inlineStr">
        <is>
          <t>Lay</t>
        </is>
      </c>
      <c r="G285" s="47" t="inlineStr">
        <is>
          <t>Lay</t>
        </is>
      </c>
      <c r="H285" s="48" t="n">
        <v>8.699999999999999</v>
      </c>
      <c r="I285" s="48" t="n">
        <v>5.4</v>
      </c>
      <c r="J285" s="22" t="n">
        <v>-0.0706</v>
      </c>
      <c r="K285" s="49" t="n">
        <v>1</v>
      </c>
      <c r="L285" s="21" t="n">
        <v>7</v>
      </c>
      <c r="M285" s="50" t="inlineStr">
        <is>
          <t>Win</t>
        </is>
      </c>
      <c r="N285" s="23">
        <f>IF(M285="Win",IF(F285="Bet",(I285-1)*K285,K285),IF(M285="Loss",IF(F285="Bet",-K285,-(I285-1)*K285),IF(M285="Void",0,"")))</f>
        <v/>
      </c>
      <c r="O285" s="24">
        <f>IF(OR(M285="Win",M285="Loss"),IF(F285="Bet",K285,(I285-1)*K285),"")</f>
        <v/>
      </c>
    </row>
    <row r="286">
      <c r="A286" s="37" t="n">
        <v>46288</v>
      </c>
      <c r="B286" s="38" t="inlineStr">
        <is>
          <t>Warwick Farm</t>
        </is>
      </c>
      <c r="C286" s="15" t="n">
        <v>5</v>
      </c>
      <c r="D286" s="15" t="n">
        <v>9</v>
      </c>
      <c r="E286" s="14" t="inlineStr">
        <is>
          <t>Leica Storm</t>
        </is>
      </c>
      <c r="F286" s="43" t="inlineStr">
        <is>
          <t>Lay</t>
        </is>
      </c>
      <c r="G286" s="47" t="inlineStr">
        <is>
          <t>Lay</t>
        </is>
      </c>
      <c r="H286" s="41" t="n">
        <v>7.6</v>
      </c>
      <c r="I286" s="41" t="n">
        <v>5</v>
      </c>
      <c r="J286" s="16" t="n">
        <v>-0.0687</v>
      </c>
      <c r="K286" s="42" t="n">
        <v>1</v>
      </c>
      <c r="L286" s="15" t="n">
        <v>5</v>
      </c>
      <c r="M286" s="51" t="inlineStr">
        <is>
          <t>Win</t>
        </is>
      </c>
      <c r="N286" s="17">
        <f>IF(M286="Win",IF(F286="Bet",(I286-1)*K286,K286),IF(M286="Loss",IF(F286="Bet",-K286,-(I286-1)*K286),IF(M286="Void",0,"")))</f>
        <v/>
      </c>
      <c r="O286" s="18">
        <f>IF(OR(M286="Win",M286="Loss"),IF(F286="Bet",K286,(I286-1)*K286),"")</f>
        <v/>
      </c>
    </row>
    <row r="287">
      <c r="A287" s="44" t="n">
        <v>46288</v>
      </c>
      <c r="B287" s="45" t="inlineStr">
        <is>
          <t>Northam</t>
        </is>
      </c>
      <c r="C287" s="21" t="n">
        <v>4</v>
      </c>
      <c r="D287" s="21" t="n">
        <v>8</v>
      </c>
      <c r="E287" s="20" t="inlineStr">
        <is>
          <t>Grey Ol' Day</t>
        </is>
      </c>
      <c r="F287" s="46" t="inlineStr">
        <is>
          <t>Lay</t>
        </is>
      </c>
      <c r="G287" s="47" t="inlineStr">
        <is>
          <t>Lay</t>
        </is>
      </c>
      <c r="H287" s="48" t="n">
        <v>3</v>
      </c>
      <c r="I287" s="48" t="n">
        <v>2.3</v>
      </c>
      <c r="J287" s="22" t="n">
        <v>-0.103</v>
      </c>
      <c r="K287" s="49" t="n">
        <v>1</v>
      </c>
      <c r="L287" s="21" t="n">
        <v>1</v>
      </c>
      <c r="M287" s="46" t="inlineStr">
        <is>
          <t>Loss</t>
        </is>
      </c>
      <c r="N287" s="23">
        <f>IF(M287="Win",IF(F287="Bet",(I287-1)*K287,K287),IF(M287="Loss",IF(F287="Bet",-K287,-(I287-1)*K287),IF(M287="Void",0,"")))</f>
        <v/>
      </c>
      <c r="O287" s="24">
        <f>IF(OR(M287="Win",M287="Loss"),IF(F287="Bet",K287,(I287-1)*K287),"")</f>
        <v/>
      </c>
    </row>
    <row r="288">
      <c r="A288" s="37" t="n">
        <v>46288</v>
      </c>
      <c r="B288" s="38" t="inlineStr">
        <is>
          <t>Northam</t>
        </is>
      </c>
      <c r="C288" s="15" t="n">
        <v>5</v>
      </c>
      <c r="D288" s="15" t="n">
        <v>3</v>
      </c>
      <c r="E288" s="14" t="inlineStr">
        <is>
          <t>Xelcimus</t>
        </is>
      </c>
      <c r="F288" s="43" t="inlineStr">
        <is>
          <t>Lay</t>
        </is>
      </c>
      <c r="G288" s="47" t="inlineStr">
        <is>
          <t>Lay</t>
        </is>
      </c>
      <c r="H288" s="41" t="n">
        <v>8.800000000000001</v>
      </c>
      <c r="I288" s="41" t="n">
        <v>5.2</v>
      </c>
      <c r="J288" s="16" t="n">
        <v>-0.0688</v>
      </c>
      <c r="K288" s="42" t="n">
        <v>1</v>
      </c>
      <c r="L288" s="15" t="n">
        <v>10</v>
      </c>
      <c r="M288" s="51" t="inlineStr">
        <is>
          <t>Win</t>
        </is>
      </c>
      <c r="N288" s="17">
        <f>IF(M288="Win",IF(F288="Bet",(I288-1)*K288,K288),IF(M288="Loss",IF(F288="Bet",-K288,-(I288-1)*K288),IF(M288="Void",0,"")))</f>
        <v/>
      </c>
      <c r="O288" s="18">
        <f>IF(OR(M288="Win",M288="Loss"),IF(F288="Bet",K288,(I288-1)*K288),"")</f>
        <v/>
      </c>
    </row>
    <row r="289">
      <c r="A289" s="44" t="n">
        <v>46289</v>
      </c>
      <c r="B289" s="45" t="inlineStr">
        <is>
          <t>Goulburn</t>
        </is>
      </c>
      <c r="C289" s="21" t="n">
        <v>2</v>
      </c>
      <c r="D289" s="21" t="n">
        <v>2</v>
      </c>
      <c r="E289" s="20" t="inlineStr">
        <is>
          <t>Borderfall</t>
        </is>
      </c>
      <c r="F289" s="46" t="inlineStr">
        <is>
          <t>Lay</t>
        </is>
      </c>
      <c r="G289" s="47" t="inlineStr">
        <is>
          <t>Lay</t>
        </is>
      </c>
      <c r="H289" s="48" t="n">
        <v>4.1</v>
      </c>
      <c r="I289" s="48" t="n">
        <v>3</v>
      </c>
      <c r="J289" s="22" t="n">
        <v>-0.0771</v>
      </c>
      <c r="K289" s="49" t="n">
        <v>1</v>
      </c>
      <c r="L289" s="21" t="n">
        <v>3</v>
      </c>
      <c r="M289" s="50" t="inlineStr">
        <is>
          <t>Win</t>
        </is>
      </c>
      <c r="N289" s="23">
        <f>IF(M289="Win",IF(F289="Bet",(I289-1)*K289,K289),IF(M289="Loss",IF(F289="Bet",-K289,-(I289-1)*K289),IF(M289="Void",0,"")))</f>
        <v/>
      </c>
      <c r="O289" s="24">
        <f>IF(OR(M289="Win",M289="Loss"),IF(F289="Bet",K289,(I289-1)*K289),"")</f>
        <v/>
      </c>
    </row>
    <row r="290">
      <c r="A290" s="37" t="n">
        <v>46289</v>
      </c>
      <c r="B290" s="38" t="inlineStr">
        <is>
          <t>Moe</t>
        </is>
      </c>
      <c r="C290" s="15" t="n">
        <v>2</v>
      </c>
      <c r="D290" s="15" t="n">
        <v>10</v>
      </c>
      <c r="E290" s="14" t="inlineStr">
        <is>
          <t>Jean Georges</t>
        </is>
      </c>
      <c r="F290" s="43" t="inlineStr">
        <is>
          <t>Lay</t>
        </is>
      </c>
      <c r="G290" s="47" t="inlineStr">
        <is>
          <t>Lay</t>
        </is>
      </c>
      <c r="H290" s="41" t="n">
        <v>2.85</v>
      </c>
      <c r="I290" s="41" t="n">
        <v>2</v>
      </c>
      <c r="J290" s="16" t="n">
        <v>-0.0747</v>
      </c>
      <c r="K290" s="42" t="n">
        <v>1</v>
      </c>
      <c r="L290" s="15" t="n">
        <v>1</v>
      </c>
      <c r="M290" s="43" t="inlineStr">
        <is>
          <t>Loss</t>
        </is>
      </c>
      <c r="N290" s="17">
        <f>IF(M290="Win",IF(F290="Bet",(I290-1)*K290,K290),IF(M290="Loss",IF(F290="Bet",-K290,-(I290-1)*K290),IF(M290="Void",0,"")))</f>
        <v/>
      </c>
      <c r="O290" s="18">
        <f>IF(OR(M290="Win",M290="Loss"),IF(F290="Bet",K290,(I290-1)*K290),"")</f>
        <v/>
      </c>
    </row>
    <row r="291">
      <c r="A291" s="44" t="n">
        <v>46289</v>
      </c>
      <c r="B291" s="45" t="inlineStr">
        <is>
          <t>Hawkesbury</t>
        </is>
      </c>
      <c r="C291" s="21" t="n">
        <v>6</v>
      </c>
      <c r="D291" s="21" t="n">
        <v>5</v>
      </c>
      <c r="E291" s="20" t="inlineStr">
        <is>
          <t>Ausbred Hed'n'tail</t>
        </is>
      </c>
      <c r="F291" s="46" t="inlineStr">
        <is>
          <t>Lay</t>
        </is>
      </c>
      <c r="G291" s="47" t="inlineStr">
        <is>
          <t>Lay</t>
        </is>
      </c>
      <c r="H291" s="48" t="n">
        <v>4.3</v>
      </c>
      <c r="I291" s="48" t="n">
        <v>2.18</v>
      </c>
      <c r="J291" s="22" t="n">
        <v>-0.0641</v>
      </c>
      <c r="K291" s="49" t="n">
        <v>1</v>
      </c>
      <c r="L291" s="21" t="n">
        <v>3</v>
      </c>
      <c r="M291" s="50" t="inlineStr">
        <is>
          <t>Win</t>
        </is>
      </c>
      <c r="N291" s="23">
        <f>IF(M291="Win",IF(F291="Bet",(I291-1)*K291,K291),IF(M291="Loss",IF(F291="Bet",-K291,-(I291-1)*K291),IF(M291="Void",0,"")))</f>
        <v/>
      </c>
      <c r="O291" s="24">
        <f>IF(OR(M291="Win",M291="Loss"),IF(F291="Bet",K291,(I291-1)*K291),"")</f>
        <v/>
      </c>
    </row>
    <row r="292">
      <c r="A292" s="37" t="n">
        <v>46289</v>
      </c>
      <c r="B292" s="38" t="inlineStr">
        <is>
          <t>Moe</t>
        </is>
      </c>
      <c r="C292" s="15" t="n">
        <v>5</v>
      </c>
      <c r="D292" s="15" t="n">
        <v>1</v>
      </c>
      <c r="E292" s="14" t="inlineStr">
        <is>
          <t>Aubaine</t>
        </is>
      </c>
      <c r="F292" s="43" t="inlineStr">
        <is>
          <t>Lay</t>
        </is>
      </c>
      <c r="G292" s="47" t="inlineStr">
        <is>
          <t>Lay</t>
        </is>
      </c>
      <c r="H292" s="41" t="n">
        <v>3.8</v>
      </c>
      <c r="I292" s="41" t="n">
        <v>3.05</v>
      </c>
      <c r="J292" s="16" t="n">
        <v>-0.0653</v>
      </c>
      <c r="K292" s="42" t="n">
        <v>1</v>
      </c>
      <c r="L292" s="15" t="n">
        <v>6</v>
      </c>
      <c r="M292" s="51" t="inlineStr">
        <is>
          <t>Win</t>
        </is>
      </c>
      <c r="N292" s="17">
        <f>IF(M292="Win",IF(F292="Bet",(I292-1)*K292,K292),IF(M292="Loss",IF(F292="Bet",-K292,-(I292-1)*K292),IF(M292="Void",0,"")))</f>
        <v/>
      </c>
      <c r="O292" s="18">
        <f>IF(OR(M292="Win",M292="Loss"),IF(F292="Bet",K292,(I292-1)*K292),"")</f>
        <v/>
      </c>
    </row>
    <row r="293">
      <c r="A293" s="44" t="n">
        <v>46289</v>
      </c>
      <c r="B293" s="45" t="inlineStr">
        <is>
          <t>Goulburn</t>
        </is>
      </c>
      <c r="C293" s="21" t="n">
        <v>3</v>
      </c>
      <c r="D293" s="21" t="n">
        <v>4</v>
      </c>
      <c r="E293" s="20" t="inlineStr">
        <is>
          <t>Costalivin</t>
        </is>
      </c>
      <c r="F293" s="46" t="inlineStr">
        <is>
          <t>Lay</t>
        </is>
      </c>
      <c r="G293" s="47" t="inlineStr">
        <is>
          <t>Lay</t>
        </is>
      </c>
      <c r="H293" s="48" t="n">
        <v>7</v>
      </c>
      <c r="I293" s="48" t="n">
        <v>3.45</v>
      </c>
      <c r="J293" s="22" t="n">
        <v>-0.06510000000000001</v>
      </c>
      <c r="K293" s="49" t="n">
        <v>1</v>
      </c>
      <c r="L293" s="21" t="n">
        <v>1</v>
      </c>
      <c r="M293" s="46" t="inlineStr">
        <is>
          <t>Loss</t>
        </is>
      </c>
      <c r="N293" s="23">
        <f>IF(M293="Win",IF(F293="Bet",(I293-1)*K293,K293),IF(M293="Loss",IF(F293="Bet",-K293,-(I293-1)*K293),IF(M293="Void",0,"")))</f>
        <v/>
      </c>
      <c r="O293" s="24">
        <f>IF(OR(M293="Win",M293="Loss"),IF(F293="Bet",K293,(I293-1)*K293),"")</f>
        <v/>
      </c>
    </row>
    <row r="294">
      <c r="A294" s="37" t="n">
        <v>46289</v>
      </c>
      <c r="B294" s="38" t="inlineStr">
        <is>
          <t>Hawkesbury</t>
        </is>
      </c>
      <c r="C294" s="15" t="n">
        <v>7</v>
      </c>
      <c r="D294" s="15" t="n">
        <v>9</v>
      </c>
      <c r="E294" s="14" t="inlineStr">
        <is>
          <t>Flight Of Power</t>
        </is>
      </c>
      <c r="F294" s="43" t="inlineStr">
        <is>
          <t>Lay</t>
        </is>
      </c>
      <c r="G294" s="47" t="inlineStr">
        <is>
          <t>Lay</t>
        </is>
      </c>
      <c r="H294" s="41" t="n">
        <v>4.6</v>
      </c>
      <c r="I294" s="41" t="n">
        <v>2.66</v>
      </c>
      <c r="J294" s="16" t="n">
        <v>-0.0837</v>
      </c>
      <c r="K294" s="42" t="n">
        <v>1</v>
      </c>
      <c r="L294" s="15" t="n">
        <v>1</v>
      </c>
      <c r="M294" s="43" t="inlineStr">
        <is>
          <t>Loss</t>
        </is>
      </c>
      <c r="N294" s="17">
        <f>IF(M294="Win",IF(F294="Bet",(I294-1)*K294,K294),IF(M294="Loss",IF(F294="Bet",-K294,-(I294-1)*K294),IF(M294="Void",0,"")))</f>
        <v/>
      </c>
      <c r="O294" s="18">
        <f>IF(OR(M294="Win",M294="Loss"),IF(F294="Bet",K294,(I294-1)*K294),"")</f>
        <v/>
      </c>
    </row>
    <row r="295">
      <c r="A295" s="44" t="n">
        <v>46289</v>
      </c>
      <c r="B295" s="45" t="inlineStr">
        <is>
          <t>Hawkesbury</t>
        </is>
      </c>
      <c r="C295" s="21" t="n">
        <v>4</v>
      </c>
      <c r="D295" s="21" t="n">
        <v>1</v>
      </c>
      <c r="E295" s="20" t="inlineStr">
        <is>
          <t>Force March</t>
        </is>
      </c>
      <c r="F295" s="46" t="inlineStr">
        <is>
          <t>Lay</t>
        </is>
      </c>
      <c r="G295" s="47" t="inlineStr">
        <is>
          <t>Lay</t>
        </is>
      </c>
      <c r="H295" s="48" t="n">
        <v>5.1</v>
      </c>
      <c r="I295" s="48" t="n">
        <v>3.9</v>
      </c>
      <c r="J295" s="22" t="n">
        <v>-0.0606</v>
      </c>
      <c r="K295" s="49" t="n">
        <v>1</v>
      </c>
      <c r="L295" s="21" t="n"/>
      <c r="M295" s="55" t="inlineStr">
        <is>
          <t>Void</t>
        </is>
      </c>
      <c r="N295" s="23">
        <f>IF(M295="Win",IF(F295="Bet",(I295-1)*K295,K295),IF(M295="Loss",IF(F295="Bet",-K295,-(I295-1)*K295),IF(M295="Void",0,"")))</f>
        <v/>
      </c>
      <c r="O295" s="24">
        <f>IF(OR(M295="Win",M295="Loss"),IF(F295="Bet",K295,(I295-1)*K295),"")</f>
        <v/>
      </c>
    </row>
    <row r="296">
      <c r="A296" s="37" t="n">
        <v>46289</v>
      </c>
      <c r="B296" s="38" t="inlineStr">
        <is>
          <t>Moe</t>
        </is>
      </c>
      <c r="C296" s="15" t="n">
        <v>1</v>
      </c>
      <c r="D296" s="15" t="n">
        <v>8</v>
      </c>
      <c r="E296" s="14" t="inlineStr">
        <is>
          <t>Churchillena</t>
        </is>
      </c>
      <c r="F296" s="43" t="inlineStr">
        <is>
          <t>Lay</t>
        </is>
      </c>
      <c r="G296" s="47" t="inlineStr">
        <is>
          <t>Lay</t>
        </is>
      </c>
      <c r="H296" s="41" t="n">
        <v>7.1</v>
      </c>
      <c r="I296" s="41" t="n">
        <v>4.5</v>
      </c>
      <c r="J296" s="16" t="n">
        <v>-0.0809</v>
      </c>
      <c r="K296" s="42" t="n">
        <v>1</v>
      </c>
      <c r="L296" s="15" t="n">
        <v>8</v>
      </c>
      <c r="M296" s="51" t="inlineStr">
        <is>
          <t>Win</t>
        </is>
      </c>
      <c r="N296" s="17">
        <f>IF(M296="Win",IF(F296="Bet",(I296-1)*K296,K296),IF(M296="Loss",IF(F296="Bet",-K296,-(I296-1)*K296),IF(M296="Void",0,"")))</f>
        <v/>
      </c>
      <c r="O296" s="18">
        <f>IF(OR(M296="Win",M296="Loss"),IF(F296="Bet",K296,(I296-1)*K296),"")</f>
        <v/>
      </c>
    </row>
    <row r="297">
      <c r="A297" s="44" t="n">
        <v>46289</v>
      </c>
      <c r="B297" s="45" t="inlineStr">
        <is>
          <t>Hawkesbury</t>
        </is>
      </c>
      <c r="C297" s="21" t="n">
        <v>3</v>
      </c>
      <c r="D297" s="21" t="n">
        <v>10</v>
      </c>
      <c r="E297" s="20" t="inlineStr">
        <is>
          <t>True Tone</t>
        </is>
      </c>
      <c r="F297" s="46" t="inlineStr">
        <is>
          <t>Lay</t>
        </is>
      </c>
      <c r="G297" s="47" t="inlineStr">
        <is>
          <t>Lay</t>
        </is>
      </c>
      <c r="H297" s="48" t="n">
        <v>1.9</v>
      </c>
      <c r="I297" s="48" t="n">
        <v>1.41</v>
      </c>
      <c r="J297" s="22" t="n">
        <v>-0.1204</v>
      </c>
      <c r="K297" s="49" t="n">
        <v>1</v>
      </c>
      <c r="L297" s="21" t="n">
        <v>2</v>
      </c>
      <c r="M297" s="50" t="inlineStr">
        <is>
          <t>Win</t>
        </is>
      </c>
      <c r="N297" s="23">
        <f>IF(M297="Win",IF(F297="Bet",(I297-1)*K297,K297),IF(M297="Loss",IF(F297="Bet",-K297,-(I297-1)*K297),IF(M297="Void",0,"")))</f>
        <v/>
      </c>
      <c r="O297" s="24">
        <f>IF(OR(M297="Win",M297="Loss"),IF(F297="Bet",K297,(I297-1)*K297),"")</f>
        <v/>
      </c>
    </row>
    <row r="298">
      <c r="A298" s="37" t="n">
        <v>46289</v>
      </c>
      <c r="B298" s="38" t="inlineStr">
        <is>
          <t>Moe</t>
        </is>
      </c>
      <c r="C298" s="15" t="n">
        <v>8</v>
      </c>
      <c r="D298" s="15" t="n">
        <v>6</v>
      </c>
      <c r="E298" s="14" t="inlineStr">
        <is>
          <t>Russian Front</t>
        </is>
      </c>
      <c r="F298" s="43" t="inlineStr">
        <is>
          <t>Lay</t>
        </is>
      </c>
      <c r="G298" s="47" t="inlineStr">
        <is>
          <t>Lay</t>
        </is>
      </c>
      <c r="H298" s="41" t="n">
        <v>3.5</v>
      </c>
      <c r="I298" s="41" t="n">
        <v>2.85</v>
      </c>
      <c r="J298" s="16" t="n">
        <v>-0.062</v>
      </c>
      <c r="K298" s="42" t="n">
        <v>1</v>
      </c>
      <c r="L298" s="15" t="n">
        <v>4</v>
      </c>
      <c r="M298" s="51" t="inlineStr">
        <is>
          <t>Win</t>
        </is>
      </c>
      <c r="N298" s="17">
        <f>IF(M298="Win",IF(F298="Bet",(I298-1)*K298,K298),IF(M298="Loss",IF(F298="Bet",-K298,-(I298-1)*K298),IF(M298="Void",0,"")))</f>
        <v/>
      </c>
      <c r="O298" s="18">
        <f>IF(OR(M298="Win",M298="Loss"),IF(F298="Bet",K298,(I298-1)*K298),"")</f>
        <v/>
      </c>
    </row>
    <row r="299">
      <c r="A299" s="44" t="n">
        <v>46289</v>
      </c>
      <c r="B299" s="45" t="inlineStr">
        <is>
          <t>Warwick</t>
        </is>
      </c>
      <c r="C299" s="21" t="n">
        <v>3</v>
      </c>
      <c r="D299" s="21" t="n">
        <v>6</v>
      </c>
      <c r="E299" s="20" t="inlineStr">
        <is>
          <t>Worthy Stunnah</t>
        </is>
      </c>
      <c r="F299" s="46" t="inlineStr">
        <is>
          <t>Lay</t>
        </is>
      </c>
      <c r="G299" s="47" t="inlineStr">
        <is>
          <t>Lay</t>
        </is>
      </c>
      <c r="H299" s="48" t="n">
        <v>3.4</v>
      </c>
      <c r="I299" s="48" t="n">
        <v>2.61</v>
      </c>
      <c r="J299" s="22" t="n">
        <v>-0.0712</v>
      </c>
      <c r="K299" s="49" t="n">
        <v>1</v>
      </c>
      <c r="L299" s="21" t="n">
        <v>2</v>
      </c>
      <c r="M299" s="50" t="inlineStr">
        <is>
          <t>Win</t>
        </is>
      </c>
      <c r="N299" s="23">
        <f>IF(M299="Win",IF(F299="Bet",(I299-1)*K299,K299),IF(M299="Loss",IF(F299="Bet",-K299,-(I299-1)*K299),IF(M299="Void",0,"")))</f>
        <v/>
      </c>
      <c r="O299" s="24">
        <f>IF(OR(M299="Win",M299="Loss"),IF(F299="Bet",K299,(I299-1)*K299),"")</f>
        <v/>
      </c>
    </row>
    <row r="300">
      <c r="A300" s="37" t="n">
        <v>46289</v>
      </c>
      <c r="B300" s="38" t="inlineStr">
        <is>
          <t>Warwick</t>
        </is>
      </c>
      <c r="C300" s="15" t="n">
        <v>3</v>
      </c>
      <c r="D300" s="15" t="n">
        <v>5</v>
      </c>
      <c r="E300" s="14" t="inlineStr">
        <is>
          <t>Testy Nic</t>
        </is>
      </c>
      <c r="F300" s="43" t="inlineStr">
        <is>
          <t>Lay</t>
        </is>
      </c>
      <c r="G300" s="47" t="inlineStr">
        <is>
          <t>Lay</t>
        </is>
      </c>
      <c r="H300" s="41" t="n">
        <v>2.4</v>
      </c>
      <c r="I300" s="41" t="n">
        <v>2.08</v>
      </c>
      <c r="J300" s="16" t="n">
        <v>-0.065</v>
      </c>
      <c r="K300" s="42" t="n">
        <v>1</v>
      </c>
      <c r="L300" s="15" t="n">
        <v>4</v>
      </c>
      <c r="M300" s="51" t="inlineStr">
        <is>
          <t>Win</t>
        </is>
      </c>
      <c r="N300" s="17">
        <f>IF(M300="Win",IF(F300="Bet",(I300-1)*K300,K300),IF(M300="Loss",IF(F300="Bet",-K300,-(I300-1)*K300),IF(M300="Void",0,"")))</f>
        <v/>
      </c>
      <c r="O300" s="18">
        <f>IF(OR(M300="Win",M300="Loss"),IF(F300="Bet",K300,(I300-1)*K300),"")</f>
        <v/>
      </c>
    </row>
    <row r="301">
      <c r="A301" s="44" t="n">
        <v>46289</v>
      </c>
      <c r="B301" s="45" t="inlineStr">
        <is>
          <t>Warwick</t>
        </is>
      </c>
      <c r="C301" s="21" t="n">
        <v>4</v>
      </c>
      <c r="D301" s="21" t="n">
        <v>2</v>
      </c>
      <c r="E301" s="20" t="inlineStr">
        <is>
          <t>Over The Louvre</t>
        </is>
      </c>
      <c r="F301" s="46" t="inlineStr">
        <is>
          <t>Lay</t>
        </is>
      </c>
      <c r="G301" s="47" t="inlineStr">
        <is>
          <t>Lay</t>
        </is>
      </c>
      <c r="H301" s="48" t="n">
        <v>8.5</v>
      </c>
      <c r="I301" s="48" t="n">
        <v>5</v>
      </c>
      <c r="J301" s="22" t="n">
        <v>-0.0635</v>
      </c>
      <c r="K301" s="49" t="n">
        <v>1</v>
      </c>
      <c r="L301" s="21" t="n">
        <v>4</v>
      </c>
      <c r="M301" s="50" t="inlineStr">
        <is>
          <t>Win</t>
        </is>
      </c>
      <c r="N301" s="23">
        <f>IF(M301="Win",IF(F301="Bet",(I301-1)*K301,K301),IF(M301="Loss",IF(F301="Bet",-K301,-(I301-1)*K301),IF(M301="Void",0,"")))</f>
        <v/>
      </c>
      <c r="O301" s="24">
        <f>IF(OR(M301="Win",M301="Loss"),IF(F301="Bet",K301,(I301-1)*K301),"")</f>
        <v/>
      </c>
    </row>
    <row r="302">
      <c r="A302" s="37" t="n">
        <v>46289</v>
      </c>
      <c r="B302" s="38" t="inlineStr">
        <is>
          <t>Goulburn</t>
        </is>
      </c>
      <c r="C302" s="15" t="n">
        <v>3</v>
      </c>
      <c r="D302" s="15" t="n">
        <v>5</v>
      </c>
      <c r="E302" s="14" t="inlineStr">
        <is>
          <t>Daylite</t>
        </is>
      </c>
      <c r="F302" s="43" t="inlineStr">
        <is>
          <t>Lay</t>
        </is>
      </c>
      <c r="G302" s="47" t="inlineStr">
        <is>
          <t>Lay</t>
        </is>
      </c>
      <c r="H302" s="41" t="n">
        <v>9.9</v>
      </c>
      <c r="I302" s="41" t="n">
        <v>4.8</v>
      </c>
      <c r="J302" s="16" t="n">
        <v>-0.0601</v>
      </c>
      <c r="K302" s="42" t="n">
        <v>1</v>
      </c>
      <c r="L302" s="15" t="n">
        <v>6</v>
      </c>
      <c r="M302" s="51" t="inlineStr">
        <is>
          <t>Win</t>
        </is>
      </c>
      <c r="N302" s="17">
        <f>IF(M302="Win",IF(F302="Bet",(I302-1)*K302,K302),IF(M302="Loss",IF(F302="Bet",-K302,-(I302-1)*K302),IF(M302="Void",0,"")))</f>
        <v/>
      </c>
      <c r="O302" s="18">
        <f>IF(OR(M302="Win",M302="Loss"),IF(F302="Bet",K302,(I302-1)*K302),"")</f>
        <v/>
      </c>
    </row>
    <row r="303">
      <c r="A303" s="44" t="n">
        <v>46289</v>
      </c>
      <c r="B303" s="45" t="inlineStr">
        <is>
          <t>Warwick</t>
        </is>
      </c>
      <c r="C303" s="21" t="n">
        <v>4</v>
      </c>
      <c r="D303" s="21" t="n">
        <v>9</v>
      </c>
      <c r="E303" s="20" t="inlineStr">
        <is>
          <t>Mishani Senorita</t>
        </is>
      </c>
      <c r="F303" s="46" t="inlineStr">
        <is>
          <t>Lay</t>
        </is>
      </c>
      <c r="G303" s="47" t="inlineStr">
        <is>
          <t>Lay</t>
        </is>
      </c>
      <c r="H303" s="48" t="n">
        <v>5.9</v>
      </c>
      <c r="I303" s="48" t="n">
        <v>4</v>
      </c>
      <c r="J303" s="22" t="n">
        <v>-0.0623</v>
      </c>
      <c r="K303" s="49" t="n">
        <v>1</v>
      </c>
      <c r="L303" s="21" t="n">
        <v>3</v>
      </c>
      <c r="M303" s="50" t="inlineStr">
        <is>
          <t>Win</t>
        </is>
      </c>
      <c r="N303" s="23">
        <f>IF(M303="Win",IF(F303="Bet",(I303-1)*K303,K303),IF(M303="Loss",IF(F303="Bet",-K303,-(I303-1)*K303),IF(M303="Void",0,"")))</f>
        <v/>
      </c>
      <c r="O303" s="24">
        <f>IF(OR(M303="Win",M303="Loss"),IF(F303="Bet",K303,(I303-1)*K303),"")</f>
        <v/>
      </c>
    </row>
    <row r="304">
      <c r="A304" s="37" t="n">
        <v>46289</v>
      </c>
      <c r="B304" s="38" t="inlineStr">
        <is>
          <t>Moe</t>
        </is>
      </c>
      <c r="C304" s="15" t="n">
        <v>7</v>
      </c>
      <c r="D304" s="15" t="n">
        <v>7</v>
      </c>
      <c r="E304" s="14" t="inlineStr">
        <is>
          <t>Dirty Diana</t>
        </is>
      </c>
      <c r="F304" s="43" t="inlineStr">
        <is>
          <t>Lay</t>
        </is>
      </c>
      <c r="G304" s="47" t="inlineStr">
        <is>
          <t>Lay</t>
        </is>
      </c>
      <c r="H304" s="41" t="n">
        <v>4.1</v>
      </c>
      <c r="I304" s="41" t="n">
        <v>3.25</v>
      </c>
      <c r="J304" s="16" t="n">
        <v>-0.0655</v>
      </c>
      <c r="K304" s="42" t="n">
        <v>1</v>
      </c>
      <c r="L304" s="15" t="n">
        <v>3</v>
      </c>
      <c r="M304" s="51" t="inlineStr">
        <is>
          <t>Win</t>
        </is>
      </c>
      <c r="N304" s="17">
        <f>IF(M304="Win",IF(F304="Bet",(I304-1)*K304,K304),IF(M304="Loss",IF(F304="Bet",-K304,-(I304-1)*K304),IF(M304="Void",0,"")))</f>
        <v/>
      </c>
      <c r="O304" s="18">
        <f>IF(OR(M304="Win",M304="Loss"),IF(F304="Bet",K304,(I304-1)*K304),"")</f>
        <v/>
      </c>
    </row>
    <row r="305">
      <c r="A305" s="44" t="n">
        <v>46289</v>
      </c>
      <c r="B305" s="45" t="inlineStr">
        <is>
          <t>Goulburn</t>
        </is>
      </c>
      <c r="C305" s="21" t="n">
        <v>4</v>
      </c>
      <c r="D305" s="21" t="n">
        <v>4</v>
      </c>
      <c r="E305" s="20" t="inlineStr">
        <is>
          <t>Wolf Island</t>
        </is>
      </c>
      <c r="F305" s="46" t="inlineStr">
        <is>
          <t>Lay</t>
        </is>
      </c>
      <c r="G305" s="47" t="inlineStr">
        <is>
          <t>Lay</t>
        </is>
      </c>
      <c r="H305" s="48" t="n">
        <v>5</v>
      </c>
      <c r="I305" s="48" t="n">
        <v>3.5</v>
      </c>
      <c r="J305" s="22" t="n">
        <v>-0.0712</v>
      </c>
      <c r="K305" s="49" t="n">
        <v>1</v>
      </c>
      <c r="L305" s="21" t="n">
        <v>1</v>
      </c>
      <c r="M305" s="46" t="inlineStr">
        <is>
          <t>Loss</t>
        </is>
      </c>
      <c r="N305" s="23">
        <f>IF(M305="Win",IF(F305="Bet",(I305-1)*K305,K305),IF(M305="Loss",IF(F305="Bet",-K305,-(I305-1)*K305),IF(M305="Void",0,"")))</f>
        <v/>
      </c>
      <c r="O305" s="24">
        <f>IF(OR(M305="Win",M305="Loss"),IF(F305="Bet",K305,(I305-1)*K305),"")</f>
        <v/>
      </c>
    </row>
    <row r="306">
      <c r="A306" s="37" t="n">
        <v>46289</v>
      </c>
      <c r="B306" s="38" t="inlineStr">
        <is>
          <t>Hawkesbury</t>
        </is>
      </c>
      <c r="C306" s="15" t="n">
        <v>5</v>
      </c>
      <c r="D306" s="15" t="n">
        <v>4</v>
      </c>
      <c r="E306" s="14" t="inlineStr">
        <is>
          <t>Andron</t>
        </is>
      </c>
      <c r="F306" s="43" t="inlineStr">
        <is>
          <t>Lay</t>
        </is>
      </c>
      <c r="G306" s="47" t="inlineStr">
        <is>
          <t>Lay</t>
        </is>
      </c>
      <c r="H306" s="41" t="n">
        <v>7.2</v>
      </c>
      <c r="I306" s="41" t="n">
        <v>4.12</v>
      </c>
      <c r="J306" s="16" t="n">
        <v>-0.0613</v>
      </c>
      <c r="K306" s="42" t="n">
        <v>1</v>
      </c>
      <c r="L306" s="15" t="n">
        <v>1</v>
      </c>
      <c r="M306" s="43" t="inlineStr">
        <is>
          <t>Loss</t>
        </is>
      </c>
      <c r="N306" s="17">
        <f>IF(M306="Win",IF(F306="Bet",(I306-1)*K306,K306),IF(M306="Loss",IF(F306="Bet",-K306,-(I306-1)*K306),IF(M306="Void",0,"")))</f>
        <v/>
      </c>
      <c r="O306" s="18">
        <f>IF(OR(M306="Win",M306="Loss"),IF(F306="Bet",K306,(I306-1)*K306),"")</f>
        <v/>
      </c>
    </row>
    <row r="307">
      <c r="A307" s="44" t="n">
        <v>46289</v>
      </c>
      <c r="B307" s="45" t="inlineStr">
        <is>
          <t>Warwick</t>
        </is>
      </c>
      <c r="C307" s="21" t="n">
        <v>7</v>
      </c>
      <c r="D307" s="21" t="n">
        <v>3</v>
      </c>
      <c r="E307" s="20" t="inlineStr">
        <is>
          <t>Odin's Mount</t>
        </is>
      </c>
      <c r="F307" s="46" t="inlineStr">
        <is>
          <t>Lay</t>
        </is>
      </c>
      <c r="G307" s="47" t="inlineStr">
        <is>
          <t>Lay</t>
        </is>
      </c>
      <c r="H307" s="48" t="n">
        <v>6.5</v>
      </c>
      <c r="I307" s="48" t="n">
        <v>3.53</v>
      </c>
      <c r="J307" s="22" t="n">
        <v>-0.0694</v>
      </c>
      <c r="K307" s="49" t="n">
        <v>1</v>
      </c>
      <c r="L307" s="21" t="n">
        <v>1</v>
      </c>
      <c r="M307" s="46" t="inlineStr">
        <is>
          <t>Loss</t>
        </is>
      </c>
      <c r="N307" s="23">
        <f>IF(M307="Win",IF(F307="Bet",(I307-1)*K307,K307),IF(M307="Loss",IF(F307="Bet",-K307,-(I307-1)*K307),IF(M307="Void",0,"")))</f>
        <v/>
      </c>
      <c r="O307" s="24">
        <f>IF(OR(M307="Win",M307="Loss"),IF(F307="Bet",K307,(I307-1)*K307),"")</f>
        <v/>
      </c>
    </row>
    <row r="308">
      <c r="A308" s="37" t="n">
        <v>46289</v>
      </c>
      <c r="B308" s="38" t="inlineStr">
        <is>
          <t>Moe</t>
        </is>
      </c>
      <c r="C308" s="15" t="n">
        <v>8</v>
      </c>
      <c r="D308" s="15" t="n">
        <v>4</v>
      </c>
      <c r="E308" s="14" t="inlineStr">
        <is>
          <t>Ranakye</t>
        </is>
      </c>
      <c r="F308" s="43" t="inlineStr">
        <is>
          <t>Lay</t>
        </is>
      </c>
      <c r="G308" s="47" t="inlineStr">
        <is>
          <t>Lay</t>
        </is>
      </c>
      <c r="H308" s="41" t="n">
        <v>8.699999999999999</v>
      </c>
      <c r="I308" s="41" t="n">
        <v>5.1</v>
      </c>
      <c r="J308" s="16" t="n">
        <v>-0.06370000000000001</v>
      </c>
      <c r="K308" s="42" t="n">
        <v>1</v>
      </c>
      <c r="L308" s="15" t="n">
        <v>7</v>
      </c>
      <c r="M308" s="51" t="inlineStr">
        <is>
          <t>Win</t>
        </is>
      </c>
      <c r="N308" s="17">
        <f>IF(M308="Win",IF(F308="Bet",(I308-1)*K308,K308),IF(M308="Loss",IF(F308="Bet",-K308,-(I308-1)*K308),IF(M308="Void",0,"")))</f>
        <v/>
      </c>
      <c r="O308" s="18">
        <f>IF(OR(M308="Win",M308="Loss"),IF(F308="Bet",K308,(I308-1)*K308),"")</f>
        <v/>
      </c>
    </row>
    <row r="309">
      <c r="A309" s="44" t="n">
        <v>46290</v>
      </c>
      <c r="B309" s="45" t="inlineStr">
        <is>
          <t>Lismore</t>
        </is>
      </c>
      <c r="C309" s="21" t="n">
        <v>6</v>
      </c>
      <c r="D309" s="21" t="n">
        <v>5</v>
      </c>
      <c r="E309" s="20" t="inlineStr">
        <is>
          <t>Profiteur's Fil</t>
        </is>
      </c>
      <c r="F309" s="46" t="inlineStr">
        <is>
          <t>Lay</t>
        </is>
      </c>
      <c r="G309" s="47" t="inlineStr">
        <is>
          <t>Lay</t>
        </is>
      </c>
      <c r="H309" s="48" t="n">
        <v>2.7</v>
      </c>
      <c r="I309" s="48" t="n">
        <v>1.41</v>
      </c>
      <c r="J309" s="22" t="n">
        <v>-0.0653</v>
      </c>
      <c r="K309" s="49" t="n">
        <v>1</v>
      </c>
      <c r="L309" s="21" t="n">
        <v>2</v>
      </c>
      <c r="M309" s="50" t="inlineStr">
        <is>
          <t>Win</t>
        </is>
      </c>
      <c r="N309" s="23">
        <f>IF(M309="Win",IF(F309="Bet",(I309-1)*K309,K309),IF(M309="Loss",IF(F309="Bet",-K309,-(I309-1)*K309),IF(M309="Void",0,"")))</f>
        <v/>
      </c>
      <c r="O309" s="24">
        <f>IF(OR(M309="Win",M309="Loss"),IF(F309="Bet",K309,(I309-1)*K309),"")</f>
        <v/>
      </c>
    </row>
    <row r="310">
      <c r="A310" s="37" t="n">
        <v>46290</v>
      </c>
      <c r="B310" s="38" t="inlineStr">
        <is>
          <t>Lismore</t>
        </is>
      </c>
      <c r="C310" s="15" t="n">
        <v>3</v>
      </c>
      <c r="D310" s="15" t="n">
        <v>2</v>
      </c>
      <c r="E310" s="14" t="inlineStr">
        <is>
          <t>Spicy Wings</t>
        </is>
      </c>
      <c r="F310" s="43" t="inlineStr">
        <is>
          <t>Lay</t>
        </is>
      </c>
      <c r="G310" s="47" t="inlineStr">
        <is>
          <t>Lay</t>
        </is>
      </c>
      <c r="H310" s="41" t="n">
        <v>5.9</v>
      </c>
      <c r="I310" s="41" t="n">
        <v>4.3</v>
      </c>
      <c r="J310" s="16" t="n">
        <v>-0.0636</v>
      </c>
      <c r="K310" s="42" t="n">
        <v>1</v>
      </c>
      <c r="L310" s="15" t="n">
        <v>6</v>
      </c>
      <c r="M310" s="51" t="inlineStr">
        <is>
          <t>Win</t>
        </is>
      </c>
      <c r="N310" s="17">
        <f>IF(M310="Win",IF(F310="Bet",(I310-1)*K310,K310),IF(M310="Loss",IF(F310="Bet",-K310,-(I310-1)*K310),IF(M310="Void",0,"")))</f>
        <v/>
      </c>
      <c r="O310" s="18">
        <f>IF(OR(M310="Win",M310="Loss"),IF(F310="Bet",K310,(I310-1)*K310),"")</f>
        <v/>
      </c>
    </row>
    <row r="311">
      <c r="A311" s="44" t="n">
        <v>46290</v>
      </c>
      <c r="B311" s="45" t="inlineStr">
        <is>
          <t>Launceston</t>
        </is>
      </c>
      <c r="C311" s="21" t="n">
        <v>1</v>
      </c>
      <c r="D311" s="21" t="n">
        <v>2</v>
      </c>
      <c r="E311" s="20" t="inlineStr">
        <is>
          <t>Wolf Junior</t>
        </is>
      </c>
      <c r="F311" s="46" t="inlineStr">
        <is>
          <t>Lay</t>
        </is>
      </c>
      <c r="G311" s="47" t="inlineStr">
        <is>
          <t>Lay</t>
        </is>
      </c>
      <c r="H311" s="48" t="n">
        <v>3</v>
      </c>
      <c r="I311" s="48" t="n">
        <v>2.04</v>
      </c>
      <c r="J311" s="22" t="n">
        <v>-0.0867</v>
      </c>
      <c r="K311" s="49" t="n">
        <v>1</v>
      </c>
      <c r="L311" s="21" t="n">
        <v>2</v>
      </c>
      <c r="M311" s="50" t="inlineStr">
        <is>
          <t>Win</t>
        </is>
      </c>
      <c r="N311" s="23">
        <f>IF(M311="Win",IF(F311="Bet",(I311-1)*K311,K311),IF(M311="Loss",IF(F311="Bet",-K311,-(I311-1)*K311),IF(M311="Void",0,"")))</f>
        <v/>
      </c>
      <c r="O311" s="24">
        <f>IF(OR(M311="Win",M311="Loss"),IF(F311="Bet",K311,(I311-1)*K311),"")</f>
        <v/>
      </c>
    </row>
    <row r="312">
      <c r="A312" s="37" t="n">
        <v>46290</v>
      </c>
      <c r="B312" s="38" t="inlineStr">
        <is>
          <t>Launceston</t>
        </is>
      </c>
      <c r="C312" s="15" t="n">
        <v>4</v>
      </c>
      <c r="D312" s="15" t="n">
        <v>3</v>
      </c>
      <c r="E312" s="14" t="inlineStr">
        <is>
          <t>Who's In Dev</t>
        </is>
      </c>
      <c r="F312" s="43" t="inlineStr">
        <is>
          <t>Lay</t>
        </is>
      </c>
      <c r="G312" s="47" t="inlineStr">
        <is>
          <t>Lay</t>
        </is>
      </c>
      <c r="H312" s="41" t="n">
        <v>3.1</v>
      </c>
      <c r="I312" s="41" t="n">
        <v>2.2</v>
      </c>
      <c r="J312" s="16" t="n">
        <v>-0.0761</v>
      </c>
      <c r="K312" s="42" t="n">
        <v>1</v>
      </c>
      <c r="L312" s="15" t="n">
        <v>7</v>
      </c>
      <c r="M312" s="51" t="inlineStr">
        <is>
          <t>Win</t>
        </is>
      </c>
      <c r="N312" s="17">
        <f>IF(M312="Win",IF(F312="Bet",(I312-1)*K312,K312),IF(M312="Loss",IF(F312="Bet",-K312,-(I312-1)*K312),IF(M312="Void",0,"")))</f>
        <v/>
      </c>
      <c r="O312" s="18">
        <f>IF(OR(M312="Win",M312="Loss"),IF(F312="Bet",K312,(I312-1)*K312),"")</f>
        <v/>
      </c>
    </row>
    <row r="313">
      <c r="A313" s="44" t="n">
        <v>46290</v>
      </c>
      <c r="B313" s="45" t="inlineStr">
        <is>
          <t>Launceston</t>
        </is>
      </c>
      <c r="C313" s="21" t="n">
        <v>5</v>
      </c>
      <c r="D313" s="21" t="n">
        <v>7</v>
      </c>
      <c r="E313" s="20" t="inlineStr">
        <is>
          <t>Outsidethesquare</t>
        </is>
      </c>
      <c r="F313" s="46" t="inlineStr">
        <is>
          <t>Lay</t>
        </is>
      </c>
      <c r="G313" s="47" t="inlineStr">
        <is>
          <t>Lay</t>
        </is>
      </c>
      <c r="H313" s="48" t="n">
        <v>4.3</v>
      </c>
      <c r="I313" s="48" t="n">
        <v>2.9</v>
      </c>
      <c r="J313" s="22" t="n">
        <v>-0.0617</v>
      </c>
      <c r="K313" s="49" t="n">
        <v>1</v>
      </c>
      <c r="L313" s="21" t="n">
        <v>3</v>
      </c>
      <c r="M313" s="50" t="inlineStr">
        <is>
          <t>Win</t>
        </is>
      </c>
      <c r="N313" s="23">
        <f>IF(M313="Win",IF(F313="Bet",(I313-1)*K313,K313),IF(M313="Loss",IF(F313="Bet",-K313,-(I313-1)*K313),IF(M313="Void",0,"")))</f>
        <v/>
      </c>
      <c r="O313" s="24">
        <f>IF(OR(M313="Win",M313="Loss"),IF(F313="Bet",K313,(I313-1)*K313),"")</f>
        <v/>
      </c>
    </row>
    <row r="314">
      <c r="A314" s="37" t="n">
        <v>46290</v>
      </c>
      <c r="B314" s="38" t="inlineStr">
        <is>
          <t>Darwin</t>
        </is>
      </c>
      <c r="C314" s="15" t="n">
        <v>4</v>
      </c>
      <c r="D314" s="15" t="n">
        <v>5</v>
      </c>
      <c r="E314" s="14" t="inlineStr">
        <is>
          <t>Littlebourkestreet</t>
        </is>
      </c>
      <c r="F314" s="43" t="inlineStr">
        <is>
          <t>Lay</t>
        </is>
      </c>
      <c r="G314" s="47" t="inlineStr">
        <is>
          <t>Lay</t>
        </is>
      </c>
      <c r="H314" s="41" t="n">
        <v>2.7</v>
      </c>
      <c r="I314" s="41" t="n">
        <v>2.2</v>
      </c>
      <c r="J314" s="16" t="n">
        <v>-0.0767</v>
      </c>
      <c r="K314" s="42" t="n">
        <v>1</v>
      </c>
      <c r="L314" s="15" t="n">
        <v>1</v>
      </c>
      <c r="M314" s="43" t="inlineStr">
        <is>
          <t>Loss</t>
        </is>
      </c>
      <c r="N314" s="17">
        <f>IF(M314="Win",IF(F314="Bet",(I314-1)*K314,K314),IF(M314="Loss",IF(F314="Bet",-K314,-(I314-1)*K314),IF(M314="Void",0,"")))</f>
        <v/>
      </c>
      <c r="O314" s="18">
        <f>IF(OR(M314="Win",M314="Loss"),IF(F314="Bet",K314,(I314-1)*K314),"")</f>
        <v/>
      </c>
    </row>
    <row r="315">
      <c r="A315" s="44" t="n">
        <v>46290</v>
      </c>
      <c r="B315" s="45" t="inlineStr">
        <is>
          <t>Lismore</t>
        </is>
      </c>
      <c r="C315" s="21" t="n">
        <v>8</v>
      </c>
      <c r="D315" s="21" t="n">
        <v>12</v>
      </c>
      <c r="E315" s="20" t="inlineStr">
        <is>
          <t>Dance Gavin Dance</t>
        </is>
      </c>
      <c r="F315" s="46" t="inlineStr">
        <is>
          <t>Lay</t>
        </is>
      </c>
      <c r="G315" s="47" t="inlineStr">
        <is>
          <t>Lay</t>
        </is>
      </c>
      <c r="H315" s="48" t="n">
        <v>8.1</v>
      </c>
      <c r="I315" s="48" t="n">
        <v>5</v>
      </c>
      <c r="J315" s="22" t="n">
        <v>-0.0764</v>
      </c>
      <c r="K315" s="49" t="n">
        <v>1</v>
      </c>
      <c r="L315" s="21" t="n">
        <v>5</v>
      </c>
      <c r="M315" s="50" t="inlineStr">
        <is>
          <t>Win</t>
        </is>
      </c>
      <c r="N315" s="23">
        <f>IF(M315="Win",IF(F315="Bet",(I315-1)*K315,K315),IF(M315="Loss",IF(F315="Bet",-K315,-(I315-1)*K315),IF(M315="Void",0,"")))</f>
        <v/>
      </c>
      <c r="O315" s="24">
        <f>IF(OR(M315="Win",M315="Loss"),IF(F315="Bet",K315,(I315-1)*K315),"")</f>
        <v/>
      </c>
    </row>
    <row r="316">
      <c r="A316" s="37" t="n">
        <v>46290</v>
      </c>
      <c r="B316" s="38" t="inlineStr">
        <is>
          <t>Cranbourne</t>
        </is>
      </c>
      <c r="C316" s="15" t="n">
        <v>2</v>
      </c>
      <c r="D316" s="15" t="n">
        <v>10</v>
      </c>
      <c r="E316" s="14" t="inlineStr">
        <is>
          <t>Pinazaki</t>
        </is>
      </c>
      <c r="F316" s="43" t="inlineStr">
        <is>
          <t>Lay</t>
        </is>
      </c>
      <c r="G316" s="47" t="inlineStr">
        <is>
          <t>Lay</t>
        </is>
      </c>
      <c r="H316" s="41" t="n">
        <v>7.6</v>
      </c>
      <c r="I316" s="41" t="n">
        <v>3.7</v>
      </c>
      <c r="J316" s="16" t="n">
        <v>-0.06850000000000001</v>
      </c>
      <c r="K316" s="42" t="n">
        <v>1</v>
      </c>
      <c r="L316" s="15" t="n">
        <v>6</v>
      </c>
      <c r="M316" s="51" t="inlineStr">
        <is>
          <t>Win</t>
        </is>
      </c>
      <c r="N316" s="17">
        <f>IF(M316="Win",IF(F316="Bet",(I316-1)*K316,K316),IF(M316="Loss",IF(F316="Bet",-K316,-(I316-1)*K316),IF(M316="Void",0,"")))</f>
        <v/>
      </c>
      <c r="O316" s="18">
        <f>IF(OR(M316="Win",M316="Loss"),IF(F316="Bet",K316,(I316-1)*K316),"")</f>
        <v/>
      </c>
    </row>
    <row r="317">
      <c r="A317" s="44" t="n">
        <v>46290</v>
      </c>
      <c r="B317" s="45" t="inlineStr">
        <is>
          <t>Lismore</t>
        </is>
      </c>
      <c r="C317" s="21" t="n">
        <v>7</v>
      </c>
      <c r="D317" s="21" t="n">
        <v>3</v>
      </c>
      <c r="E317" s="20" t="inlineStr">
        <is>
          <t>Mickey's Medal</t>
        </is>
      </c>
      <c r="F317" s="46" t="inlineStr">
        <is>
          <t>Lay</t>
        </is>
      </c>
      <c r="G317" s="47" t="inlineStr">
        <is>
          <t>Lay</t>
        </is>
      </c>
      <c r="H317" s="48" t="n">
        <v>6.6</v>
      </c>
      <c r="I317" s="48" t="n">
        <v>4.7</v>
      </c>
      <c r="J317" s="22" t="n">
        <v>-0.0614</v>
      </c>
      <c r="K317" s="49" t="n">
        <v>1</v>
      </c>
      <c r="L317" s="21" t="n">
        <v>10</v>
      </c>
      <c r="M317" s="50" t="inlineStr">
        <is>
          <t>Win</t>
        </is>
      </c>
      <c r="N317" s="23">
        <f>IF(M317="Win",IF(F317="Bet",(I317-1)*K317,K317),IF(M317="Loss",IF(F317="Bet",-K317,-(I317-1)*K317),IF(M317="Void",0,"")))</f>
        <v/>
      </c>
      <c r="O317" s="24">
        <f>IF(OR(M317="Win",M317="Loss"),IF(F317="Bet",K317,(I317-1)*K317),"")</f>
        <v/>
      </c>
    </row>
    <row r="318">
      <c r="A318" s="37" t="n">
        <v>46290</v>
      </c>
      <c r="B318" s="38" t="inlineStr">
        <is>
          <t>Scone</t>
        </is>
      </c>
      <c r="C318" s="15" t="n">
        <v>1</v>
      </c>
      <c r="D318" s="15" t="n">
        <v>8</v>
      </c>
      <c r="E318" s="14" t="inlineStr">
        <is>
          <t>Spice Trail</t>
        </is>
      </c>
      <c r="F318" s="43" t="inlineStr">
        <is>
          <t>Lay</t>
        </is>
      </c>
      <c r="G318" s="47" t="inlineStr">
        <is>
          <t>Lay</t>
        </is>
      </c>
      <c r="H318" s="41" t="n">
        <v>4.8</v>
      </c>
      <c r="I318" s="41" t="n">
        <v>3.5</v>
      </c>
      <c r="J318" s="16" t="n">
        <v>-0.07770000000000001</v>
      </c>
      <c r="K318" s="42" t="n">
        <v>1</v>
      </c>
      <c r="L318" s="15" t="n">
        <v>7</v>
      </c>
      <c r="M318" s="51" t="inlineStr">
        <is>
          <t>Win</t>
        </is>
      </c>
      <c r="N318" s="17">
        <f>IF(M318="Win",IF(F318="Bet",(I318-1)*K318,K318),IF(M318="Loss",IF(F318="Bet",-K318,-(I318-1)*K318),IF(M318="Void",0,"")))</f>
        <v/>
      </c>
      <c r="O318" s="18">
        <f>IF(OR(M318="Win",M318="Loss"),IF(F318="Bet",K318,(I318-1)*K318),"")</f>
        <v/>
      </c>
    </row>
    <row r="319">
      <c r="A319" s="44" t="n">
        <v>46290</v>
      </c>
      <c r="B319" s="45" t="inlineStr">
        <is>
          <t>Sunshine Coast</t>
        </is>
      </c>
      <c r="C319" s="21" t="n">
        <v>5</v>
      </c>
      <c r="D319" s="21" t="n">
        <v>9</v>
      </c>
      <c r="E319" s="20" t="inlineStr">
        <is>
          <t>Divine Justice</t>
        </is>
      </c>
      <c r="F319" s="46" t="inlineStr">
        <is>
          <t>Lay</t>
        </is>
      </c>
      <c r="G319" s="47" t="inlineStr">
        <is>
          <t>Lay</t>
        </is>
      </c>
      <c r="H319" s="48" t="n">
        <v>4.3</v>
      </c>
      <c r="I319" s="48" t="n">
        <v>3.1</v>
      </c>
      <c r="J319" s="22" t="n">
        <v>-0.0664</v>
      </c>
      <c r="K319" s="49" t="n">
        <v>1</v>
      </c>
      <c r="L319" s="21" t="n">
        <v>1</v>
      </c>
      <c r="M319" s="46" t="inlineStr">
        <is>
          <t>Loss</t>
        </is>
      </c>
      <c r="N319" s="23">
        <f>IF(M319="Win",IF(F319="Bet",(I319-1)*K319,K319),IF(M319="Loss",IF(F319="Bet",-K319,-(I319-1)*K319),IF(M319="Void",0,"")))</f>
        <v/>
      </c>
      <c r="O319" s="24">
        <f>IF(OR(M319="Win",M319="Loss"),IF(F319="Bet",K319,(I319-1)*K319),"")</f>
        <v/>
      </c>
    </row>
    <row r="320">
      <c r="A320" s="37" t="n">
        <v>46290</v>
      </c>
      <c r="B320" s="38" t="inlineStr">
        <is>
          <t>Cranbourne</t>
        </is>
      </c>
      <c r="C320" s="15" t="n">
        <v>8</v>
      </c>
      <c r="D320" s="15" t="n">
        <v>3</v>
      </c>
      <c r="E320" s="14" t="inlineStr">
        <is>
          <t>Gold Chariot</t>
        </is>
      </c>
      <c r="F320" s="43" t="inlineStr">
        <is>
          <t>Lay</t>
        </is>
      </c>
      <c r="G320" s="47" t="inlineStr">
        <is>
          <t>Lay</t>
        </is>
      </c>
      <c r="H320" s="41" t="n">
        <v>2.45</v>
      </c>
      <c r="I320" s="41" t="n">
        <v>1.69</v>
      </c>
      <c r="J320" s="16" t="n">
        <v>-0.09710000000000001</v>
      </c>
      <c r="K320" s="42" t="n">
        <v>1</v>
      </c>
      <c r="L320" s="15" t="n">
        <v>7</v>
      </c>
      <c r="M320" s="51" t="inlineStr">
        <is>
          <t>Win</t>
        </is>
      </c>
      <c r="N320" s="17">
        <f>IF(M320="Win",IF(F320="Bet",(I320-1)*K320,K320),IF(M320="Loss",IF(F320="Bet",-K320,-(I320-1)*K320),IF(M320="Void",0,"")))</f>
        <v/>
      </c>
      <c r="O320" s="18">
        <f>IF(OR(M320="Win",M320="Loss"),IF(F320="Bet",K320,(I320-1)*K320),"")</f>
        <v/>
      </c>
    </row>
    <row r="321">
      <c r="A321" s="44" t="n">
        <v>46290</v>
      </c>
      <c r="B321" s="45" t="inlineStr">
        <is>
          <t>Cranbourne</t>
        </is>
      </c>
      <c r="C321" s="21" t="n">
        <v>7</v>
      </c>
      <c r="D321" s="21" t="n">
        <v>12</v>
      </c>
      <c r="E321" s="20" t="inlineStr">
        <is>
          <t>Dirty Look</t>
        </is>
      </c>
      <c r="F321" s="46" t="inlineStr">
        <is>
          <t>Lay</t>
        </is>
      </c>
      <c r="G321" s="47" t="inlineStr">
        <is>
          <t>Lay</t>
        </is>
      </c>
      <c r="H321" s="48" t="n">
        <v>2.3</v>
      </c>
      <c r="I321" s="48" t="n">
        <v>1.74</v>
      </c>
      <c r="J321" s="22" t="n">
        <v>-0.1323</v>
      </c>
      <c r="K321" s="49" t="n">
        <v>1</v>
      </c>
      <c r="L321" s="21" t="n">
        <v>1</v>
      </c>
      <c r="M321" s="46" t="inlineStr">
        <is>
          <t>Loss</t>
        </is>
      </c>
      <c r="N321" s="23">
        <f>IF(M321="Win",IF(F321="Bet",(I321-1)*K321,K321),IF(M321="Loss",IF(F321="Bet",-K321,-(I321-1)*K321),IF(M321="Void",0,"")))</f>
        <v/>
      </c>
      <c r="O321" s="24">
        <f>IF(OR(M321="Win",M321="Loss"),IF(F321="Bet",K321,(I321-1)*K321),"")</f>
        <v/>
      </c>
    </row>
    <row r="322">
      <c r="A322" s="37" t="n">
        <v>46290</v>
      </c>
      <c r="B322" s="38" t="inlineStr">
        <is>
          <t>Scone</t>
        </is>
      </c>
      <c r="C322" s="15" t="n">
        <v>3</v>
      </c>
      <c r="D322" s="15" t="n">
        <v>1</v>
      </c>
      <c r="E322" s="14" t="inlineStr">
        <is>
          <t>Magic Merlin</t>
        </is>
      </c>
      <c r="F322" s="43" t="inlineStr">
        <is>
          <t>Lay</t>
        </is>
      </c>
      <c r="G322" s="47" t="inlineStr">
        <is>
          <t>Lay</t>
        </is>
      </c>
      <c r="H322" s="41" t="n">
        <v>3.8</v>
      </c>
      <c r="I322" s="41" t="n">
        <v>2.8</v>
      </c>
      <c r="J322" s="16" t="n">
        <v>-0.08599999999999999</v>
      </c>
      <c r="K322" s="42" t="n">
        <v>1</v>
      </c>
      <c r="L322" s="15" t="n">
        <v>1</v>
      </c>
      <c r="M322" s="43" t="inlineStr">
        <is>
          <t>Loss</t>
        </is>
      </c>
      <c r="N322" s="17">
        <f>IF(M322="Win",IF(F322="Bet",(I322-1)*K322,K322),IF(M322="Loss",IF(F322="Bet",-K322,-(I322-1)*K322),IF(M322="Void",0,"")))</f>
        <v/>
      </c>
      <c r="O322" s="18">
        <f>IF(OR(M322="Win",M322="Loss"),IF(F322="Bet",K322,(I322-1)*K322),"")</f>
        <v/>
      </c>
    </row>
    <row r="323">
      <c r="A323" s="44" t="n">
        <v>46290</v>
      </c>
      <c r="B323" s="45" t="inlineStr">
        <is>
          <t>Sunshine Coast</t>
        </is>
      </c>
      <c r="C323" s="21" t="n">
        <v>1</v>
      </c>
      <c r="D323" s="21" t="n">
        <v>12</v>
      </c>
      <c r="E323" s="20" t="inlineStr">
        <is>
          <t>Sheza Boom</t>
        </is>
      </c>
      <c r="F323" s="46" t="inlineStr">
        <is>
          <t>Lay</t>
        </is>
      </c>
      <c r="G323" s="47" t="inlineStr">
        <is>
          <t>Lay</t>
        </is>
      </c>
      <c r="H323" s="48" t="n">
        <v>4.3</v>
      </c>
      <c r="I323" s="48" t="n">
        <v>2.87</v>
      </c>
      <c r="J323" s="22" t="n">
        <v>-0.09959999999999999</v>
      </c>
      <c r="K323" s="49" t="n">
        <v>1</v>
      </c>
      <c r="L323" s="21" t="n">
        <v>3</v>
      </c>
      <c r="M323" s="50" t="inlineStr">
        <is>
          <t>Win</t>
        </is>
      </c>
      <c r="N323" s="23">
        <f>IF(M323="Win",IF(F323="Bet",(I323-1)*K323,K323),IF(M323="Loss",IF(F323="Bet",-K323,-(I323-1)*K323),IF(M323="Void",0,"")))</f>
        <v/>
      </c>
      <c r="O323" s="24">
        <f>IF(OR(M323="Win",M323="Loss"),IF(F323="Bet",K323,(I323-1)*K323),"")</f>
        <v/>
      </c>
    </row>
    <row r="324">
      <c r="A324" s="37" t="n">
        <v>46290</v>
      </c>
      <c r="B324" s="38" t="inlineStr">
        <is>
          <t>Launceston</t>
        </is>
      </c>
      <c r="C324" s="15" t="n">
        <v>3</v>
      </c>
      <c r="D324" s="15" t="n">
        <v>8</v>
      </c>
      <c r="E324" s="14" t="inlineStr">
        <is>
          <t>Symphony Queen</t>
        </is>
      </c>
      <c r="F324" s="43" t="inlineStr">
        <is>
          <t>Lay</t>
        </is>
      </c>
      <c r="G324" s="47" t="inlineStr">
        <is>
          <t>Lay</t>
        </is>
      </c>
      <c r="H324" s="41" t="n">
        <v>3.7</v>
      </c>
      <c r="I324" s="41" t="n">
        <v>2.94</v>
      </c>
      <c r="J324" s="16" t="n">
        <v>-0.07049999999999999</v>
      </c>
      <c r="K324" s="42" t="n">
        <v>1</v>
      </c>
      <c r="L324" s="15" t="n">
        <v>6</v>
      </c>
      <c r="M324" s="51" t="inlineStr">
        <is>
          <t>Win</t>
        </is>
      </c>
      <c r="N324" s="17">
        <f>IF(M324="Win",IF(F324="Bet",(I324-1)*K324,K324),IF(M324="Loss",IF(F324="Bet",-K324,-(I324-1)*K324),IF(M324="Void",0,"")))</f>
        <v/>
      </c>
      <c r="O324" s="18">
        <f>IF(OR(M324="Win",M324="Loss"),IF(F324="Bet",K324,(I324-1)*K324),"")</f>
        <v/>
      </c>
    </row>
    <row r="325">
      <c r="A325" s="44" t="n">
        <v>46290</v>
      </c>
      <c r="B325" s="45" t="inlineStr">
        <is>
          <t>Ewan</t>
        </is>
      </c>
      <c r="C325" s="21" t="n">
        <v>4</v>
      </c>
      <c r="D325" s="21" t="n">
        <v>4</v>
      </c>
      <c r="E325" s="20" t="inlineStr">
        <is>
          <t>Rock The Sunrise</t>
        </is>
      </c>
      <c r="F325" s="46" t="inlineStr">
        <is>
          <t>Lay</t>
        </is>
      </c>
      <c r="G325" s="47" t="inlineStr">
        <is>
          <t>Lay</t>
        </is>
      </c>
      <c r="H325" s="48" t="n">
        <v>3.3</v>
      </c>
      <c r="I325" s="48" t="n">
        <v>2.7</v>
      </c>
      <c r="J325" s="22" t="n">
        <v>-0.0672</v>
      </c>
      <c r="K325" s="49" t="n">
        <v>1</v>
      </c>
      <c r="L325" s="21" t="n">
        <v>1</v>
      </c>
      <c r="M325" s="46" t="inlineStr">
        <is>
          <t>Loss</t>
        </is>
      </c>
      <c r="N325" s="23">
        <f>IF(M325="Win",IF(F325="Bet",(I325-1)*K325,K325),IF(M325="Loss",IF(F325="Bet",-K325,-(I325-1)*K325),IF(M325="Void",0,"")))</f>
        <v/>
      </c>
      <c r="O325" s="24">
        <f>IF(OR(M325="Win",M325="Loss"),IF(F325="Bet",K325,(I325-1)*K325),"")</f>
        <v/>
      </c>
    </row>
    <row r="326">
      <c r="A326" s="37" t="n">
        <v>46290</v>
      </c>
      <c r="B326" s="38" t="inlineStr">
        <is>
          <t>Lismore</t>
        </is>
      </c>
      <c r="C326" s="15" t="n">
        <v>1</v>
      </c>
      <c r="D326" s="15" t="n">
        <v>2</v>
      </c>
      <c r="E326" s="14" t="inlineStr">
        <is>
          <t>Sarmat</t>
        </is>
      </c>
      <c r="F326" s="43" t="inlineStr">
        <is>
          <t>Lay</t>
        </is>
      </c>
      <c r="G326" s="47" t="inlineStr">
        <is>
          <t>Lay</t>
        </is>
      </c>
      <c r="H326" s="41" t="n">
        <v>2.65</v>
      </c>
      <c r="I326" s="41" t="n">
        <v>2.06</v>
      </c>
      <c r="J326" s="16" t="n">
        <v>-0.06569999999999999</v>
      </c>
      <c r="K326" s="42" t="n">
        <v>1</v>
      </c>
      <c r="L326" s="15" t="n">
        <v>4</v>
      </c>
      <c r="M326" s="51" t="inlineStr">
        <is>
          <t>Win</t>
        </is>
      </c>
      <c r="N326" s="17">
        <f>IF(M326="Win",IF(F326="Bet",(I326-1)*K326,K326),IF(M326="Loss",IF(F326="Bet",-K326,-(I326-1)*K326),IF(M326="Void",0,"")))</f>
        <v/>
      </c>
      <c r="O326" s="18">
        <f>IF(OR(M326="Win",M326="Loss"),IF(F326="Bet",K326,(I326-1)*K326),"")</f>
        <v/>
      </c>
    </row>
    <row r="327">
      <c r="A327" s="44" t="n">
        <v>46290</v>
      </c>
      <c r="B327" s="45" t="inlineStr">
        <is>
          <t>Coleraine</t>
        </is>
      </c>
      <c r="C327" s="21" t="n">
        <v>1</v>
      </c>
      <c r="D327" s="21" t="n">
        <v>4</v>
      </c>
      <c r="E327" s="20" t="inlineStr">
        <is>
          <t>Millsy's Award</t>
        </is>
      </c>
      <c r="F327" s="46" t="inlineStr">
        <is>
          <t>Lay</t>
        </is>
      </c>
      <c r="G327" s="47" t="inlineStr">
        <is>
          <t>Lay</t>
        </is>
      </c>
      <c r="H327" s="48" t="n">
        <v>9.199999999999999</v>
      </c>
      <c r="I327" s="48" t="n">
        <v>5.09</v>
      </c>
      <c r="J327" s="22" t="n">
        <v>-0.0699</v>
      </c>
      <c r="K327" s="49" t="n">
        <v>1</v>
      </c>
      <c r="L327" s="21" t="n">
        <v>3</v>
      </c>
      <c r="M327" s="50" t="inlineStr">
        <is>
          <t>Win</t>
        </is>
      </c>
      <c r="N327" s="23">
        <f>IF(M327="Win",IF(F327="Bet",(I327-1)*K327,K327),IF(M327="Loss",IF(F327="Bet",-K327,-(I327-1)*K327),IF(M327="Void",0,"")))</f>
        <v/>
      </c>
      <c r="O327" s="24">
        <f>IF(OR(M327="Win",M327="Loss"),IF(F327="Bet",K327,(I327-1)*K327),"")</f>
        <v/>
      </c>
    </row>
    <row r="328">
      <c r="A328" s="37" t="n">
        <v>46290</v>
      </c>
      <c r="B328" s="38" t="inlineStr">
        <is>
          <t>Ewan</t>
        </is>
      </c>
      <c r="C328" s="15" t="n">
        <v>1</v>
      </c>
      <c r="D328" s="15" t="n">
        <v>8</v>
      </c>
      <c r="E328" s="14" t="inlineStr">
        <is>
          <t>Stylish Rosie</t>
        </is>
      </c>
      <c r="F328" s="43" t="inlineStr">
        <is>
          <t>Lay</t>
        </is>
      </c>
      <c r="G328" s="47" t="inlineStr">
        <is>
          <t>Lay</t>
        </is>
      </c>
      <c r="H328" s="41" t="n">
        <v>5.4</v>
      </c>
      <c r="I328" s="41" t="n">
        <v>3.85</v>
      </c>
      <c r="J328" s="16" t="n">
        <v>-0.0677</v>
      </c>
      <c r="K328" s="42" t="n">
        <v>1</v>
      </c>
      <c r="L328" s="15" t="n">
        <v>1</v>
      </c>
      <c r="M328" s="43" t="inlineStr">
        <is>
          <t>Loss</t>
        </is>
      </c>
      <c r="N328" s="17">
        <f>IF(M328="Win",IF(F328="Bet",(I328-1)*K328,K328),IF(M328="Loss",IF(F328="Bet",-K328,-(I328-1)*K328),IF(M328="Void",0,"")))</f>
        <v/>
      </c>
      <c r="O328" s="18">
        <f>IF(OR(M328="Win",M328="Loss"),IF(F328="Bet",K328,(I328-1)*K328),"")</f>
        <v/>
      </c>
    </row>
    <row r="329">
      <c r="A329" s="44" t="n">
        <v>46290</v>
      </c>
      <c r="B329" s="45" t="inlineStr">
        <is>
          <t>Ewan</t>
        </is>
      </c>
      <c r="C329" s="21" t="n">
        <v>2</v>
      </c>
      <c r="D329" s="21" t="n">
        <v>9</v>
      </c>
      <c r="E329" s="20" t="inlineStr">
        <is>
          <t>Willingale</t>
        </is>
      </c>
      <c r="F329" s="46" t="inlineStr">
        <is>
          <t>Lay</t>
        </is>
      </c>
      <c r="G329" s="47" t="inlineStr">
        <is>
          <t>Lay</t>
        </is>
      </c>
      <c r="H329" s="48" t="n">
        <v>5.3</v>
      </c>
      <c r="I329" s="48" t="n">
        <v>4</v>
      </c>
      <c r="J329" s="22" t="n">
        <v>-0.0604</v>
      </c>
      <c r="K329" s="49" t="n">
        <v>1</v>
      </c>
      <c r="L329" s="21" t="n">
        <v>1</v>
      </c>
      <c r="M329" s="46" t="inlineStr">
        <is>
          <t>Loss</t>
        </is>
      </c>
      <c r="N329" s="23">
        <f>IF(M329="Win",IF(F329="Bet",(I329-1)*K329,K329),IF(M329="Loss",IF(F329="Bet",-K329,-(I329-1)*K329),IF(M329="Void",0,"")))</f>
        <v/>
      </c>
      <c r="O329" s="24">
        <f>IF(OR(M329="Win",M329="Loss"),IF(F329="Bet",K329,(I329-1)*K329),"")</f>
        <v/>
      </c>
    </row>
    <row r="330">
      <c r="A330" s="37" t="n">
        <v>46290</v>
      </c>
      <c r="B330" s="38" t="inlineStr">
        <is>
          <t>Coleraine</t>
        </is>
      </c>
      <c r="C330" s="15" t="n">
        <v>2</v>
      </c>
      <c r="D330" s="15" t="n">
        <v>8</v>
      </c>
      <c r="E330" s="14" t="inlineStr">
        <is>
          <t>Gasoline Rainbow</t>
        </is>
      </c>
      <c r="F330" s="43" t="inlineStr">
        <is>
          <t>Lay</t>
        </is>
      </c>
      <c r="G330" s="47" t="inlineStr">
        <is>
          <t>Lay</t>
        </is>
      </c>
      <c r="H330" s="41" t="n">
        <v>4</v>
      </c>
      <c r="I330" s="41" t="n">
        <v>2.84</v>
      </c>
      <c r="J330" s="16" t="n">
        <v>-0.073</v>
      </c>
      <c r="K330" s="42" t="n">
        <v>1</v>
      </c>
      <c r="L330" s="15" t="n">
        <v>5</v>
      </c>
      <c r="M330" s="51" t="inlineStr">
        <is>
          <t>Win</t>
        </is>
      </c>
      <c r="N330" s="17">
        <f>IF(M330="Win",IF(F330="Bet",(I330-1)*K330,K330),IF(M330="Loss",IF(F330="Bet",-K330,-(I330-1)*K330),IF(M330="Void",0,"")))</f>
        <v/>
      </c>
      <c r="O330" s="18">
        <f>IF(OR(M330="Win",M330="Loss"),IF(F330="Bet",K330,(I330-1)*K330),"")</f>
        <v/>
      </c>
    </row>
    <row r="331">
      <c r="A331" s="44" t="n">
        <v>46290</v>
      </c>
      <c r="B331" s="45" t="inlineStr">
        <is>
          <t>Lismore</t>
        </is>
      </c>
      <c r="C331" s="21" t="n">
        <v>4</v>
      </c>
      <c r="D331" s="21" t="n">
        <v>4</v>
      </c>
      <c r="E331" s="20" t="inlineStr">
        <is>
          <t>Transgress</t>
        </is>
      </c>
      <c r="F331" s="46" t="inlineStr">
        <is>
          <t>Lay</t>
        </is>
      </c>
      <c r="G331" s="47" t="inlineStr">
        <is>
          <t>Lay</t>
        </is>
      </c>
      <c r="H331" s="48" t="n">
        <v>5</v>
      </c>
      <c r="I331" s="48" t="n">
        <v>3.15</v>
      </c>
      <c r="J331" s="22" t="n">
        <v>-0.0649</v>
      </c>
      <c r="K331" s="49" t="n">
        <v>1</v>
      </c>
      <c r="L331" s="21" t="n">
        <v>5</v>
      </c>
      <c r="M331" s="50" t="inlineStr">
        <is>
          <t>Win</t>
        </is>
      </c>
      <c r="N331" s="23">
        <f>IF(M331="Win",IF(F331="Bet",(I331-1)*K331,K331),IF(M331="Loss",IF(F331="Bet",-K331,-(I331-1)*K331),IF(M331="Void",0,"")))</f>
        <v/>
      </c>
      <c r="O331" s="24">
        <f>IF(OR(M331="Win",M331="Loss"),IF(F331="Bet",K331,(I331-1)*K331),"")</f>
        <v/>
      </c>
    </row>
    <row r="332">
      <c r="A332" s="37" t="n">
        <v>46290</v>
      </c>
      <c r="B332" s="38" t="inlineStr">
        <is>
          <t>Launceston</t>
        </is>
      </c>
      <c r="C332" s="15" t="n">
        <v>8</v>
      </c>
      <c r="D332" s="15" t="n">
        <v>2</v>
      </c>
      <c r="E332" s="14" t="inlineStr">
        <is>
          <t>Benefitsofmine</t>
        </is>
      </c>
      <c r="F332" s="43" t="inlineStr">
        <is>
          <t>Lay</t>
        </is>
      </c>
      <c r="G332" s="47" t="inlineStr">
        <is>
          <t>Lay</t>
        </is>
      </c>
      <c r="H332" s="41" t="n">
        <v>6.5</v>
      </c>
      <c r="I332" s="41" t="n">
        <v>3.75</v>
      </c>
      <c r="J332" s="16" t="n">
        <v>-0.0732</v>
      </c>
      <c r="K332" s="42" t="n">
        <v>1</v>
      </c>
      <c r="L332" s="15" t="n">
        <v>3</v>
      </c>
      <c r="M332" s="51" t="inlineStr">
        <is>
          <t>Win</t>
        </is>
      </c>
      <c r="N332" s="17">
        <f>IF(M332="Win",IF(F332="Bet",(I332-1)*K332,K332),IF(M332="Loss",IF(F332="Bet",-K332,-(I332-1)*K332),IF(M332="Void",0,"")))</f>
        <v/>
      </c>
      <c r="O332" s="18">
        <f>IF(OR(M332="Win",M332="Loss"),IF(F332="Bet",K332,(I332-1)*K332),"")</f>
        <v/>
      </c>
    </row>
    <row r="333">
      <c r="A333" s="44" t="n">
        <v>46290</v>
      </c>
      <c r="B333" s="45" t="inlineStr">
        <is>
          <t>Darwin</t>
        </is>
      </c>
      <c r="C333" s="21" t="n">
        <v>1</v>
      </c>
      <c r="D333" s="21" t="n">
        <v>3</v>
      </c>
      <c r="E333" s="20" t="inlineStr">
        <is>
          <t>Perfect Link</t>
        </is>
      </c>
      <c r="F333" s="46" t="inlineStr">
        <is>
          <t>Lay</t>
        </is>
      </c>
      <c r="G333" s="47" t="inlineStr">
        <is>
          <t>Lay</t>
        </is>
      </c>
      <c r="H333" s="48" t="n">
        <v>3.1</v>
      </c>
      <c r="I333" s="48" t="n">
        <v>2.56</v>
      </c>
      <c r="J333" s="22" t="n">
        <v>-0.0639</v>
      </c>
      <c r="K333" s="49" t="n">
        <v>1</v>
      </c>
      <c r="L333" s="21" t="n">
        <v>5</v>
      </c>
      <c r="M333" s="50" t="inlineStr">
        <is>
          <t>Win</t>
        </is>
      </c>
      <c r="N333" s="23">
        <f>IF(M333="Win",IF(F333="Bet",(I333-1)*K333,K333),IF(M333="Loss",IF(F333="Bet",-K333,-(I333-1)*K333),IF(M333="Void",0,"")))</f>
        <v/>
      </c>
      <c r="O333" s="24">
        <f>IF(OR(M333="Win",M333="Loss"),IF(F333="Bet",K333,(I333-1)*K333),"")</f>
        <v/>
      </c>
    </row>
    <row r="334">
      <c r="A334" s="37" t="n">
        <v>46290</v>
      </c>
      <c r="B334" s="38" t="inlineStr">
        <is>
          <t>Coleraine</t>
        </is>
      </c>
      <c r="C334" s="15" t="n">
        <v>4</v>
      </c>
      <c r="D334" s="15" t="n">
        <v>4</v>
      </c>
      <c r="E334" s="14" t="inlineStr">
        <is>
          <t>Flying Straz</t>
        </is>
      </c>
      <c r="F334" s="43" t="inlineStr">
        <is>
          <t>Lay</t>
        </is>
      </c>
      <c r="G334" s="47" t="inlineStr">
        <is>
          <t>Lay</t>
        </is>
      </c>
      <c r="H334" s="41" t="n">
        <v>5</v>
      </c>
      <c r="I334" s="41" t="n">
        <v>3.85</v>
      </c>
      <c r="J334" s="16" t="n">
        <v>-0.0614</v>
      </c>
      <c r="K334" s="42" t="n">
        <v>1</v>
      </c>
      <c r="L334" s="15" t="n">
        <v>1</v>
      </c>
      <c r="M334" s="43" t="inlineStr">
        <is>
          <t>Loss</t>
        </is>
      </c>
      <c r="N334" s="17">
        <f>IF(M334="Win",IF(F334="Bet",(I334-1)*K334,K334),IF(M334="Loss",IF(F334="Bet",-K334,-(I334-1)*K334),IF(M334="Void",0,"")))</f>
        <v/>
      </c>
      <c r="O334" s="18">
        <f>IF(OR(M334="Win",M334="Loss"),IF(F334="Bet",K334,(I334-1)*K334),"")</f>
        <v/>
      </c>
    </row>
    <row r="335">
      <c r="A335" s="44" t="n">
        <v>46290</v>
      </c>
      <c r="B335" s="45" t="inlineStr">
        <is>
          <t>Scone</t>
        </is>
      </c>
      <c r="C335" s="21" t="n">
        <v>5</v>
      </c>
      <c r="D335" s="21" t="n">
        <v>5</v>
      </c>
      <c r="E335" s="20" t="inlineStr">
        <is>
          <t>Shuda Known</t>
        </is>
      </c>
      <c r="F335" s="46" t="inlineStr">
        <is>
          <t>Lay</t>
        </is>
      </c>
      <c r="G335" s="47" t="inlineStr">
        <is>
          <t>Lay</t>
        </is>
      </c>
      <c r="H335" s="48" t="n">
        <v>3.3</v>
      </c>
      <c r="I335" s="48" t="n">
        <v>2.3</v>
      </c>
      <c r="J335" s="22" t="n">
        <v>-0.068</v>
      </c>
      <c r="K335" s="49" t="n">
        <v>1</v>
      </c>
      <c r="L335" s="21" t="n">
        <v>1</v>
      </c>
      <c r="M335" s="46" t="inlineStr">
        <is>
          <t>Loss</t>
        </is>
      </c>
      <c r="N335" s="23">
        <f>IF(M335="Win",IF(F335="Bet",(I335-1)*K335,K335),IF(M335="Loss",IF(F335="Bet",-K335,-(I335-1)*K335),IF(M335="Void",0,"")))</f>
        <v/>
      </c>
      <c r="O335" s="24">
        <f>IF(OR(M335="Win",M335="Loss"),IF(F335="Bet",K335,(I335-1)*K335),"")</f>
        <v/>
      </c>
    </row>
    <row r="336">
      <c r="A336" s="37" t="n">
        <v>46290</v>
      </c>
      <c r="B336" s="38" t="inlineStr">
        <is>
          <t>Coleraine</t>
        </is>
      </c>
      <c r="C336" s="15" t="n">
        <v>5</v>
      </c>
      <c r="D336" s="15" t="n">
        <v>7</v>
      </c>
      <c r="E336" s="14" t="inlineStr">
        <is>
          <t>Digari</t>
        </is>
      </c>
      <c r="F336" s="43" t="inlineStr">
        <is>
          <t>Lay</t>
        </is>
      </c>
      <c r="G336" s="47" t="inlineStr">
        <is>
          <t>Lay</t>
        </is>
      </c>
      <c r="H336" s="41" t="n">
        <v>6.3</v>
      </c>
      <c r="I336" s="41" t="n">
        <v>4.4</v>
      </c>
      <c r="J336" s="16" t="n">
        <v>-0.0678</v>
      </c>
      <c r="K336" s="42" t="n">
        <v>1</v>
      </c>
      <c r="L336" s="15" t="n">
        <v>5</v>
      </c>
      <c r="M336" s="51" t="inlineStr">
        <is>
          <t>Win</t>
        </is>
      </c>
      <c r="N336" s="17">
        <f>IF(M336="Win",IF(F336="Bet",(I336-1)*K336,K336),IF(M336="Loss",IF(F336="Bet",-K336,-(I336-1)*K336),IF(M336="Void",0,"")))</f>
        <v/>
      </c>
      <c r="O336" s="18">
        <f>IF(OR(M336="Win",M336="Loss"),IF(F336="Bet",K336,(I336-1)*K336),"")</f>
        <v/>
      </c>
    </row>
    <row r="337">
      <c r="A337" s="44" t="n">
        <v>46290</v>
      </c>
      <c r="B337" s="45" t="inlineStr">
        <is>
          <t>Ewan</t>
        </is>
      </c>
      <c r="C337" s="21" t="n">
        <v>5</v>
      </c>
      <c r="D337" s="21" t="n">
        <v>5</v>
      </c>
      <c r="E337" s="20" t="inlineStr">
        <is>
          <t>Mayor Of Kingston</t>
        </is>
      </c>
      <c r="F337" s="46" t="inlineStr">
        <is>
          <t>Lay</t>
        </is>
      </c>
      <c r="G337" s="47" t="inlineStr">
        <is>
          <t>Lay</t>
        </is>
      </c>
      <c r="H337" s="48" t="n">
        <v>5.5</v>
      </c>
      <c r="I337" s="48" t="n">
        <v>3.52</v>
      </c>
      <c r="J337" s="22" t="n">
        <v>-0.0697</v>
      </c>
      <c r="K337" s="49" t="n">
        <v>1</v>
      </c>
      <c r="L337" s="21" t="n">
        <v>3</v>
      </c>
      <c r="M337" s="50" t="inlineStr">
        <is>
          <t>Win</t>
        </is>
      </c>
      <c r="N337" s="23">
        <f>IF(M337="Win",IF(F337="Bet",(I337-1)*K337,K337),IF(M337="Loss",IF(F337="Bet",-K337,-(I337-1)*K337),IF(M337="Void",0,"")))</f>
        <v/>
      </c>
      <c r="O337" s="24">
        <f>IF(OR(M337="Win",M337="Loss"),IF(F337="Bet",K337,(I337-1)*K337),"")</f>
        <v/>
      </c>
    </row>
    <row r="338">
      <c r="A338" s="37" t="n">
        <v>46290</v>
      </c>
      <c r="B338" s="38" t="inlineStr">
        <is>
          <t>Darwin</t>
        </is>
      </c>
      <c r="C338" s="15" t="n">
        <v>5</v>
      </c>
      <c r="D338" s="15" t="n">
        <v>3</v>
      </c>
      <c r="E338" s="14" t="inlineStr">
        <is>
          <t>Debating</t>
        </is>
      </c>
      <c r="F338" s="43" t="inlineStr">
        <is>
          <t>Lay</t>
        </is>
      </c>
      <c r="G338" s="47" t="inlineStr">
        <is>
          <t>Lay</t>
        </is>
      </c>
      <c r="H338" s="41" t="n">
        <v>3.9</v>
      </c>
      <c r="I338" s="41" t="n">
        <v>2.98</v>
      </c>
      <c r="J338" s="16" t="n">
        <v>-0.0772</v>
      </c>
      <c r="K338" s="42" t="n">
        <v>1</v>
      </c>
      <c r="L338" s="15" t="n">
        <v>1</v>
      </c>
      <c r="M338" s="43" t="inlineStr">
        <is>
          <t>Loss</t>
        </is>
      </c>
      <c r="N338" s="17">
        <f>IF(M338="Win",IF(F338="Bet",(I338-1)*K338,K338),IF(M338="Loss",IF(F338="Bet",-K338,-(I338-1)*K338),IF(M338="Void",0,"")))</f>
        <v/>
      </c>
      <c r="O338" s="18">
        <f>IF(OR(M338="Win",M338="Loss"),IF(F338="Bet",K338,(I338-1)*K338),"")</f>
        <v/>
      </c>
    </row>
    <row r="339">
      <c r="A339" s="44" t="n">
        <v>46290</v>
      </c>
      <c r="B339" s="45" t="inlineStr">
        <is>
          <t>Scone</t>
        </is>
      </c>
      <c r="C339" s="21" t="n">
        <v>7</v>
      </c>
      <c r="D339" s="21" t="n">
        <v>10</v>
      </c>
      <c r="E339" s="20" t="inlineStr">
        <is>
          <t>Nova Centauri</t>
        </is>
      </c>
      <c r="F339" s="46" t="inlineStr">
        <is>
          <t>Lay</t>
        </is>
      </c>
      <c r="G339" s="47" t="inlineStr">
        <is>
          <t>Lay</t>
        </is>
      </c>
      <c r="H339" s="48" t="n">
        <v>4.9</v>
      </c>
      <c r="I339" s="48" t="n">
        <v>3.55</v>
      </c>
      <c r="J339" s="22" t="n">
        <v>-0.06</v>
      </c>
      <c r="K339" s="49" t="n">
        <v>1</v>
      </c>
      <c r="L339" s="21" t="n">
        <v>1</v>
      </c>
      <c r="M339" s="46" t="inlineStr">
        <is>
          <t>Loss</t>
        </is>
      </c>
      <c r="N339" s="23">
        <f>IF(M339="Win",IF(F339="Bet",(I339-1)*K339,K339),IF(M339="Loss",IF(F339="Bet",-K339,-(I339-1)*K339),IF(M339="Void",0,"")))</f>
        <v/>
      </c>
      <c r="O339" s="24">
        <f>IF(OR(M339="Win",M339="Loss"),IF(F339="Bet",K339,(I339-1)*K339),"")</f>
        <v/>
      </c>
    </row>
    <row r="340">
      <c r="A340" s="37" t="n">
        <v>46290</v>
      </c>
      <c r="B340" s="38" t="inlineStr">
        <is>
          <t>Ewan</t>
        </is>
      </c>
      <c r="C340" s="15" t="n">
        <v>7</v>
      </c>
      <c r="D340" s="15" t="n">
        <v>2</v>
      </c>
      <c r="E340" s="14" t="inlineStr">
        <is>
          <t>Verbalize</t>
        </is>
      </c>
      <c r="F340" s="43" t="inlineStr">
        <is>
          <t>Lay</t>
        </is>
      </c>
      <c r="G340" s="47" t="inlineStr">
        <is>
          <t>Lay</t>
        </is>
      </c>
      <c r="H340" s="41" t="n">
        <v>6</v>
      </c>
      <c r="I340" s="41" t="n">
        <v>4.3</v>
      </c>
      <c r="J340" s="16" t="n">
        <v>-0.06</v>
      </c>
      <c r="K340" s="42" t="n">
        <v>1</v>
      </c>
      <c r="L340" s="15" t="n">
        <v>6</v>
      </c>
      <c r="M340" s="51" t="inlineStr">
        <is>
          <t>Win</t>
        </is>
      </c>
      <c r="N340" s="17">
        <f>IF(M340="Win",IF(F340="Bet",(I340-1)*K340,K340),IF(M340="Loss",IF(F340="Bet",-K340,-(I340-1)*K340),IF(M340="Void",0,"")))</f>
        <v/>
      </c>
      <c r="O340" s="18">
        <f>IF(OR(M340="Win",M340="Loss"),IF(F340="Bet",K340,(I340-1)*K340),"")</f>
        <v/>
      </c>
    </row>
    <row r="341">
      <c r="A341" s="44" t="n">
        <v>46290</v>
      </c>
      <c r="B341" s="45" t="inlineStr">
        <is>
          <t>Coleraine</t>
        </is>
      </c>
      <c r="C341" s="21" t="n">
        <v>8</v>
      </c>
      <c r="D341" s="21" t="n">
        <v>7</v>
      </c>
      <c r="E341" s="20" t="inlineStr">
        <is>
          <t>Thinking Sensation</t>
        </is>
      </c>
      <c r="F341" s="46" t="inlineStr">
        <is>
          <t>Lay</t>
        </is>
      </c>
      <c r="G341" s="47" t="inlineStr">
        <is>
          <t>Lay</t>
        </is>
      </c>
      <c r="H341" s="48" t="n">
        <v>7.6</v>
      </c>
      <c r="I341" s="48" t="n">
        <v>4.9</v>
      </c>
      <c r="J341" s="22" t="n">
        <v>-0.0728</v>
      </c>
      <c r="K341" s="49" t="n">
        <v>1</v>
      </c>
      <c r="L341" s="21" t="n">
        <v>1</v>
      </c>
      <c r="M341" s="46" t="inlineStr">
        <is>
          <t>Loss</t>
        </is>
      </c>
      <c r="N341" s="23">
        <f>IF(M341="Win",IF(F341="Bet",(I341-1)*K341,K341),IF(M341="Loss",IF(F341="Bet",-K341,-(I341-1)*K341),IF(M341="Void",0,"")))</f>
        <v/>
      </c>
      <c r="O341" s="24">
        <f>IF(OR(M341="Win",M341="Loss"),IF(F341="Bet",K341,(I341-1)*K341),"")</f>
        <v/>
      </c>
    </row>
    <row r="342">
      <c r="A342" s="37" t="n">
        <v>46290</v>
      </c>
      <c r="B342" s="38" t="inlineStr">
        <is>
          <t>Sunshine Coast</t>
        </is>
      </c>
      <c r="C342" s="15" t="n">
        <v>2</v>
      </c>
      <c r="D342" s="15" t="n">
        <v>4</v>
      </c>
      <c r="E342" s="14" t="inlineStr">
        <is>
          <t>Monotone</t>
        </is>
      </c>
      <c r="F342" s="43" t="inlineStr">
        <is>
          <t>Lay</t>
        </is>
      </c>
      <c r="G342" s="47" t="inlineStr">
        <is>
          <t>Lay</t>
        </is>
      </c>
      <c r="H342" s="41" t="n">
        <v>2.15</v>
      </c>
      <c r="I342" s="41" t="n">
        <v>1.65</v>
      </c>
      <c r="J342" s="16" t="n">
        <v>-0.062</v>
      </c>
      <c r="K342" s="42" t="n">
        <v>1</v>
      </c>
      <c r="L342" s="15" t="n">
        <v>1</v>
      </c>
      <c r="M342" s="43" t="inlineStr">
        <is>
          <t>Loss</t>
        </is>
      </c>
      <c r="N342" s="17">
        <f>IF(M342="Win",IF(F342="Bet",(I342-1)*K342,K342),IF(M342="Loss",IF(F342="Bet",-K342,-(I342-1)*K342),IF(M342="Void",0,"")))</f>
        <v/>
      </c>
      <c r="O342" s="18">
        <f>IF(OR(M342="Win",M342="Loss"),IF(F342="Bet",K342,(I342-1)*K342),"")</f>
        <v/>
      </c>
    </row>
    <row r="343">
      <c r="A343" s="44" t="n">
        <v>46290</v>
      </c>
      <c r="B343" s="45" t="inlineStr">
        <is>
          <t>Cranbourne</t>
        </is>
      </c>
      <c r="C343" s="21" t="n">
        <v>4</v>
      </c>
      <c r="D343" s="21" t="n">
        <v>3</v>
      </c>
      <c r="E343" s="20" t="inlineStr">
        <is>
          <t>Covert Thinking</t>
        </is>
      </c>
      <c r="F343" s="46" t="inlineStr">
        <is>
          <t>Lay</t>
        </is>
      </c>
      <c r="G343" s="47" t="inlineStr">
        <is>
          <t>Lay</t>
        </is>
      </c>
      <c r="H343" s="48" t="n">
        <v>4.6</v>
      </c>
      <c r="I343" s="48" t="n">
        <v>3.05</v>
      </c>
      <c r="J343" s="22" t="n">
        <v>-0.0767</v>
      </c>
      <c r="K343" s="49" t="n">
        <v>1</v>
      </c>
      <c r="L343" s="21" t="n">
        <v>3</v>
      </c>
      <c r="M343" s="50" t="inlineStr">
        <is>
          <t>Win</t>
        </is>
      </c>
      <c r="N343" s="23">
        <f>IF(M343="Win",IF(F343="Bet",(I343-1)*K343,K343),IF(M343="Loss",IF(F343="Bet",-K343,-(I343-1)*K343),IF(M343="Void",0,"")))</f>
        <v/>
      </c>
      <c r="O343" s="24">
        <f>IF(OR(M343="Win",M343="Loss"),IF(F343="Bet",K343,(I343-1)*K343),"")</f>
        <v/>
      </c>
    </row>
    <row r="344">
      <c r="A344" s="37" t="n">
        <v>46290</v>
      </c>
      <c r="B344" s="38" t="inlineStr">
        <is>
          <t>Cranbourne</t>
        </is>
      </c>
      <c r="C344" s="15" t="n">
        <v>5</v>
      </c>
      <c r="D344" s="15" t="n">
        <v>5</v>
      </c>
      <c r="E344" s="14" t="inlineStr">
        <is>
          <t>Thunderbolt Way</t>
        </is>
      </c>
      <c r="F344" s="43" t="inlineStr">
        <is>
          <t>Lay</t>
        </is>
      </c>
      <c r="G344" s="47" t="inlineStr">
        <is>
          <t>Lay</t>
        </is>
      </c>
      <c r="H344" s="41" t="n">
        <v>4.8</v>
      </c>
      <c r="I344" s="41" t="n">
        <v>3.7</v>
      </c>
      <c r="J344" s="16" t="n">
        <v>-0.0614</v>
      </c>
      <c r="K344" s="42" t="n">
        <v>1</v>
      </c>
      <c r="L344" s="15" t="n">
        <v>7</v>
      </c>
      <c r="M344" s="51" t="inlineStr">
        <is>
          <t>Win</t>
        </is>
      </c>
      <c r="N344" s="17">
        <f>IF(M344="Win",IF(F344="Bet",(I344-1)*K344,K344),IF(M344="Loss",IF(F344="Bet",-K344,-(I344-1)*K344),IF(M344="Void",0,"")))</f>
        <v/>
      </c>
      <c r="O344" s="18">
        <f>IF(OR(M344="Win",M344="Loss"),IF(F344="Bet",K344,(I344-1)*K344),"")</f>
        <v/>
      </c>
    </row>
    <row r="345">
      <c r="A345" s="44" t="n">
        <v>46290</v>
      </c>
      <c r="B345" s="45" t="inlineStr">
        <is>
          <t>Launceston</t>
        </is>
      </c>
      <c r="C345" s="21" t="n">
        <v>6</v>
      </c>
      <c r="D345" s="21" t="n">
        <v>7</v>
      </c>
      <c r="E345" s="20" t="inlineStr">
        <is>
          <t>Miss Lyra</t>
        </is>
      </c>
      <c r="F345" s="46" t="inlineStr">
        <is>
          <t>Lay</t>
        </is>
      </c>
      <c r="G345" s="47" t="inlineStr">
        <is>
          <t>Lay</t>
        </is>
      </c>
      <c r="H345" s="48" t="n">
        <v>5</v>
      </c>
      <c r="I345" s="48" t="n">
        <v>3.8</v>
      </c>
      <c r="J345" s="22" t="n">
        <v>-0.0615</v>
      </c>
      <c r="K345" s="49" t="n">
        <v>1</v>
      </c>
      <c r="L345" s="21" t="n">
        <v>2</v>
      </c>
      <c r="M345" s="50" t="inlineStr">
        <is>
          <t>Win</t>
        </is>
      </c>
      <c r="N345" s="23">
        <f>IF(M345="Win",IF(F345="Bet",(I345-1)*K345,K345),IF(M345="Loss",IF(F345="Bet",-K345,-(I345-1)*K345),IF(M345="Void",0,"")))</f>
        <v/>
      </c>
      <c r="O345" s="24">
        <f>IF(OR(M345="Win",M345="Loss"),IF(F345="Bet",K345,(I345-1)*K345),"")</f>
        <v/>
      </c>
    </row>
    <row r="346">
      <c r="A346" s="37" t="n">
        <v>46290</v>
      </c>
      <c r="B346" s="38" t="inlineStr">
        <is>
          <t>Launceston</t>
        </is>
      </c>
      <c r="C346" s="15" t="n">
        <v>7</v>
      </c>
      <c r="D346" s="15" t="n">
        <v>9</v>
      </c>
      <c r="E346" s="14" t="inlineStr">
        <is>
          <t>Glory Mission</t>
        </is>
      </c>
      <c r="F346" s="43" t="inlineStr">
        <is>
          <t>Lay</t>
        </is>
      </c>
      <c r="G346" s="47" t="inlineStr">
        <is>
          <t>Lay</t>
        </is>
      </c>
      <c r="H346" s="41" t="n">
        <v>3.6</v>
      </c>
      <c r="I346" s="41" t="n">
        <v>2.59</v>
      </c>
      <c r="J346" s="16" t="n">
        <v>-0.0683</v>
      </c>
      <c r="K346" s="42" t="n">
        <v>1</v>
      </c>
      <c r="L346" s="15" t="n">
        <v>1</v>
      </c>
      <c r="M346" s="43" t="inlineStr">
        <is>
          <t>Loss</t>
        </is>
      </c>
      <c r="N346" s="17">
        <f>IF(M346="Win",IF(F346="Bet",(I346-1)*K346,K346),IF(M346="Loss",IF(F346="Bet",-K346,-(I346-1)*K346),IF(M346="Void",0,"")))</f>
        <v/>
      </c>
      <c r="O346" s="18">
        <f>IF(OR(M346="Win",M346="Loss"),IF(F346="Bet",K346,(I346-1)*K346),"")</f>
        <v/>
      </c>
    </row>
    <row r="347">
      <c r="A347" s="44" t="n">
        <v>46290</v>
      </c>
      <c r="B347" s="45" t="inlineStr">
        <is>
          <t>Sunshine Coast</t>
        </is>
      </c>
      <c r="C347" s="21" t="n">
        <v>6</v>
      </c>
      <c r="D347" s="21" t="n">
        <v>4</v>
      </c>
      <c r="E347" s="20" t="inlineStr">
        <is>
          <t>Amelioration</t>
        </is>
      </c>
      <c r="F347" s="46" t="inlineStr">
        <is>
          <t>Lay</t>
        </is>
      </c>
      <c r="G347" s="47" t="inlineStr">
        <is>
          <t>Lay</t>
        </is>
      </c>
      <c r="H347" s="48" t="n">
        <v>3.2</v>
      </c>
      <c r="I347" s="48" t="n">
        <v>2.62</v>
      </c>
      <c r="J347" s="22" t="n">
        <v>-0.0718</v>
      </c>
      <c r="K347" s="49" t="n">
        <v>1</v>
      </c>
      <c r="L347" s="21" t="n">
        <v>1</v>
      </c>
      <c r="M347" s="46" t="inlineStr">
        <is>
          <t>Loss</t>
        </is>
      </c>
      <c r="N347" s="23">
        <f>IF(M347="Win",IF(F347="Bet",(I347-1)*K347,K347),IF(M347="Loss",IF(F347="Bet",-K347,-(I347-1)*K347),IF(M347="Void",0,"")))</f>
        <v/>
      </c>
      <c r="O347" s="24">
        <f>IF(OR(M347="Win",M347="Loss"),IF(F347="Bet",K347,(I347-1)*K347),"")</f>
        <v/>
      </c>
    </row>
    <row r="348">
      <c r="A348" s="37" t="n">
        <v>46290</v>
      </c>
      <c r="B348" s="38" t="inlineStr">
        <is>
          <t>Launceston</t>
        </is>
      </c>
      <c r="C348" s="15" t="n">
        <v>9</v>
      </c>
      <c r="D348" s="15" t="n">
        <v>3</v>
      </c>
      <c r="E348" s="14" t="inlineStr">
        <is>
          <t>Johnnie Pinch</t>
        </is>
      </c>
      <c r="F348" s="43" t="inlineStr">
        <is>
          <t>Lay</t>
        </is>
      </c>
      <c r="G348" s="47" t="inlineStr">
        <is>
          <t>Lay</t>
        </is>
      </c>
      <c r="H348" s="41" t="n">
        <v>4</v>
      </c>
      <c r="I348" s="41" t="n">
        <v>2.56</v>
      </c>
      <c r="J348" s="16" t="n">
        <v>-0.079</v>
      </c>
      <c r="K348" s="42" t="n">
        <v>1</v>
      </c>
      <c r="L348" s="15" t="n">
        <v>4</v>
      </c>
      <c r="M348" s="51" t="inlineStr">
        <is>
          <t>Win</t>
        </is>
      </c>
      <c r="N348" s="17">
        <f>IF(M348="Win",IF(F348="Bet",(I348-1)*K348,K348),IF(M348="Loss",IF(F348="Bet",-K348,-(I348-1)*K348),IF(M348="Void",0,"")))</f>
        <v/>
      </c>
      <c r="O348" s="18">
        <f>IF(OR(M348="Win",M348="Loss"),IF(F348="Bet",K348,(I348-1)*K348),"")</f>
        <v/>
      </c>
    </row>
    <row r="349">
      <c r="A349" s="44" t="n">
        <v>46291</v>
      </c>
      <c r="B349" s="45" t="inlineStr">
        <is>
          <t>Mornington</t>
        </is>
      </c>
      <c r="C349" s="21" t="n">
        <v>6</v>
      </c>
      <c r="D349" s="21" t="n">
        <v>10</v>
      </c>
      <c r="E349" s="20" t="inlineStr">
        <is>
          <t>Leonchroi</t>
        </is>
      </c>
      <c r="F349" s="46" t="inlineStr">
        <is>
          <t>Lay</t>
        </is>
      </c>
      <c r="G349" s="47" t="inlineStr">
        <is>
          <t>Lay</t>
        </is>
      </c>
      <c r="H349" s="48" t="n">
        <v>3.3</v>
      </c>
      <c r="I349" s="48" t="n">
        <v>2.44</v>
      </c>
      <c r="J349" s="22" t="n">
        <v>-0.0779</v>
      </c>
      <c r="K349" s="49" t="n">
        <v>1</v>
      </c>
      <c r="L349" s="21" t="n">
        <v>4</v>
      </c>
      <c r="M349" s="50" t="inlineStr">
        <is>
          <t>Win</t>
        </is>
      </c>
      <c r="N349" s="23">
        <f>IF(M349="Win",IF(F349="Bet",(I349-1)*K349,K349),IF(M349="Loss",IF(F349="Bet",-K349,-(I349-1)*K349),IF(M349="Void",0,"")))</f>
        <v/>
      </c>
      <c r="O349" s="24">
        <f>IF(OR(M349="Win",M349="Loss"),IF(F349="Bet",K349,(I349-1)*K349),"")</f>
        <v/>
      </c>
    </row>
    <row r="350">
      <c r="A350" s="37" t="n">
        <v>46291</v>
      </c>
      <c r="B350" s="38" t="inlineStr">
        <is>
          <t>Toowoomba</t>
        </is>
      </c>
      <c r="C350" s="15" t="n">
        <v>3</v>
      </c>
      <c r="D350" s="15" t="n">
        <v>16</v>
      </c>
      <c r="E350" s="14" t="inlineStr">
        <is>
          <t>Hello Dolly Diva</t>
        </is>
      </c>
      <c r="F350" s="43" t="inlineStr">
        <is>
          <t>Lay</t>
        </is>
      </c>
      <c r="G350" s="47" t="inlineStr">
        <is>
          <t>Lay</t>
        </is>
      </c>
      <c r="H350" s="41" t="n">
        <v>4.3</v>
      </c>
      <c r="I350" s="41" t="n">
        <v>3</v>
      </c>
      <c r="J350" s="16" t="n">
        <v>-0.0636</v>
      </c>
      <c r="K350" s="42" t="n">
        <v>1</v>
      </c>
      <c r="L350" s="15" t="n">
        <v>5</v>
      </c>
      <c r="M350" s="51" t="inlineStr">
        <is>
          <t>Win</t>
        </is>
      </c>
      <c r="N350" s="17">
        <f>IF(M350="Win",IF(F350="Bet",(I350-1)*K350,K350),IF(M350="Loss",IF(F350="Bet",-K350,-(I350-1)*K350),IF(M350="Void",0,"")))</f>
        <v/>
      </c>
      <c r="O350" s="18">
        <f>IF(OR(M350="Win",M350="Loss"),IF(F350="Bet",K350,(I350-1)*K350),"")</f>
        <v/>
      </c>
    </row>
    <row r="351">
      <c r="A351" s="44" t="n">
        <v>46291</v>
      </c>
      <c r="B351" s="45" t="inlineStr">
        <is>
          <t>Belmont</t>
        </is>
      </c>
      <c r="C351" s="21" t="n">
        <v>3</v>
      </c>
      <c r="D351" s="21" t="n">
        <v>8</v>
      </c>
      <c r="E351" s="20" t="inlineStr">
        <is>
          <t>So Si God</t>
        </is>
      </c>
      <c r="F351" s="46" t="inlineStr">
        <is>
          <t>Lay</t>
        </is>
      </c>
      <c r="G351" s="47" t="inlineStr">
        <is>
          <t>Lay</t>
        </is>
      </c>
      <c r="H351" s="48" t="n">
        <v>4</v>
      </c>
      <c r="I351" s="48" t="n">
        <v>3.1</v>
      </c>
      <c r="J351" s="22" t="n">
        <v>-0.0639</v>
      </c>
      <c r="K351" s="49" t="n">
        <v>1</v>
      </c>
      <c r="L351" s="21" t="n">
        <v>1</v>
      </c>
      <c r="M351" s="46" t="inlineStr">
        <is>
          <t>Loss</t>
        </is>
      </c>
      <c r="N351" s="23">
        <f>IF(M351="Win",IF(F351="Bet",(I351-1)*K351,K351),IF(M351="Loss",IF(F351="Bet",-K351,-(I351-1)*K351),IF(M351="Void",0,"")))</f>
        <v/>
      </c>
      <c r="O351" s="24">
        <f>IF(OR(M351="Win",M351="Loss"),IF(F351="Bet",K351,(I351-1)*K351),"")</f>
        <v/>
      </c>
    </row>
    <row r="352">
      <c r="A352" s="37" t="n">
        <v>46291</v>
      </c>
      <c r="B352" s="38" t="inlineStr">
        <is>
          <t>Belmont</t>
        </is>
      </c>
      <c r="C352" s="15" t="n">
        <v>7</v>
      </c>
      <c r="D352" s="15" t="n">
        <v>12</v>
      </c>
      <c r="E352" s="14" t="inlineStr">
        <is>
          <t>Like Clockwork</t>
        </is>
      </c>
      <c r="F352" s="43" t="inlineStr">
        <is>
          <t>Lay</t>
        </is>
      </c>
      <c r="G352" s="47" t="inlineStr">
        <is>
          <t>Lay</t>
        </is>
      </c>
      <c r="H352" s="41" t="n">
        <v>3.1</v>
      </c>
      <c r="I352" s="41" t="n">
        <v>1.73</v>
      </c>
      <c r="J352" s="16" t="n">
        <v>-0.0857</v>
      </c>
      <c r="K352" s="42" t="n">
        <v>1</v>
      </c>
      <c r="L352" s="15" t="n">
        <v>1</v>
      </c>
      <c r="M352" s="43" t="inlineStr">
        <is>
          <t>Loss</t>
        </is>
      </c>
      <c r="N352" s="17">
        <f>IF(M352="Win",IF(F352="Bet",(I352-1)*K352,K352),IF(M352="Loss",IF(F352="Bet",-K352,-(I352-1)*K352),IF(M352="Void",0,"")))</f>
        <v/>
      </c>
      <c r="O352" s="18">
        <f>IF(OR(M352="Win",M352="Loss"),IF(F352="Bet",K352,(I352-1)*K352),"")</f>
        <v/>
      </c>
    </row>
    <row r="353">
      <c r="A353" s="44" t="n">
        <v>46291</v>
      </c>
      <c r="B353" s="45" t="inlineStr">
        <is>
          <t>Mornington</t>
        </is>
      </c>
      <c r="C353" s="21" t="n">
        <v>4</v>
      </c>
      <c r="D353" s="21" t="n">
        <v>7</v>
      </c>
      <c r="E353" s="20" t="inlineStr">
        <is>
          <t>Tres Magnifique</t>
        </is>
      </c>
      <c r="F353" s="46" t="inlineStr">
        <is>
          <t>Lay</t>
        </is>
      </c>
      <c r="G353" s="47" t="inlineStr">
        <is>
          <t>Lay</t>
        </is>
      </c>
      <c r="H353" s="48" t="n">
        <v>3.6</v>
      </c>
      <c r="I353" s="48" t="n">
        <v>2.52</v>
      </c>
      <c r="J353" s="22" t="n">
        <v>-0.0735</v>
      </c>
      <c r="K353" s="49" t="n">
        <v>1</v>
      </c>
      <c r="L353" s="21" t="n">
        <v>2</v>
      </c>
      <c r="M353" s="50" t="inlineStr">
        <is>
          <t>Win</t>
        </is>
      </c>
      <c r="N353" s="23">
        <f>IF(M353="Win",IF(F353="Bet",(I353-1)*K353,K353),IF(M353="Loss",IF(F353="Bet",-K353,-(I353-1)*K353),IF(M353="Void",0,"")))</f>
        <v/>
      </c>
      <c r="O353" s="24">
        <f>IF(OR(M353="Win",M353="Loss"),IF(F353="Bet",K353,(I353-1)*K353),"")</f>
        <v/>
      </c>
    </row>
    <row r="354">
      <c r="A354" s="37" t="n">
        <v>46291</v>
      </c>
      <c r="B354" s="38" t="inlineStr">
        <is>
          <t>Rosehill</t>
        </is>
      </c>
      <c r="C354" s="15" t="n">
        <v>5</v>
      </c>
      <c r="D354" s="15" t="n">
        <v>6</v>
      </c>
      <c r="E354" s="14" t="inlineStr">
        <is>
          <t>Decorum</t>
        </is>
      </c>
      <c r="F354" s="43" t="inlineStr">
        <is>
          <t>Lay</t>
        </is>
      </c>
      <c r="G354" s="47" t="inlineStr">
        <is>
          <t>Lay</t>
        </is>
      </c>
      <c r="H354" s="41" t="n">
        <v>2.7</v>
      </c>
      <c r="I354" s="41" t="n">
        <v>1.85</v>
      </c>
      <c r="J354" s="16" t="n">
        <v>-0.0951</v>
      </c>
      <c r="K354" s="42" t="n">
        <v>1</v>
      </c>
      <c r="L354" s="15" t="n">
        <v>1</v>
      </c>
      <c r="M354" s="43" t="inlineStr">
        <is>
          <t>Loss</t>
        </is>
      </c>
      <c r="N354" s="17">
        <f>IF(M354="Win",IF(F354="Bet",(I354-1)*K354,K354),IF(M354="Loss",IF(F354="Bet",-K354,-(I354-1)*K354),IF(M354="Void",0,"")))</f>
        <v/>
      </c>
      <c r="O354" s="18">
        <f>IF(OR(M354="Win",M354="Loss"),IF(F354="Bet",K354,(I354-1)*K354),"")</f>
        <v/>
      </c>
    </row>
    <row r="355">
      <c r="A355" s="44" t="n">
        <v>46291</v>
      </c>
      <c r="B355" s="45" t="inlineStr">
        <is>
          <t>Rosehill</t>
        </is>
      </c>
      <c r="C355" s="21" t="n">
        <v>1</v>
      </c>
      <c r="D355" s="21" t="n">
        <v>7</v>
      </c>
      <c r="E355" s="20" t="inlineStr">
        <is>
          <t>Better Late</t>
        </is>
      </c>
      <c r="F355" s="46" t="inlineStr">
        <is>
          <t>Lay</t>
        </is>
      </c>
      <c r="G355" s="47" t="inlineStr">
        <is>
          <t>Lay</t>
        </is>
      </c>
      <c r="H355" s="48" t="n">
        <v>3.4</v>
      </c>
      <c r="I355" s="48" t="n">
        <v>1.85</v>
      </c>
      <c r="J355" s="22" t="n">
        <v>-0.0876</v>
      </c>
      <c r="K355" s="49" t="n">
        <v>1</v>
      </c>
      <c r="L355" s="21" t="n">
        <v>4</v>
      </c>
      <c r="M355" s="50" t="inlineStr">
        <is>
          <t>Win</t>
        </is>
      </c>
      <c r="N355" s="23">
        <f>IF(M355="Win",IF(F355="Bet",(I355-1)*K355,K355),IF(M355="Loss",IF(F355="Bet",-K355,-(I355-1)*K355),IF(M355="Void",0,"")))</f>
        <v/>
      </c>
      <c r="O355" s="24">
        <f>IF(OR(M355="Win",M355="Loss"),IF(F355="Bet",K355,(I355-1)*K355),"")</f>
        <v/>
      </c>
    </row>
    <row r="356">
      <c r="A356" s="37" t="n">
        <v>46291</v>
      </c>
      <c r="B356" s="38" t="inlineStr">
        <is>
          <t>Belmont</t>
        </is>
      </c>
      <c r="C356" s="15" t="n">
        <v>5</v>
      </c>
      <c r="D356" s="15" t="n">
        <v>7</v>
      </c>
      <c r="E356" s="14" t="inlineStr">
        <is>
          <t>Silent Diva</t>
        </is>
      </c>
      <c r="F356" s="43" t="inlineStr">
        <is>
          <t>Lay</t>
        </is>
      </c>
      <c r="G356" s="47" t="inlineStr">
        <is>
          <t>Lay</t>
        </is>
      </c>
      <c r="H356" s="41" t="n">
        <v>2.9</v>
      </c>
      <c r="I356" s="41" t="n">
        <v>1.92</v>
      </c>
      <c r="J356" s="16" t="n">
        <v>-0.0781</v>
      </c>
      <c r="K356" s="42" t="n">
        <v>1</v>
      </c>
      <c r="L356" s="15" t="n">
        <v>1</v>
      </c>
      <c r="M356" s="43" t="inlineStr">
        <is>
          <t>Loss</t>
        </is>
      </c>
      <c r="N356" s="17">
        <f>IF(M356="Win",IF(F356="Bet",(I356-1)*K356,K356),IF(M356="Loss",IF(F356="Bet",-K356,-(I356-1)*K356),IF(M356="Void",0,"")))</f>
        <v/>
      </c>
      <c r="O356" s="18">
        <f>IF(OR(M356="Win",M356="Loss"),IF(F356="Bet",K356,(I356-1)*K356),"")</f>
        <v/>
      </c>
    </row>
    <row r="357">
      <c r="A357" s="44" t="n">
        <v>46291</v>
      </c>
      <c r="B357" s="45" t="inlineStr">
        <is>
          <t>Canberra</t>
        </is>
      </c>
      <c r="C357" s="21" t="n">
        <v>2</v>
      </c>
      <c r="D357" s="21" t="n">
        <v>6</v>
      </c>
      <c r="E357" s="20" t="inlineStr">
        <is>
          <t>Rose Aye</t>
        </is>
      </c>
      <c r="F357" s="46" t="inlineStr">
        <is>
          <t>Lay</t>
        </is>
      </c>
      <c r="G357" s="47" t="inlineStr">
        <is>
          <t>Lay</t>
        </is>
      </c>
      <c r="H357" s="48" t="n">
        <v>2.5</v>
      </c>
      <c r="I357" s="48" t="n">
        <v>1.9</v>
      </c>
      <c r="J357" s="22" t="n">
        <v>-0.0876</v>
      </c>
      <c r="K357" s="49" t="n">
        <v>1</v>
      </c>
      <c r="L357" s="21" t="n">
        <v>1</v>
      </c>
      <c r="M357" s="46" t="inlineStr">
        <is>
          <t>Loss</t>
        </is>
      </c>
      <c r="N357" s="23">
        <f>IF(M357="Win",IF(F357="Bet",(I357-1)*K357,K357),IF(M357="Loss",IF(F357="Bet",-K357,-(I357-1)*K357),IF(M357="Void",0,"")))</f>
        <v/>
      </c>
      <c r="O357" s="24">
        <f>IF(OR(M357="Win",M357="Loss"),IF(F357="Bet",K357,(I357-1)*K357),"")</f>
        <v/>
      </c>
    </row>
    <row r="358">
      <c r="A358" s="37" t="n">
        <v>46291</v>
      </c>
      <c r="B358" s="38" t="inlineStr">
        <is>
          <t>Gold Coast</t>
        </is>
      </c>
      <c r="C358" s="15" t="n">
        <v>5</v>
      </c>
      <c r="D358" s="15" t="n">
        <v>5</v>
      </c>
      <c r="E358" s="14" t="inlineStr">
        <is>
          <t>Propaganda</t>
        </is>
      </c>
      <c r="F358" s="43" t="inlineStr">
        <is>
          <t>Lay</t>
        </is>
      </c>
      <c r="G358" s="47" t="inlineStr">
        <is>
          <t>Lay</t>
        </is>
      </c>
      <c r="H358" s="41" t="n">
        <v>2.15</v>
      </c>
      <c r="I358" s="41" t="n">
        <v>1.75</v>
      </c>
      <c r="J358" s="16" t="n">
        <v>-0.0751</v>
      </c>
      <c r="K358" s="42" t="n">
        <v>1</v>
      </c>
      <c r="L358" s="15" t="n">
        <v>1</v>
      </c>
      <c r="M358" s="43" t="inlineStr">
        <is>
          <t>Loss</t>
        </is>
      </c>
      <c r="N358" s="17">
        <f>IF(M358="Win",IF(F358="Bet",(I358-1)*K358,K358),IF(M358="Loss",IF(F358="Bet",-K358,-(I358-1)*K358),IF(M358="Void",0,"")))</f>
        <v/>
      </c>
      <c r="O358" s="18">
        <f>IF(OR(M358="Win",M358="Loss"),IF(F358="Bet",K358,(I358-1)*K358),"")</f>
        <v/>
      </c>
    </row>
    <row r="359">
      <c r="A359" s="44" t="n">
        <v>46291</v>
      </c>
      <c r="B359" s="45" t="inlineStr">
        <is>
          <t>Murray Bridge GH</t>
        </is>
      </c>
      <c r="C359" s="21" t="n">
        <v>5</v>
      </c>
      <c r="D359" s="21" t="n">
        <v>6</v>
      </c>
      <c r="E359" s="20" t="inlineStr">
        <is>
          <t>Nottolook</t>
        </is>
      </c>
      <c r="F359" s="46" t="inlineStr">
        <is>
          <t>Lay</t>
        </is>
      </c>
      <c r="G359" s="47" t="inlineStr">
        <is>
          <t>Lay</t>
        </is>
      </c>
      <c r="H359" s="48" t="n">
        <v>3.1</v>
      </c>
      <c r="I359" s="48" t="n">
        <v>1.99</v>
      </c>
      <c r="J359" s="22" t="n">
        <v>-0.1011</v>
      </c>
      <c r="K359" s="49" t="n">
        <v>1</v>
      </c>
      <c r="L359" s="21" t="n">
        <v>1</v>
      </c>
      <c r="M359" s="46" t="inlineStr">
        <is>
          <t>Loss</t>
        </is>
      </c>
      <c r="N359" s="23">
        <f>IF(M359="Win",IF(F359="Bet",(I359-1)*K359,K359),IF(M359="Loss",IF(F359="Bet",-K359,-(I359-1)*K359),IF(M359="Void",0,"")))</f>
        <v/>
      </c>
      <c r="O359" s="24">
        <f>IF(OR(M359="Win",M359="Loss"),IF(F359="Bet",K359,(I359-1)*K359),"")</f>
        <v/>
      </c>
    </row>
    <row r="360">
      <c r="A360" s="37" t="n">
        <v>46291</v>
      </c>
      <c r="B360" s="38" t="inlineStr">
        <is>
          <t>Mornington</t>
        </is>
      </c>
      <c r="C360" s="15" t="n">
        <v>8</v>
      </c>
      <c r="D360" s="15" t="n">
        <v>15</v>
      </c>
      <c r="E360" s="14" t="inlineStr">
        <is>
          <t>Veyepee</t>
        </is>
      </c>
      <c r="F360" s="43" t="inlineStr">
        <is>
          <t>Lay</t>
        </is>
      </c>
      <c r="G360" s="47" t="inlineStr">
        <is>
          <t>Lay</t>
        </is>
      </c>
      <c r="H360" s="41" t="n">
        <v>4.5</v>
      </c>
      <c r="I360" s="41" t="n">
        <v>1.97</v>
      </c>
      <c r="J360" s="16" t="n">
        <v>-0.0726</v>
      </c>
      <c r="K360" s="42" t="n">
        <v>1</v>
      </c>
      <c r="L360" s="15" t="n">
        <v>1</v>
      </c>
      <c r="M360" s="43" t="inlineStr">
        <is>
          <t>Loss</t>
        </is>
      </c>
      <c r="N360" s="17">
        <f>IF(M360="Win",IF(F360="Bet",(I360-1)*K360,K360),IF(M360="Loss",IF(F360="Bet",-K360,-(I360-1)*K360),IF(M360="Void",0,"")))</f>
        <v/>
      </c>
      <c r="O360" s="18">
        <f>IF(OR(M360="Win",M360="Loss"),IF(F360="Bet",K360,(I360-1)*K360),"")</f>
        <v/>
      </c>
    </row>
    <row r="361">
      <c r="A361" s="44" t="n">
        <v>46291</v>
      </c>
      <c r="B361" s="45" t="inlineStr">
        <is>
          <t>Toowoomba</t>
        </is>
      </c>
      <c r="C361" s="21" t="n">
        <v>10</v>
      </c>
      <c r="D361" s="21" t="n">
        <v>8</v>
      </c>
      <c r="E361" s="20" t="inlineStr">
        <is>
          <t>Off The Press</t>
        </is>
      </c>
      <c r="F361" s="46" t="inlineStr">
        <is>
          <t>Lay</t>
        </is>
      </c>
      <c r="G361" s="47" t="inlineStr">
        <is>
          <t>Lay</t>
        </is>
      </c>
      <c r="H361" s="48" t="n">
        <v>3</v>
      </c>
      <c r="I361" s="48" t="n">
        <v>2.16</v>
      </c>
      <c r="J361" s="22" t="n">
        <v>-0.0643</v>
      </c>
      <c r="K361" s="49" t="n">
        <v>1</v>
      </c>
      <c r="L361" s="21" t="n">
        <v>3</v>
      </c>
      <c r="M361" s="50" t="inlineStr">
        <is>
          <t>Win</t>
        </is>
      </c>
      <c r="N361" s="23">
        <f>IF(M361="Win",IF(F361="Bet",(I361-1)*K361,K361),IF(M361="Loss",IF(F361="Bet",-K361,-(I361-1)*K361),IF(M361="Void",0,"")))</f>
        <v/>
      </c>
      <c r="O361" s="24">
        <f>IF(OR(M361="Win",M361="Loss"),IF(F361="Bet",K361,(I361-1)*K361),"")</f>
        <v/>
      </c>
    </row>
    <row r="362">
      <c r="A362" s="37" t="n">
        <v>46291</v>
      </c>
      <c r="B362" s="38" t="inlineStr">
        <is>
          <t>Belmont</t>
        </is>
      </c>
      <c r="C362" s="15" t="n">
        <v>8</v>
      </c>
      <c r="D362" s="15" t="n">
        <v>9</v>
      </c>
      <c r="E362" s="14" t="inlineStr">
        <is>
          <t>Streamlined</t>
        </is>
      </c>
      <c r="F362" s="43" t="inlineStr">
        <is>
          <t>Lay</t>
        </is>
      </c>
      <c r="G362" s="47" t="inlineStr">
        <is>
          <t>Lay</t>
        </is>
      </c>
      <c r="H362" s="41" t="n">
        <v>5.8</v>
      </c>
      <c r="I362" s="41" t="n">
        <v>3.25</v>
      </c>
      <c r="J362" s="16" t="n">
        <v>-0.0769</v>
      </c>
      <c r="K362" s="42" t="n">
        <v>1</v>
      </c>
      <c r="L362" s="15" t="n">
        <v>3</v>
      </c>
      <c r="M362" s="51" t="inlineStr">
        <is>
          <t>Win</t>
        </is>
      </c>
      <c r="N362" s="17">
        <f>IF(M362="Win",IF(F362="Bet",(I362-1)*K362,K362),IF(M362="Loss",IF(F362="Bet",-K362,-(I362-1)*K362),IF(M362="Void",0,"")))</f>
        <v/>
      </c>
      <c r="O362" s="18">
        <f>IF(OR(M362="Win",M362="Loss"),IF(F362="Bet",K362,(I362-1)*K362),"")</f>
        <v/>
      </c>
    </row>
    <row r="363">
      <c r="A363" s="44" t="n">
        <v>46291</v>
      </c>
      <c r="B363" s="45" t="inlineStr">
        <is>
          <t>Rosehill</t>
        </is>
      </c>
      <c r="C363" s="21" t="n">
        <v>4</v>
      </c>
      <c r="D363" s="21" t="n">
        <v>3</v>
      </c>
      <c r="E363" s="20" t="inlineStr">
        <is>
          <t>Starzintheireyes</t>
        </is>
      </c>
      <c r="F363" s="46" t="inlineStr">
        <is>
          <t>Lay</t>
        </is>
      </c>
      <c r="G363" s="47" t="inlineStr">
        <is>
          <t>Lay</t>
        </is>
      </c>
      <c r="H363" s="48" t="n">
        <v>2.65</v>
      </c>
      <c r="I363" s="48" t="n">
        <v>1.92</v>
      </c>
      <c r="J363" s="22" t="n">
        <v>-0.0697</v>
      </c>
      <c r="K363" s="49" t="n">
        <v>1</v>
      </c>
      <c r="L363" s="21" t="n">
        <v>2</v>
      </c>
      <c r="M363" s="50" t="inlineStr">
        <is>
          <t>Win</t>
        </is>
      </c>
      <c r="N363" s="23">
        <f>IF(M363="Win",IF(F363="Bet",(I363-1)*K363,K363),IF(M363="Loss",IF(F363="Bet",-K363,-(I363-1)*K363),IF(M363="Void",0,"")))</f>
        <v/>
      </c>
      <c r="O363" s="24">
        <f>IF(OR(M363="Win",M363="Loss"),IF(F363="Bet",K363,(I363-1)*K363),"")</f>
        <v/>
      </c>
    </row>
    <row r="364">
      <c r="A364" s="37" t="n">
        <v>46291</v>
      </c>
      <c r="B364" s="38" t="inlineStr">
        <is>
          <t>Murray Bridge GH</t>
        </is>
      </c>
      <c r="C364" s="15" t="n">
        <v>1</v>
      </c>
      <c r="D364" s="15" t="n">
        <v>7</v>
      </c>
      <c r="E364" s="14" t="inlineStr">
        <is>
          <t>Our Brave Boy</t>
        </is>
      </c>
      <c r="F364" s="43" t="inlineStr">
        <is>
          <t>Lay</t>
        </is>
      </c>
      <c r="G364" s="47" t="inlineStr">
        <is>
          <t>Lay</t>
        </is>
      </c>
      <c r="H364" s="41" t="n">
        <v>2.65</v>
      </c>
      <c r="I364" s="41" t="n">
        <v>1.71</v>
      </c>
      <c r="J364" s="16" t="n">
        <v>-0.06370000000000001</v>
      </c>
      <c r="K364" s="42" t="n">
        <v>1</v>
      </c>
      <c r="L364" s="15" t="n">
        <v>3</v>
      </c>
      <c r="M364" s="51" t="inlineStr">
        <is>
          <t>Win</t>
        </is>
      </c>
      <c r="N364" s="17">
        <f>IF(M364="Win",IF(F364="Bet",(I364-1)*K364,K364),IF(M364="Loss",IF(F364="Bet",-K364,-(I364-1)*K364),IF(M364="Void",0,"")))</f>
        <v/>
      </c>
      <c r="O364" s="18">
        <f>IF(OR(M364="Win",M364="Loss"),IF(F364="Bet",K364,(I364-1)*K364),"")</f>
        <v/>
      </c>
    </row>
    <row r="365">
      <c r="A365" s="44" t="n">
        <v>46291</v>
      </c>
      <c r="B365" s="45" t="inlineStr">
        <is>
          <t>Rosehill</t>
        </is>
      </c>
      <c r="C365" s="21" t="n">
        <v>7</v>
      </c>
      <c r="D365" s="21" t="n">
        <v>1</v>
      </c>
      <c r="E365" s="20" t="inlineStr">
        <is>
          <t>Lazzura</t>
        </is>
      </c>
      <c r="F365" s="46" t="inlineStr">
        <is>
          <t>Lay</t>
        </is>
      </c>
      <c r="G365" s="47" t="inlineStr">
        <is>
          <t>Lay</t>
        </is>
      </c>
      <c r="H365" s="48" t="n">
        <v>2.5</v>
      </c>
      <c r="I365" s="48" t="n">
        <v>1.83</v>
      </c>
      <c r="J365" s="22" t="n">
        <v>-0.0655</v>
      </c>
      <c r="K365" s="49" t="n">
        <v>1</v>
      </c>
      <c r="L365" s="21" t="n">
        <v>1</v>
      </c>
      <c r="M365" s="46" t="inlineStr">
        <is>
          <t>Loss</t>
        </is>
      </c>
      <c r="N365" s="23">
        <f>IF(M365="Win",IF(F365="Bet",(I365-1)*K365,K365),IF(M365="Loss",IF(F365="Bet",-K365,-(I365-1)*K365),IF(M365="Void",0,"")))</f>
        <v/>
      </c>
      <c r="O365" s="24">
        <f>IF(OR(M365="Win",M365="Loss"),IF(F365="Bet",K365,(I365-1)*K365),"")</f>
        <v/>
      </c>
    </row>
    <row r="366">
      <c r="A366" s="37" t="n">
        <v>46291</v>
      </c>
      <c r="B366" s="38" t="inlineStr">
        <is>
          <t>Gunnedah</t>
        </is>
      </c>
      <c r="C366" s="15" t="n">
        <v>1</v>
      </c>
      <c r="D366" s="15" t="n">
        <v>8</v>
      </c>
      <c r="E366" s="14" t="inlineStr">
        <is>
          <t>Share Our Secret</t>
        </is>
      </c>
      <c r="F366" s="43" t="inlineStr">
        <is>
          <t>Lay</t>
        </is>
      </c>
      <c r="G366" s="47" t="inlineStr">
        <is>
          <t>Lay</t>
        </is>
      </c>
      <c r="H366" s="41" t="n">
        <v>3.4</v>
      </c>
      <c r="I366" s="41" t="n">
        <v>2.8</v>
      </c>
      <c r="J366" s="16" t="n">
        <v>-0.1179</v>
      </c>
      <c r="K366" s="42" t="n">
        <v>1</v>
      </c>
      <c r="L366" s="15" t="n"/>
      <c r="M366" s="54" t="inlineStr">
        <is>
          <t>Void</t>
        </is>
      </c>
      <c r="N366" s="17">
        <f>IF(M366="Win",IF(F366="Bet",(I366-1)*K366,K366),IF(M366="Loss",IF(F366="Bet",-K366,-(I366-1)*K366),IF(M366="Void",0,"")))</f>
        <v/>
      </c>
      <c r="O366" s="18">
        <f>IF(OR(M366="Win",M366="Loss"),IF(F366="Bet",K366,(I366-1)*K366),"")</f>
        <v/>
      </c>
    </row>
    <row r="367">
      <c r="A367" s="44" t="n">
        <v>46291</v>
      </c>
      <c r="B367" s="45" t="inlineStr">
        <is>
          <t>Gunnedah</t>
        </is>
      </c>
      <c r="C367" s="21" t="n">
        <v>2</v>
      </c>
      <c r="D367" s="21" t="n">
        <v>7</v>
      </c>
      <c r="E367" s="20" t="inlineStr">
        <is>
          <t>Gay Tarantella</t>
        </is>
      </c>
      <c r="F367" s="46" t="inlineStr">
        <is>
          <t>Lay</t>
        </is>
      </c>
      <c r="G367" s="47" t="inlineStr">
        <is>
          <t>Lay</t>
        </is>
      </c>
      <c r="H367" s="48" t="n">
        <v>7.3</v>
      </c>
      <c r="I367" s="48" t="n">
        <v>4.4</v>
      </c>
      <c r="J367" s="22" t="n">
        <v>-0.09039999999999999</v>
      </c>
      <c r="K367" s="49" t="n">
        <v>1</v>
      </c>
      <c r="L367" s="21" t="n"/>
      <c r="M367" s="55" t="inlineStr">
        <is>
          <t>Void</t>
        </is>
      </c>
      <c r="N367" s="23">
        <f>IF(M367="Win",IF(F367="Bet",(I367-1)*K367,K367),IF(M367="Loss",IF(F367="Bet",-K367,-(I367-1)*K367),IF(M367="Void",0,"")))</f>
        <v/>
      </c>
      <c r="O367" s="24">
        <f>IF(OR(M367="Win",M367="Loss"),IF(F367="Bet",K367,(I367-1)*K367),"")</f>
        <v/>
      </c>
    </row>
    <row r="368">
      <c r="A368" s="37" t="n">
        <v>46291</v>
      </c>
      <c r="B368" s="38" t="inlineStr">
        <is>
          <t>Gunnedah</t>
        </is>
      </c>
      <c r="C368" s="15" t="n">
        <v>6</v>
      </c>
      <c r="D368" s="15" t="n">
        <v>2</v>
      </c>
      <c r="E368" s="14" t="inlineStr">
        <is>
          <t>Maxandus</t>
        </is>
      </c>
      <c r="F368" s="43" t="inlineStr">
        <is>
          <t>Lay</t>
        </is>
      </c>
      <c r="G368" s="47" t="inlineStr">
        <is>
          <t>Lay</t>
        </is>
      </c>
      <c r="H368" s="41" t="n">
        <v>5.5</v>
      </c>
      <c r="I368" s="41" t="n">
        <v>4.4</v>
      </c>
      <c r="J368" s="16" t="n">
        <v>-0.0961</v>
      </c>
      <c r="K368" s="42" t="n">
        <v>1</v>
      </c>
      <c r="L368" s="15" t="n"/>
      <c r="M368" s="54" t="inlineStr">
        <is>
          <t>Void</t>
        </is>
      </c>
      <c r="N368" s="17">
        <f>IF(M368="Win",IF(F368="Bet",(I368-1)*K368,K368),IF(M368="Loss",IF(F368="Bet",-K368,-(I368-1)*K368),IF(M368="Void",0,"")))</f>
        <v/>
      </c>
      <c r="O368" s="18">
        <f>IF(OR(M368="Win",M368="Loss"),IF(F368="Bet",K368,(I368-1)*K368),"")</f>
        <v/>
      </c>
    </row>
    <row r="369">
      <c r="A369" s="44" t="n">
        <v>46291</v>
      </c>
      <c r="B369" s="45" t="inlineStr">
        <is>
          <t>Rosehill</t>
        </is>
      </c>
      <c r="C369" s="21" t="n">
        <v>3</v>
      </c>
      <c r="D369" s="21" t="n">
        <v>1</v>
      </c>
      <c r="E369" s="20" t="inlineStr">
        <is>
          <t>So You Are</t>
        </is>
      </c>
      <c r="F369" s="46" t="inlineStr">
        <is>
          <t>Lay</t>
        </is>
      </c>
      <c r="G369" s="47" t="inlineStr">
        <is>
          <t>Lay</t>
        </is>
      </c>
      <c r="H369" s="48" t="n">
        <v>4.1</v>
      </c>
      <c r="I369" s="48" t="n">
        <v>2.36</v>
      </c>
      <c r="J369" s="22" t="n">
        <v>-0.0896</v>
      </c>
      <c r="K369" s="49" t="n">
        <v>1</v>
      </c>
      <c r="L369" s="21" t="n">
        <v>1</v>
      </c>
      <c r="M369" s="46" t="inlineStr">
        <is>
          <t>Loss</t>
        </is>
      </c>
      <c r="N369" s="23">
        <f>IF(M369="Win",IF(F369="Bet",(I369-1)*K369,K369),IF(M369="Loss",IF(F369="Bet",-K369,-(I369-1)*K369),IF(M369="Void",0,"")))</f>
        <v/>
      </c>
      <c r="O369" s="24">
        <f>IF(OR(M369="Win",M369="Loss"),IF(F369="Bet",K369,(I369-1)*K369),"")</f>
        <v/>
      </c>
    </row>
    <row r="370">
      <c r="A370" s="37" t="n">
        <v>46291</v>
      </c>
      <c r="B370" s="38" t="inlineStr">
        <is>
          <t>Kembla Grange</t>
        </is>
      </c>
      <c r="C370" s="15" t="n">
        <v>1</v>
      </c>
      <c r="D370" s="15" t="n">
        <v>4</v>
      </c>
      <c r="E370" s="14" t="inlineStr">
        <is>
          <t>Lafite</t>
        </is>
      </c>
      <c r="F370" s="43" t="inlineStr">
        <is>
          <t>Lay</t>
        </is>
      </c>
      <c r="G370" s="47" t="inlineStr">
        <is>
          <t>Lay</t>
        </is>
      </c>
      <c r="H370" s="41" t="n">
        <v>3.8</v>
      </c>
      <c r="I370" s="41" t="n">
        <v>1.93</v>
      </c>
      <c r="J370" s="16" t="n">
        <v>-0.08740000000000001</v>
      </c>
      <c r="K370" s="42" t="n">
        <v>1</v>
      </c>
      <c r="L370" s="15" t="n">
        <v>1</v>
      </c>
      <c r="M370" s="43" t="inlineStr">
        <is>
          <t>Loss</t>
        </is>
      </c>
      <c r="N370" s="17">
        <f>IF(M370="Win",IF(F370="Bet",(I370-1)*K370,K370),IF(M370="Loss",IF(F370="Bet",-K370,-(I370-1)*K370),IF(M370="Void",0,"")))</f>
        <v/>
      </c>
      <c r="O370" s="18">
        <f>IF(OR(M370="Win",M370="Loss"),IF(F370="Bet",K370,(I370-1)*K370),"")</f>
        <v/>
      </c>
    </row>
    <row r="371">
      <c r="A371" s="44" t="n">
        <v>46291</v>
      </c>
      <c r="B371" s="45" t="inlineStr">
        <is>
          <t>Gold Coast</t>
        </is>
      </c>
      <c r="C371" s="21" t="n">
        <v>2</v>
      </c>
      <c r="D371" s="21" t="n">
        <v>6</v>
      </c>
      <c r="E371" s="20" t="inlineStr">
        <is>
          <t>Captain Blood</t>
        </is>
      </c>
      <c r="F371" s="46" t="inlineStr">
        <is>
          <t>Lay</t>
        </is>
      </c>
      <c r="G371" s="47" t="inlineStr">
        <is>
          <t>Lay</t>
        </is>
      </c>
      <c r="H371" s="48" t="n">
        <v>10.7</v>
      </c>
      <c r="I371" s="48" t="n">
        <v>5.4</v>
      </c>
      <c r="J371" s="22" t="n">
        <v>-0.0759</v>
      </c>
      <c r="K371" s="49" t="n">
        <v>1</v>
      </c>
      <c r="L371" s="21" t="n">
        <v>5</v>
      </c>
      <c r="M371" s="50" t="inlineStr">
        <is>
          <t>Win</t>
        </is>
      </c>
      <c r="N371" s="23">
        <f>IF(M371="Win",IF(F371="Bet",(I371-1)*K371,K371),IF(M371="Loss",IF(F371="Bet",-K371,-(I371-1)*K371),IF(M371="Void",0,"")))</f>
        <v/>
      </c>
      <c r="O371" s="24">
        <f>IF(OR(M371="Win",M371="Loss"),IF(F371="Bet",K371,(I371-1)*K371),"")</f>
        <v/>
      </c>
    </row>
    <row r="372">
      <c r="A372" s="37" t="n">
        <v>46291</v>
      </c>
      <c r="B372" s="38" t="inlineStr">
        <is>
          <t>Gold Coast</t>
        </is>
      </c>
      <c r="C372" s="15" t="n">
        <v>7</v>
      </c>
      <c r="D372" s="15" t="n">
        <v>9</v>
      </c>
      <c r="E372" s="14" t="inlineStr">
        <is>
          <t>Till Dusk</t>
        </is>
      </c>
      <c r="F372" s="43" t="inlineStr">
        <is>
          <t>Lay</t>
        </is>
      </c>
      <c r="G372" s="47" t="inlineStr">
        <is>
          <t>Lay</t>
        </is>
      </c>
      <c r="H372" s="41" t="n">
        <v>4</v>
      </c>
      <c r="I372" s="41" t="n">
        <v>2.42</v>
      </c>
      <c r="J372" s="16" t="n">
        <v>-0.0927</v>
      </c>
      <c r="K372" s="42" t="n">
        <v>1</v>
      </c>
      <c r="L372" s="15" t="n">
        <v>1</v>
      </c>
      <c r="M372" s="43" t="inlineStr">
        <is>
          <t>Loss</t>
        </is>
      </c>
      <c r="N372" s="17">
        <f>IF(M372="Win",IF(F372="Bet",(I372-1)*K372,K372),IF(M372="Loss",IF(F372="Bet",-K372,-(I372-1)*K372),IF(M372="Void",0,"")))</f>
        <v/>
      </c>
      <c r="O372" s="18">
        <f>IF(OR(M372="Win",M372="Loss"),IF(F372="Bet",K372,(I372-1)*K372),"")</f>
        <v/>
      </c>
    </row>
    <row r="373">
      <c r="A373" s="44" t="n">
        <v>46291</v>
      </c>
      <c r="B373" s="45" t="inlineStr">
        <is>
          <t>Murray Bridge GH</t>
        </is>
      </c>
      <c r="C373" s="21" t="n">
        <v>4</v>
      </c>
      <c r="D373" s="21" t="n">
        <v>11</v>
      </c>
      <c r="E373" s="20" t="inlineStr">
        <is>
          <t>Uptown Monk</t>
        </is>
      </c>
      <c r="F373" s="46" t="inlineStr">
        <is>
          <t>Lay</t>
        </is>
      </c>
      <c r="G373" s="47" t="inlineStr">
        <is>
          <t>Lay</t>
        </is>
      </c>
      <c r="H373" s="48" t="n">
        <v>5.6</v>
      </c>
      <c r="I373" s="48" t="n">
        <v>3.45</v>
      </c>
      <c r="J373" s="22" t="n">
        <v>-0.0732</v>
      </c>
      <c r="K373" s="49" t="n">
        <v>1</v>
      </c>
      <c r="L373" s="21" t="n">
        <v>2</v>
      </c>
      <c r="M373" s="50" t="inlineStr">
        <is>
          <t>Win</t>
        </is>
      </c>
      <c r="N373" s="23">
        <f>IF(M373="Win",IF(F373="Bet",(I373-1)*K373,K373),IF(M373="Loss",IF(F373="Bet",-K373,-(I373-1)*K373),IF(M373="Void",0,"")))</f>
        <v/>
      </c>
      <c r="O373" s="24">
        <f>IF(OR(M373="Win",M373="Loss"),IF(F373="Bet",K373,(I373-1)*K373),"")</f>
        <v/>
      </c>
    </row>
    <row r="374">
      <c r="A374" s="37" t="n">
        <v>46291</v>
      </c>
      <c r="B374" s="38" t="inlineStr">
        <is>
          <t>Toowoomba</t>
        </is>
      </c>
      <c r="C374" s="15" t="n">
        <v>6</v>
      </c>
      <c r="D374" s="15" t="n">
        <v>10</v>
      </c>
      <c r="E374" s="14" t="inlineStr">
        <is>
          <t>Amuseantes</t>
        </is>
      </c>
      <c r="F374" s="43" t="inlineStr">
        <is>
          <t>Lay</t>
        </is>
      </c>
      <c r="G374" s="47" t="inlineStr">
        <is>
          <t>Lay</t>
        </is>
      </c>
      <c r="H374" s="41" t="n">
        <v>4.6</v>
      </c>
      <c r="I374" s="41" t="n">
        <v>3.45</v>
      </c>
      <c r="J374" s="16" t="n">
        <v>-0.0635</v>
      </c>
      <c r="K374" s="42" t="n">
        <v>1</v>
      </c>
      <c r="L374" s="15" t="n">
        <v>4</v>
      </c>
      <c r="M374" s="51" t="inlineStr">
        <is>
          <t>Win</t>
        </is>
      </c>
      <c r="N374" s="17">
        <f>IF(M374="Win",IF(F374="Bet",(I374-1)*K374,K374),IF(M374="Loss",IF(F374="Bet",-K374,-(I374-1)*K374),IF(M374="Void",0,"")))</f>
        <v/>
      </c>
      <c r="O374" s="18">
        <f>IF(OR(M374="Win",M374="Loss"),IF(F374="Bet",K374,(I374-1)*K374),"")</f>
        <v/>
      </c>
    </row>
    <row r="375">
      <c r="A375" s="44" t="n">
        <v>46291</v>
      </c>
      <c r="B375" s="45" t="inlineStr">
        <is>
          <t>Toowoomba</t>
        </is>
      </c>
      <c r="C375" s="21" t="n">
        <v>4</v>
      </c>
      <c r="D375" s="21" t="n">
        <v>15</v>
      </c>
      <c r="E375" s="20" t="inlineStr">
        <is>
          <t>Propaganda</t>
        </is>
      </c>
      <c r="F375" s="46" t="inlineStr">
        <is>
          <t>Lay</t>
        </is>
      </c>
      <c r="G375" s="47" t="inlineStr">
        <is>
          <t>Lay</t>
        </is>
      </c>
      <c r="H375" s="48" t="n">
        <v>4.4</v>
      </c>
      <c r="I375" s="48" t="n">
        <v>3.45</v>
      </c>
      <c r="J375" s="22" t="n">
        <v>-0.0605</v>
      </c>
      <c r="K375" s="49" t="n">
        <v>1</v>
      </c>
      <c r="L375" s="21" t="n"/>
      <c r="M375" s="55" t="inlineStr">
        <is>
          <t>Void</t>
        </is>
      </c>
      <c r="N375" s="23">
        <f>IF(M375="Win",IF(F375="Bet",(I375-1)*K375,K375),IF(M375="Loss",IF(F375="Bet",-K375,-(I375-1)*K375),IF(M375="Void",0,"")))</f>
        <v/>
      </c>
      <c r="O375" s="24">
        <f>IF(OR(M375="Win",M375="Loss"),IF(F375="Bet",K375,(I375-1)*K375),"")</f>
        <v/>
      </c>
    </row>
    <row r="376">
      <c r="A376" s="37" t="n">
        <v>46291</v>
      </c>
      <c r="B376" s="38" t="inlineStr">
        <is>
          <t>Rosehill</t>
        </is>
      </c>
      <c r="C376" s="15" t="n">
        <v>8</v>
      </c>
      <c r="D376" s="15" t="n">
        <v>5</v>
      </c>
      <c r="E376" s="14" t="inlineStr">
        <is>
          <t>St Gotthard</t>
        </is>
      </c>
      <c r="F376" s="43" t="inlineStr">
        <is>
          <t>Lay</t>
        </is>
      </c>
      <c r="G376" s="47" t="inlineStr">
        <is>
          <t>Lay</t>
        </is>
      </c>
      <c r="H376" s="41" t="n">
        <v>6.6</v>
      </c>
      <c r="I376" s="41" t="n">
        <v>3.95</v>
      </c>
      <c r="J376" s="16" t="n">
        <v>-0.0667</v>
      </c>
      <c r="K376" s="42" t="n">
        <v>1</v>
      </c>
      <c r="L376" s="15" t="n">
        <v>2</v>
      </c>
      <c r="M376" s="51" t="inlineStr">
        <is>
          <t>Win</t>
        </is>
      </c>
      <c r="N376" s="17">
        <f>IF(M376="Win",IF(F376="Bet",(I376-1)*K376,K376),IF(M376="Loss",IF(F376="Bet",-K376,-(I376-1)*K376),IF(M376="Void",0,"")))</f>
        <v/>
      </c>
      <c r="O376" s="18">
        <f>IF(OR(M376="Win",M376="Loss"),IF(F376="Bet",K376,(I376-1)*K376),"")</f>
        <v/>
      </c>
    </row>
    <row r="377">
      <c r="A377" s="44" t="n">
        <v>46291</v>
      </c>
      <c r="B377" s="45" t="inlineStr">
        <is>
          <t>Kembla Grange</t>
        </is>
      </c>
      <c r="C377" s="21" t="n">
        <v>4</v>
      </c>
      <c r="D377" s="21" t="n">
        <v>5</v>
      </c>
      <c r="E377" s="20" t="inlineStr">
        <is>
          <t>Mayleigh</t>
        </is>
      </c>
      <c r="F377" s="46" t="inlineStr">
        <is>
          <t>Lay</t>
        </is>
      </c>
      <c r="G377" s="47" t="inlineStr">
        <is>
          <t>Lay</t>
        </is>
      </c>
      <c r="H377" s="48" t="n">
        <v>5.3</v>
      </c>
      <c r="I377" s="48" t="n">
        <v>4</v>
      </c>
      <c r="J377" s="22" t="n">
        <v>-0.0608</v>
      </c>
      <c r="K377" s="49" t="n">
        <v>1</v>
      </c>
      <c r="L377" s="21" t="n">
        <v>1</v>
      </c>
      <c r="M377" s="46" t="inlineStr">
        <is>
          <t>Loss</t>
        </is>
      </c>
      <c r="N377" s="23">
        <f>IF(M377="Win",IF(F377="Bet",(I377-1)*K377,K377),IF(M377="Loss",IF(F377="Bet",-K377,-(I377-1)*K377),IF(M377="Void",0,"")))</f>
        <v/>
      </c>
      <c r="O377" s="24">
        <f>IF(OR(M377="Win",M377="Loss"),IF(F377="Bet",K377,(I377-1)*K377),"")</f>
        <v/>
      </c>
    </row>
    <row r="378">
      <c r="A378" s="37" t="n">
        <v>46291</v>
      </c>
      <c r="B378" s="38" t="inlineStr">
        <is>
          <t>Kembla Grange</t>
        </is>
      </c>
      <c r="C378" s="15" t="n">
        <v>7</v>
      </c>
      <c r="D378" s="15" t="n">
        <v>13</v>
      </c>
      <c r="E378" s="14" t="inlineStr">
        <is>
          <t>Stitzer</t>
        </is>
      </c>
      <c r="F378" s="43" t="inlineStr">
        <is>
          <t>Lay</t>
        </is>
      </c>
      <c r="G378" s="47" t="inlineStr">
        <is>
          <t>Lay</t>
        </is>
      </c>
      <c r="H378" s="41" t="n">
        <v>6.6</v>
      </c>
      <c r="I378" s="41" t="n">
        <v>4.3</v>
      </c>
      <c r="J378" s="16" t="n">
        <v>-0.06610000000000001</v>
      </c>
      <c r="K378" s="42" t="n">
        <v>1</v>
      </c>
      <c r="L378" s="15" t="n">
        <v>12</v>
      </c>
      <c r="M378" s="51" t="inlineStr">
        <is>
          <t>Win</t>
        </is>
      </c>
      <c r="N378" s="17">
        <f>IF(M378="Win",IF(F378="Bet",(I378-1)*K378,K378),IF(M378="Loss",IF(F378="Bet",-K378,-(I378-1)*K378),IF(M378="Void",0,"")))</f>
        <v/>
      </c>
      <c r="O378" s="18">
        <f>IF(OR(M378="Win",M378="Loss"),IF(F378="Bet",K378,(I378-1)*K378),"")</f>
        <v/>
      </c>
    </row>
    <row r="379">
      <c r="A379" s="44" t="n">
        <v>46291</v>
      </c>
      <c r="B379" s="45" t="inlineStr">
        <is>
          <t>Murray Bridge GH</t>
        </is>
      </c>
      <c r="C379" s="21" t="n">
        <v>3</v>
      </c>
      <c r="D379" s="21" t="n">
        <v>4</v>
      </c>
      <c r="E379" s="20" t="inlineStr">
        <is>
          <t>From The Block</t>
        </is>
      </c>
      <c r="F379" s="46" t="inlineStr">
        <is>
          <t>Lay</t>
        </is>
      </c>
      <c r="G379" s="47" t="inlineStr">
        <is>
          <t>Lay</t>
        </is>
      </c>
      <c r="H379" s="48" t="n">
        <v>6.2</v>
      </c>
      <c r="I379" s="48" t="n">
        <v>3.24</v>
      </c>
      <c r="J379" s="22" t="n">
        <v>-0.0611</v>
      </c>
      <c r="K379" s="49" t="n">
        <v>1</v>
      </c>
      <c r="L379" s="21" t="n">
        <v>1</v>
      </c>
      <c r="M379" s="46" t="inlineStr">
        <is>
          <t>Loss</t>
        </is>
      </c>
      <c r="N379" s="23">
        <f>IF(M379="Win",IF(F379="Bet",(I379-1)*K379,K379),IF(M379="Loss",IF(F379="Bet",-K379,-(I379-1)*K379),IF(M379="Void",0,"")))</f>
        <v/>
      </c>
      <c r="O379" s="24">
        <f>IF(OR(M379="Win",M379="Loss"),IF(F379="Bet",K379,(I379-1)*K379),"")</f>
        <v/>
      </c>
    </row>
    <row r="380">
      <c r="A380" s="37" t="n">
        <v>46291</v>
      </c>
      <c r="B380" s="38" t="inlineStr">
        <is>
          <t>Murray Bridge GH</t>
        </is>
      </c>
      <c r="C380" s="15" t="n">
        <v>2</v>
      </c>
      <c r="D380" s="15" t="n">
        <v>9</v>
      </c>
      <c r="E380" s="14" t="inlineStr">
        <is>
          <t>Golden Cloud</t>
        </is>
      </c>
      <c r="F380" s="43" t="inlineStr">
        <is>
          <t>Lay</t>
        </is>
      </c>
      <c r="G380" s="47" t="inlineStr">
        <is>
          <t>Lay</t>
        </is>
      </c>
      <c r="H380" s="41" t="n">
        <v>5.8</v>
      </c>
      <c r="I380" s="41" t="n">
        <v>4.2</v>
      </c>
      <c r="J380" s="16" t="n">
        <v>-0.0665</v>
      </c>
      <c r="K380" s="42" t="n">
        <v>1</v>
      </c>
      <c r="L380" s="15" t="n">
        <v>1</v>
      </c>
      <c r="M380" s="43" t="inlineStr">
        <is>
          <t>Loss</t>
        </is>
      </c>
      <c r="N380" s="17">
        <f>IF(M380="Win",IF(F380="Bet",(I380-1)*K380,K380),IF(M380="Loss",IF(F380="Bet",-K380,-(I380-1)*K380),IF(M380="Void",0,"")))</f>
        <v/>
      </c>
      <c r="O380" s="18">
        <f>IF(OR(M380="Win",M380="Loss"),IF(F380="Bet",K380,(I380-1)*K380),"")</f>
        <v/>
      </c>
    </row>
    <row r="381">
      <c r="A381" s="44" t="n">
        <v>46291</v>
      </c>
      <c r="B381" s="45" t="inlineStr">
        <is>
          <t>Toowoomba</t>
        </is>
      </c>
      <c r="C381" s="21" t="n">
        <v>4</v>
      </c>
      <c r="D381" s="21" t="n">
        <v>10</v>
      </c>
      <c r="E381" s="20" t="inlineStr">
        <is>
          <t>Howdoyouzou</t>
        </is>
      </c>
      <c r="F381" s="46" t="inlineStr">
        <is>
          <t>Lay</t>
        </is>
      </c>
      <c r="G381" s="47" t="inlineStr">
        <is>
          <t>Lay</t>
        </is>
      </c>
      <c r="H381" s="48" t="n">
        <v>4.6</v>
      </c>
      <c r="I381" s="48" t="n">
        <v>3</v>
      </c>
      <c r="J381" s="22" t="n">
        <v>-0.07779999999999999</v>
      </c>
      <c r="K381" s="49" t="n">
        <v>1</v>
      </c>
      <c r="L381" s="21" t="n">
        <v>1</v>
      </c>
      <c r="M381" s="46" t="inlineStr">
        <is>
          <t>Loss</t>
        </is>
      </c>
      <c r="N381" s="23">
        <f>IF(M381="Win",IF(F381="Bet",(I381-1)*K381,K381),IF(M381="Loss",IF(F381="Bet",-K381,-(I381-1)*K381),IF(M381="Void",0,"")))</f>
        <v/>
      </c>
      <c r="O381" s="24">
        <f>IF(OR(M381="Win",M381="Loss"),IF(F381="Bet",K381,(I381-1)*K381),"")</f>
        <v/>
      </c>
    </row>
    <row r="382">
      <c r="A382" s="37" t="n">
        <v>46291</v>
      </c>
      <c r="B382" s="38" t="inlineStr">
        <is>
          <t>Gold Coast</t>
        </is>
      </c>
      <c r="C382" s="15" t="n">
        <v>6</v>
      </c>
      <c r="D382" s="15" t="n">
        <v>2</v>
      </c>
      <c r="E382" s="14" t="inlineStr">
        <is>
          <t>Col Burn</t>
        </is>
      </c>
      <c r="F382" s="43" t="inlineStr">
        <is>
          <t>Lay</t>
        </is>
      </c>
      <c r="G382" s="47" t="inlineStr">
        <is>
          <t>Lay</t>
        </is>
      </c>
      <c r="H382" s="41" t="n">
        <v>5.3</v>
      </c>
      <c r="I382" s="41" t="n">
        <v>3.95</v>
      </c>
      <c r="J382" s="16" t="n">
        <v>-0.0649</v>
      </c>
      <c r="K382" s="42" t="n">
        <v>1</v>
      </c>
      <c r="L382" s="15" t="n">
        <v>2</v>
      </c>
      <c r="M382" s="51" t="inlineStr">
        <is>
          <t>Win</t>
        </is>
      </c>
      <c r="N382" s="17">
        <f>IF(M382="Win",IF(F382="Bet",(I382-1)*K382,K382),IF(M382="Loss",IF(F382="Bet",-K382,-(I382-1)*K382),IF(M382="Void",0,"")))</f>
        <v/>
      </c>
      <c r="O382" s="18">
        <f>IF(OR(M382="Win",M382="Loss"),IF(F382="Bet",K382,(I382-1)*K382),"")</f>
        <v/>
      </c>
    </row>
    <row r="383">
      <c r="A383" s="44" t="n">
        <v>46291</v>
      </c>
      <c r="B383" s="45" t="inlineStr">
        <is>
          <t>Toowoomba</t>
        </is>
      </c>
      <c r="C383" s="21" t="n">
        <v>5</v>
      </c>
      <c r="D383" s="21" t="n">
        <v>4</v>
      </c>
      <c r="E383" s="20" t="inlineStr">
        <is>
          <t>Rimbaud</t>
        </is>
      </c>
      <c r="F383" s="46" t="inlineStr">
        <is>
          <t>Lay</t>
        </is>
      </c>
      <c r="G383" s="47" t="inlineStr">
        <is>
          <t>Lay</t>
        </is>
      </c>
      <c r="H383" s="48" t="n">
        <v>5.6</v>
      </c>
      <c r="I383" s="48" t="n">
        <v>4.1</v>
      </c>
      <c r="J383" s="22" t="n">
        <v>-0.0654</v>
      </c>
      <c r="K383" s="49" t="n">
        <v>1</v>
      </c>
      <c r="L383" s="21" t="n">
        <v>6</v>
      </c>
      <c r="M383" s="50" t="inlineStr">
        <is>
          <t>Win</t>
        </is>
      </c>
      <c r="N383" s="23">
        <f>IF(M383="Win",IF(F383="Bet",(I383-1)*K383,K383),IF(M383="Loss",IF(F383="Bet",-K383,-(I383-1)*K383),IF(M383="Void",0,"")))</f>
        <v/>
      </c>
      <c r="O383" s="24">
        <f>IF(OR(M383="Win",M383="Loss"),IF(F383="Bet",K383,(I383-1)*K383),"")</f>
        <v/>
      </c>
    </row>
    <row r="384">
      <c r="A384" s="37" t="n">
        <v>46291</v>
      </c>
      <c r="B384" s="38" t="inlineStr">
        <is>
          <t>Mingenew</t>
        </is>
      </c>
      <c r="C384" s="15" t="n">
        <v>6</v>
      </c>
      <c r="D384" s="15" t="n">
        <v>4</v>
      </c>
      <c r="E384" s="14" t="inlineStr">
        <is>
          <t>Western Impact</t>
        </is>
      </c>
      <c r="F384" s="43" t="inlineStr">
        <is>
          <t>Lay</t>
        </is>
      </c>
      <c r="G384" s="47" t="inlineStr">
        <is>
          <t>Lay</t>
        </is>
      </c>
      <c r="H384" s="41" t="n">
        <v>4.3</v>
      </c>
      <c r="I384" s="41" t="n">
        <v>3.3</v>
      </c>
      <c r="J384" s="16" t="n">
        <v>-0.0678</v>
      </c>
      <c r="K384" s="42" t="n">
        <v>1</v>
      </c>
      <c r="L384" s="15" t="n">
        <v>2</v>
      </c>
      <c r="M384" s="51" t="inlineStr">
        <is>
          <t>Win</t>
        </is>
      </c>
      <c r="N384" s="17">
        <f>IF(M384="Win",IF(F384="Bet",(I384-1)*K384,K384),IF(M384="Loss",IF(F384="Bet",-K384,-(I384-1)*K384),IF(M384="Void",0,"")))</f>
        <v/>
      </c>
      <c r="O384" s="18">
        <f>IF(OR(M384="Win",M384="Loss"),IF(F384="Bet",K384,(I384-1)*K384),"")</f>
        <v/>
      </c>
    </row>
    <row r="385">
      <c r="A385" s="44" t="n">
        <v>46291</v>
      </c>
      <c r="B385" s="45" t="inlineStr">
        <is>
          <t>Gold Coast</t>
        </is>
      </c>
      <c r="C385" s="21" t="n">
        <v>1</v>
      </c>
      <c r="D385" s="21" t="n">
        <v>4</v>
      </c>
      <c r="E385" s="20" t="inlineStr">
        <is>
          <t>Tisani James</t>
        </is>
      </c>
      <c r="F385" s="46" t="inlineStr">
        <is>
          <t>Lay</t>
        </is>
      </c>
      <c r="G385" s="47" t="inlineStr">
        <is>
          <t>Lay</t>
        </is>
      </c>
      <c r="H385" s="48" t="n">
        <v>6.6</v>
      </c>
      <c r="I385" s="48" t="n">
        <v>4.1</v>
      </c>
      <c r="J385" s="22" t="n">
        <v>-0.0914</v>
      </c>
      <c r="K385" s="49" t="n">
        <v>1</v>
      </c>
      <c r="L385" s="21" t="n">
        <v>4</v>
      </c>
      <c r="M385" s="50" t="inlineStr">
        <is>
          <t>Win</t>
        </is>
      </c>
      <c r="N385" s="23">
        <f>IF(M385="Win",IF(F385="Bet",(I385-1)*K385,K385),IF(M385="Loss",IF(F385="Bet",-K385,-(I385-1)*K385),IF(M385="Void",0,"")))</f>
        <v/>
      </c>
      <c r="O385" s="24">
        <f>IF(OR(M385="Win",M385="Loss"),IF(F385="Bet",K385,(I385-1)*K385),"")</f>
        <v/>
      </c>
    </row>
    <row r="386">
      <c r="A386" s="37" t="n">
        <v>46291</v>
      </c>
      <c r="B386" s="38" t="inlineStr">
        <is>
          <t>Mingenew</t>
        </is>
      </c>
      <c r="C386" s="15" t="n">
        <v>3</v>
      </c>
      <c r="D386" s="15" t="n">
        <v>8</v>
      </c>
      <c r="E386" s="14" t="inlineStr">
        <is>
          <t>Hot Puddin</t>
        </is>
      </c>
      <c r="F386" s="43" t="inlineStr">
        <is>
          <t>Lay</t>
        </is>
      </c>
      <c r="G386" s="47" t="inlineStr">
        <is>
          <t>Lay</t>
        </is>
      </c>
      <c r="H386" s="41" t="n">
        <v>36.2</v>
      </c>
      <c r="I386" s="41" t="n">
        <v>10</v>
      </c>
      <c r="J386" s="16" t="n">
        <v>-0.07240000000000001</v>
      </c>
      <c r="K386" s="42" t="n">
        <v>1</v>
      </c>
      <c r="L386" s="15" t="n">
        <v>8</v>
      </c>
      <c r="M386" s="51" t="inlineStr">
        <is>
          <t>Win</t>
        </is>
      </c>
      <c r="N386" s="17">
        <f>IF(M386="Win",IF(F386="Bet",(I386-1)*K386,K386),IF(M386="Loss",IF(F386="Bet",-K386,-(I386-1)*K386),IF(M386="Void",0,"")))</f>
        <v/>
      </c>
      <c r="O386" s="18">
        <f>IF(OR(M386="Win",M386="Loss"),IF(F386="Bet",K386,(I386-1)*K386),"")</f>
        <v/>
      </c>
    </row>
    <row r="387">
      <c r="A387" s="44" t="n">
        <v>46291</v>
      </c>
      <c r="B387" s="45" t="inlineStr">
        <is>
          <t>Longreach</t>
        </is>
      </c>
      <c r="C387" s="21" t="n">
        <v>3</v>
      </c>
      <c r="D387" s="21" t="n">
        <v>3</v>
      </c>
      <c r="E387" s="20" t="inlineStr">
        <is>
          <t>Royalify</t>
        </is>
      </c>
      <c r="F387" s="46" t="inlineStr">
        <is>
          <t>Lay</t>
        </is>
      </c>
      <c r="G387" s="47" t="inlineStr">
        <is>
          <t>Lay</t>
        </is>
      </c>
      <c r="H387" s="48" t="n">
        <v>2.85</v>
      </c>
      <c r="I387" s="48" t="n">
        <v>1.9</v>
      </c>
      <c r="J387" s="22" t="n">
        <v>-0.1038</v>
      </c>
      <c r="K387" s="49" t="n">
        <v>1</v>
      </c>
      <c r="L387" s="21" t="n">
        <v>2</v>
      </c>
      <c r="M387" s="50" t="inlineStr">
        <is>
          <t>Win</t>
        </is>
      </c>
      <c r="N387" s="23">
        <f>IF(M387="Win",IF(F387="Bet",(I387-1)*K387,K387),IF(M387="Loss",IF(F387="Bet",-K387,-(I387-1)*K387),IF(M387="Void",0,"")))</f>
        <v/>
      </c>
      <c r="O387" s="24">
        <f>IF(OR(M387="Win",M387="Loss"),IF(F387="Bet",K387,(I387-1)*K387),"")</f>
        <v/>
      </c>
    </row>
    <row r="388">
      <c r="A388" s="37" t="n">
        <v>46291</v>
      </c>
      <c r="B388" s="38" t="inlineStr">
        <is>
          <t>Longreach</t>
        </is>
      </c>
      <c r="C388" s="15" t="n">
        <v>6</v>
      </c>
      <c r="D388" s="15" t="n">
        <v>5</v>
      </c>
      <c r="E388" s="14" t="inlineStr">
        <is>
          <t>Holy Holy Holy</t>
        </is>
      </c>
      <c r="F388" s="43" t="inlineStr">
        <is>
          <t>Lay</t>
        </is>
      </c>
      <c r="G388" s="47" t="inlineStr">
        <is>
          <t>Lay</t>
        </is>
      </c>
      <c r="H388" s="41" t="n">
        <v>6.8</v>
      </c>
      <c r="I388" s="41" t="n">
        <v>3.61</v>
      </c>
      <c r="J388" s="16" t="n">
        <v>-0.0611</v>
      </c>
      <c r="K388" s="42" t="n">
        <v>1</v>
      </c>
      <c r="L388" s="15" t="n">
        <v>2</v>
      </c>
      <c r="M388" s="51" t="inlineStr">
        <is>
          <t>Win</t>
        </is>
      </c>
      <c r="N388" s="17">
        <f>IF(M388="Win",IF(F388="Bet",(I388-1)*K388,K388),IF(M388="Loss",IF(F388="Bet",-K388,-(I388-1)*K388),IF(M388="Void",0,"")))</f>
        <v/>
      </c>
      <c r="O388" s="18">
        <f>IF(OR(M388="Win",M388="Loss"),IF(F388="Bet",K388,(I388-1)*K388),"")</f>
        <v/>
      </c>
    </row>
    <row r="389">
      <c r="A389" s="44" t="n">
        <v>46291</v>
      </c>
      <c r="B389" s="45" t="inlineStr">
        <is>
          <t>Mornington</t>
        </is>
      </c>
      <c r="C389" s="21" t="n">
        <v>1</v>
      </c>
      <c r="D389" s="21" t="n">
        <v>4</v>
      </c>
      <c r="E389" s="20" t="inlineStr">
        <is>
          <t>Celestial Zara</t>
        </is>
      </c>
      <c r="F389" s="46" t="inlineStr">
        <is>
          <t>Lay</t>
        </is>
      </c>
      <c r="G389" s="47" t="inlineStr">
        <is>
          <t>Lay</t>
        </is>
      </c>
      <c r="H389" s="48" t="n">
        <v>4.7</v>
      </c>
      <c r="I389" s="48" t="n">
        <v>3.55</v>
      </c>
      <c r="J389" s="22" t="n">
        <v>-0.064</v>
      </c>
      <c r="K389" s="49" t="n">
        <v>1</v>
      </c>
      <c r="L389" s="21" t="n">
        <v>4</v>
      </c>
      <c r="M389" s="50" t="inlineStr">
        <is>
          <t>Win</t>
        </is>
      </c>
      <c r="N389" s="23">
        <f>IF(M389="Win",IF(F389="Bet",(I389-1)*K389,K389),IF(M389="Loss",IF(F389="Bet",-K389,-(I389-1)*K389),IF(M389="Void",0,"")))</f>
        <v/>
      </c>
      <c r="O389" s="24">
        <f>IF(OR(M389="Win",M389="Loss"),IF(F389="Bet",K389,(I389-1)*K389),"")</f>
        <v/>
      </c>
    </row>
    <row r="390">
      <c r="A390" s="37" t="n">
        <v>46291</v>
      </c>
      <c r="B390" s="38" t="inlineStr">
        <is>
          <t>Toowoomba</t>
        </is>
      </c>
      <c r="C390" s="15" t="n">
        <v>1</v>
      </c>
      <c r="D390" s="15" t="n">
        <v>6</v>
      </c>
      <c r="E390" s="14" t="inlineStr">
        <is>
          <t>Thats Archies Girl</t>
        </is>
      </c>
      <c r="F390" s="43" t="inlineStr">
        <is>
          <t>Lay</t>
        </is>
      </c>
      <c r="G390" s="47" t="inlineStr">
        <is>
          <t>Lay</t>
        </is>
      </c>
      <c r="H390" s="41" t="n">
        <v>5.2</v>
      </c>
      <c r="I390" s="41" t="n">
        <v>3.9</v>
      </c>
      <c r="J390" s="16" t="n">
        <v>-0.0641</v>
      </c>
      <c r="K390" s="42" t="n">
        <v>1</v>
      </c>
      <c r="L390" s="15" t="n">
        <v>5</v>
      </c>
      <c r="M390" s="51" t="inlineStr">
        <is>
          <t>Win</t>
        </is>
      </c>
      <c r="N390" s="17">
        <f>IF(M390="Win",IF(F390="Bet",(I390-1)*K390,K390),IF(M390="Loss",IF(F390="Bet",-K390,-(I390-1)*K390),IF(M390="Void",0,"")))</f>
        <v/>
      </c>
      <c r="O390" s="18">
        <f>IF(OR(M390="Win",M390="Loss"),IF(F390="Bet",K390,(I390-1)*K390),"")</f>
        <v/>
      </c>
    </row>
    <row r="391">
      <c r="A391" s="44" t="n">
        <v>46291</v>
      </c>
      <c r="B391" s="45" t="inlineStr">
        <is>
          <t>Kembla Grange</t>
        </is>
      </c>
      <c r="C391" s="21" t="n">
        <v>3</v>
      </c>
      <c r="D391" s="21" t="n">
        <v>9</v>
      </c>
      <c r="E391" s="20" t="inlineStr">
        <is>
          <t>Nomadic</t>
        </is>
      </c>
      <c r="F391" s="46" t="inlineStr">
        <is>
          <t>Lay</t>
        </is>
      </c>
      <c r="G391" s="47" t="inlineStr">
        <is>
          <t>Lay</t>
        </is>
      </c>
      <c r="H391" s="48" t="n">
        <v>3</v>
      </c>
      <c r="I391" s="48" t="n">
        <v>2.24</v>
      </c>
      <c r="J391" s="22" t="n">
        <v>-0.0711</v>
      </c>
      <c r="K391" s="49" t="n">
        <v>1</v>
      </c>
      <c r="L391" s="21" t="n">
        <v>1</v>
      </c>
      <c r="M391" s="46" t="inlineStr">
        <is>
          <t>Loss</t>
        </is>
      </c>
      <c r="N391" s="23">
        <f>IF(M391="Win",IF(F391="Bet",(I391-1)*K391,K391),IF(M391="Loss",IF(F391="Bet",-K391,-(I391-1)*K391),IF(M391="Void",0,"")))</f>
        <v/>
      </c>
      <c r="O391" s="24">
        <f>IF(OR(M391="Win",M391="Loss"),IF(F391="Bet",K391,(I391-1)*K391),"")</f>
        <v/>
      </c>
    </row>
    <row r="392">
      <c r="A392" s="37" t="n">
        <v>46291</v>
      </c>
      <c r="B392" s="38" t="inlineStr">
        <is>
          <t>Toowoomba</t>
        </is>
      </c>
      <c r="C392" s="15" t="n">
        <v>2</v>
      </c>
      <c r="D392" s="15" t="n">
        <v>7</v>
      </c>
      <c r="E392" s="14" t="inlineStr">
        <is>
          <t>The Louvre</t>
        </is>
      </c>
      <c r="F392" s="43" t="inlineStr">
        <is>
          <t>Lay</t>
        </is>
      </c>
      <c r="G392" s="47" t="inlineStr">
        <is>
          <t>Lay</t>
        </is>
      </c>
      <c r="H392" s="41" t="n">
        <v>3.5</v>
      </c>
      <c r="I392" s="41" t="n">
        <v>2.64</v>
      </c>
      <c r="J392" s="16" t="n">
        <v>-0.0621</v>
      </c>
      <c r="K392" s="42" t="n">
        <v>1</v>
      </c>
      <c r="L392" s="15" t="n">
        <v>1</v>
      </c>
      <c r="M392" s="43" t="inlineStr">
        <is>
          <t>Loss</t>
        </is>
      </c>
      <c r="N392" s="17">
        <f>IF(M392="Win",IF(F392="Bet",(I392-1)*K392,K392),IF(M392="Loss",IF(F392="Bet",-K392,-(I392-1)*K392),IF(M392="Void",0,"")))</f>
        <v/>
      </c>
      <c r="O392" s="18">
        <f>IF(OR(M392="Win",M392="Loss"),IF(F392="Bet",K392,(I392-1)*K392),"")</f>
        <v/>
      </c>
    </row>
    <row r="393">
      <c r="A393" s="44" t="n">
        <v>46291</v>
      </c>
      <c r="B393" s="45" t="inlineStr">
        <is>
          <t>Toowoomba</t>
        </is>
      </c>
      <c r="C393" s="21" t="n">
        <v>3</v>
      </c>
      <c r="D393" s="21" t="n">
        <v>13</v>
      </c>
      <c r="E393" s="20" t="inlineStr">
        <is>
          <t>Galway Flyer</t>
        </is>
      </c>
      <c r="F393" s="46" t="inlineStr">
        <is>
          <t>Lay</t>
        </is>
      </c>
      <c r="G393" s="47" t="inlineStr">
        <is>
          <t>Lay</t>
        </is>
      </c>
      <c r="H393" s="48" t="n">
        <v>7.3</v>
      </c>
      <c r="I393" s="48" t="n">
        <v>4.2</v>
      </c>
      <c r="J393" s="22" t="n">
        <v>-0.0665</v>
      </c>
      <c r="K393" s="49" t="n">
        <v>1</v>
      </c>
      <c r="L393" s="21" t="n">
        <v>4</v>
      </c>
      <c r="M393" s="50" t="inlineStr">
        <is>
          <t>Win</t>
        </is>
      </c>
      <c r="N393" s="23">
        <f>IF(M393="Win",IF(F393="Bet",(I393-1)*K393,K393),IF(M393="Loss",IF(F393="Bet",-K393,-(I393-1)*K393),IF(M393="Void",0,"")))</f>
        <v/>
      </c>
      <c r="O393" s="24">
        <f>IF(OR(M393="Win",M393="Loss"),IF(F393="Bet",K393,(I393-1)*K393),"")</f>
        <v/>
      </c>
    </row>
    <row r="394">
      <c r="A394" s="37" t="n">
        <v>46291</v>
      </c>
      <c r="B394" s="38" t="inlineStr">
        <is>
          <t>Canberra</t>
        </is>
      </c>
      <c r="C394" s="15" t="n">
        <v>4</v>
      </c>
      <c r="D394" s="15" t="n">
        <v>3</v>
      </c>
      <c r="E394" s="14" t="inlineStr">
        <is>
          <t>Northy Lad</t>
        </is>
      </c>
      <c r="F394" s="43" t="inlineStr">
        <is>
          <t>Lay</t>
        </is>
      </c>
      <c r="G394" s="47" t="inlineStr">
        <is>
          <t>Lay</t>
        </is>
      </c>
      <c r="H394" s="41" t="n">
        <v>4.1</v>
      </c>
      <c r="I394" s="41" t="n">
        <v>3.1</v>
      </c>
      <c r="J394" s="16" t="n">
        <v>-0.0772</v>
      </c>
      <c r="K394" s="42" t="n">
        <v>1</v>
      </c>
      <c r="L394" s="15" t="n">
        <v>6</v>
      </c>
      <c r="M394" s="51" t="inlineStr">
        <is>
          <t>Win</t>
        </is>
      </c>
      <c r="N394" s="17">
        <f>IF(M394="Win",IF(F394="Bet",(I394-1)*K394,K394),IF(M394="Loss",IF(F394="Bet",-K394,-(I394-1)*K394),IF(M394="Void",0,"")))</f>
        <v/>
      </c>
      <c r="O394" s="18">
        <f>IF(OR(M394="Win",M394="Loss"),IF(F394="Bet",K394,(I394-1)*K394),"")</f>
        <v/>
      </c>
    </row>
    <row r="395">
      <c r="A395" s="44" t="n">
        <v>46291</v>
      </c>
      <c r="B395" s="45" t="inlineStr">
        <is>
          <t>Canberra</t>
        </is>
      </c>
      <c r="C395" s="21" t="n">
        <v>4</v>
      </c>
      <c r="D395" s="21" t="n">
        <v>6</v>
      </c>
      <c r="E395" s="20" t="inlineStr">
        <is>
          <t>Avalon Lady</t>
        </is>
      </c>
      <c r="F395" s="46" t="inlineStr">
        <is>
          <t>Lay</t>
        </is>
      </c>
      <c r="G395" s="47" t="inlineStr">
        <is>
          <t>Lay</t>
        </is>
      </c>
      <c r="H395" s="48" t="n">
        <v>5.4</v>
      </c>
      <c r="I395" s="48" t="n">
        <v>3.15</v>
      </c>
      <c r="J395" s="22" t="n">
        <v>-0.06569999999999999</v>
      </c>
      <c r="K395" s="49" t="n">
        <v>1</v>
      </c>
      <c r="L395" s="21" t="n">
        <v>1</v>
      </c>
      <c r="M395" s="46" t="inlineStr">
        <is>
          <t>Loss</t>
        </is>
      </c>
      <c r="N395" s="23">
        <f>IF(M395="Win",IF(F395="Bet",(I395-1)*K395,K395),IF(M395="Loss",IF(F395="Bet",-K395,-(I395-1)*K395),IF(M395="Void",0,"")))</f>
        <v/>
      </c>
      <c r="O395" s="24">
        <f>IF(OR(M395="Win",M395="Loss"),IF(F395="Bet",K395,(I395-1)*K395),"")</f>
        <v/>
      </c>
    </row>
    <row r="396">
      <c r="A396" s="37" t="n">
        <v>46291</v>
      </c>
      <c r="B396" s="38" t="inlineStr">
        <is>
          <t>Longreach</t>
        </is>
      </c>
      <c r="C396" s="15" t="n">
        <v>4</v>
      </c>
      <c r="D396" s="15" t="n">
        <v>5</v>
      </c>
      <c r="E396" s="14" t="inlineStr">
        <is>
          <t>I'm Zac</t>
        </is>
      </c>
      <c r="F396" s="43" t="inlineStr">
        <is>
          <t>Lay</t>
        </is>
      </c>
      <c r="G396" s="47" t="inlineStr">
        <is>
          <t>Lay</t>
        </is>
      </c>
      <c r="H396" s="41" t="n">
        <v>4.3</v>
      </c>
      <c r="I396" s="41" t="n">
        <v>2.94</v>
      </c>
      <c r="J396" s="16" t="n">
        <v>-0.1102</v>
      </c>
      <c r="K396" s="42" t="n">
        <v>1</v>
      </c>
      <c r="L396" s="15" t="n">
        <v>3</v>
      </c>
      <c r="M396" s="51" t="inlineStr">
        <is>
          <t>Win</t>
        </is>
      </c>
      <c r="N396" s="17">
        <f>IF(M396="Win",IF(F396="Bet",(I396-1)*K396,K396),IF(M396="Loss",IF(F396="Bet",-K396,-(I396-1)*K396),IF(M396="Void",0,"")))</f>
        <v/>
      </c>
      <c r="O396" s="18">
        <f>IF(OR(M396="Win",M396="Loss"),IF(F396="Bet",K396,(I396-1)*K396),"")</f>
        <v/>
      </c>
    </row>
    <row r="397">
      <c r="A397" s="44" t="n">
        <v>46291</v>
      </c>
      <c r="B397" s="45" t="inlineStr">
        <is>
          <t>Longreach</t>
        </is>
      </c>
      <c r="C397" s="21" t="n">
        <v>5</v>
      </c>
      <c r="D397" s="21" t="n">
        <v>8</v>
      </c>
      <c r="E397" s="20" t="inlineStr">
        <is>
          <t>Yes Larry</t>
        </is>
      </c>
      <c r="F397" s="46" t="inlineStr">
        <is>
          <t>Lay</t>
        </is>
      </c>
      <c r="G397" s="47" t="inlineStr">
        <is>
          <t>Lay</t>
        </is>
      </c>
      <c r="H397" s="48" t="n">
        <v>3</v>
      </c>
      <c r="I397" s="48" t="n">
        <v>2.28</v>
      </c>
      <c r="J397" s="22" t="n">
        <v>-0.1029</v>
      </c>
      <c r="K397" s="49" t="n">
        <v>1</v>
      </c>
      <c r="L397" s="21" t="n">
        <v>2</v>
      </c>
      <c r="M397" s="50" t="inlineStr">
        <is>
          <t>Win</t>
        </is>
      </c>
      <c r="N397" s="23">
        <f>IF(M397="Win",IF(F397="Bet",(I397-1)*K397,K397),IF(M397="Loss",IF(F397="Bet",-K397,-(I397-1)*K397),IF(M397="Void",0,"")))</f>
        <v/>
      </c>
      <c r="O397" s="24">
        <f>IF(OR(M397="Win",M397="Loss"),IF(F397="Bet",K397,(I397-1)*K397),"")</f>
        <v/>
      </c>
    </row>
    <row r="398">
      <c r="A398" s="37" t="n">
        <v>46291</v>
      </c>
      <c r="B398" s="38" t="inlineStr">
        <is>
          <t>Gold Coast</t>
        </is>
      </c>
      <c r="C398" s="15" t="n">
        <v>8</v>
      </c>
      <c r="D398" s="15" t="n">
        <v>6</v>
      </c>
      <c r="E398" s="14" t="inlineStr">
        <is>
          <t>Zavega</t>
        </is>
      </c>
      <c r="F398" s="43" t="inlineStr">
        <is>
          <t>Lay</t>
        </is>
      </c>
      <c r="G398" s="47" t="inlineStr">
        <is>
          <t>Lay</t>
        </is>
      </c>
      <c r="H398" s="41" t="n">
        <v>4.1</v>
      </c>
      <c r="I398" s="41" t="n">
        <v>2.6</v>
      </c>
      <c r="J398" s="16" t="n">
        <v>-0.065</v>
      </c>
      <c r="K398" s="42" t="n">
        <v>1</v>
      </c>
      <c r="L398" s="15" t="n">
        <v>1</v>
      </c>
      <c r="M398" s="43" t="inlineStr">
        <is>
          <t>Loss</t>
        </is>
      </c>
      <c r="N398" s="17">
        <f>IF(M398="Win",IF(F398="Bet",(I398-1)*K398,K398),IF(M398="Loss",IF(F398="Bet",-K398,-(I398-1)*K398),IF(M398="Void",0,"")))</f>
        <v/>
      </c>
      <c r="O398" s="18">
        <f>IF(OR(M398="Win",M398="Loss"),IF(F398="Bet",K398,(I398-1)*K398),"")</f>
        <v/>
      </c>
    </row>
    <row r="399">
      <c r="A399" s="44" t="n">
        <v>46291</v>
      </c>
      <c r="B399" s="45" t="inlineStr">
        <is>
          <t>Mingenew</t>
        </is>
      </c>
      <c r="C399" s="21" t="n">
        <v>4</v>
      </c>
      <c r="D399" s="21" t="n">
        <v>6</v>
      </c>
      <c r="E399" s="20" t="inlineStr">
        <is>
          <t>State Of Fury</t>
        </is>
      </c>
      <c r="F399" s="46" t="inlineStr">
        <is>
          <t>Lay</t>
        </is>
      </c>
      <c r="G399" s="47" t="inlineStr">
        <is>
          <t>Lay</t>
        </is>
      </c>
      <c r="H399" s="48" t="n">
        <v>7</v>
      </c>
      <c r="I399" s="48" t="n">
        <v>4.6</v>
      </c>
      <c r="J399" s="22" t="n">
        <v>-0.0653</v>
      </c>
      <c r="K399" s="49" t="n">
        <v>1</v>
      </c>
      <c r="L399" s="21" t="n">
        <v>2</v>
      </c>
      <c r="M399" s="50" t="inlineStr">
        <is>
          <t>Win</t>
        </is>
      </c>
      <c r="N399" s="23">
        <f>IF(M399="Win",IF(F399="Bet",(I399-1)*K399,K399),IF(M399="Loss",IF(F399="Bet",-K399,-(I399-1)*K399),IF(M399="Void",0,"")))</f>
        <v/>
      </c>
      <c r="O399" s="24">
        <f>IF(OR(M399="Win",M399="Loss"),IF(F399="Bet",K399,(I399-1)*K399),"")</f>
        <v/>
      </c>
    </row>
    <row r="400">
      <c r="A400" s="37" t="n">
        <v>46291</v>
      </c>
      <c r="B400" s="38" t="inlineStr">
        <is>
          <t>Kembla Grange</t>
        </is>
      </c>
      <c r="C400" s="15" t="n">
        <v>8</v>
      </c>
      <c r="D400" s="15" t="n">
        <v>6</v>
      </c>
      <c r="E400" s="14" t="inlineStr">
        <is>
          <t>Peleus</t>
        </is>
      </c>
      <c r="F400" s="43" t="inlineStr">
        <is>
          <t>Lay</t>
        </is>
      </c>
      <c r="G400" s="47" t="inlineStr">
        <is>
          <t>Lay</t>
        </is>
      </c>
      <c r="H400" s="41" t="n">
        <v>4.6</v>
      </c>
      <c r="I400" s="41" t="n">
        <v>3.45</v>
      </c>
      <c r="J400" s="16" t="n">
        <v>-0.07049999999999999</v>
      </c>
      <c r="K400" s="42" t="n">
        <v>1</v>
      </c>
      <c r="L400" s="15" t="n">
        <v>1</v>
      </c>
      <c r="M400" s="43" t="inlineStr">
        <is>
          <t>Loss</t>
        </is>
      </c>
      <c r="N400" s="17">
        <f>IF(M400="Win",IF(F400="Bet",(I400-1)*K400,K400),IF(M400="Loss",IF(F400="Bet",-K400,-(I400-1)*K400),IF(M400="Void",0,"")))</f>
        <v/>
      </c>
      <c r="O400" s="18">
        <f>IF(OR(M400="Win",M400="Loss"),IF(F400="Bet",K400,(I400-1)*K400),"")</f>
        <v/>
      </c>
    </row>
    <row r="401">
      <c r="A401" s="44" t="n">
        <v>46291</v>
      </c>
      <c r="B401" s="45" t="inlineStr">
        <is>
          <t>Murray Bridge</t>
        </is>
      </c>
      <c r="C401" s="21" t="n">
        <v>8</v>
      </c>
      <c r="D401" s="21" t="n">
        <v>14</v>
      </c>
      <c r="E401" s="20" t="inlineStr">
        <is>
          <t>Daisydoo</t>
        </is>
      </c>
      <c r="F401" s="46" t="inlineStr">
        <is>
          <t>Lay</t>
        </is>
      </c>
      <c r="G401" s="47" t="inlineStr">
        <is>
          <t>Lay</t>
        </is>
      </c>
      <c r="H401" s="48" t="n">
        <v>5.7</v>
      </c>
      <c r="I401" s="48" t="n">
        <v>3.6</v>
      </c>
      <c r="J401" s="22" t="n">
        <v>-0.09429999999999999</v>
      </c>
      <c r="K401" s="49" t="n">
        <v>1</v>
      </c>
      <c r="L401" s="21" t="n">
        <v>8</v>
      </c>
      <c r="M401" s="50" t="inlineStr">
        <is>
          <t>Win</t>
        </is>
      </c>
      <c r="N401" s="23">
        <f>IF(M401="Win",IF(F401="Bet",(I401-1)*K401,K401),IF(M401="Loss",IF(F401="Bet",-K401,-(I401-1)*K401),IF(M401="Void",0,"")))</f>
        <v/>
      </c>
      <c r="O401" s="24">
        <f>IF(OR(M401="Win",M401="Loss"),IF(F401="Bet",K401,(I401-1)*K401),"")</f>
        <v/>
      </c>
    </row>
    <row r="402">
      <c r="A402" s="37" t="n">
        <v>46291</v>
      </c>
      <c r="B402" s="38" t="inlineStr">
        <is>
          <t>Belmont</t>
        </is>
      </c>
      <c r="C402" s="15" t="n">
        <v>8</v>
      </c>
      <c r="D402" s="15" t="n">
        <v>3</v>
      </c>
      <c r="E402" s="14" t="inlineStr">
        <is>
          <t>Streak Of God</t>
        </is>
      </c>
      <c r="F402" s="43" t="inlineStr">
        <is>
          <t>Lay</t>
        </is>
      </c>
      <c r="G402" s="47" t="inlineStr">
        <is>
          <t>Lay</t>
        </is>
      </c>
      <c r="H402" s="41" t="n">
        <v>5.6</v>
      </c>
      <c r="I402" s="41" t="n">
        <v>4.1</v>
      </c>
      <c r="J402" s="16" t="n">
        <v>-0.0643</v>
      </c>
      <c r="K402" s="42" t="n">
        <v>1</v>
      </c>
      <c r="L402" s="15" t="n">
        <v>1</v>
      </c>
      <c r="M402" s="43" t="inlineStr">
        <is>
          <t>Loss</t>
        </is>
      </c>
      <c r="N402" s="17">
        <f>IF(M402="Win",IF(F402="Bet",(I402-1)*K402,K402),IF(M402="Loss",IF(F402="Bet",-K402,-(I402-1)*K402),IF(M402="Void",0,"")))</f>
        <v/>
      </c>
      <c r="O402" s="18">
        <f>IF(OR(M402="Win",M402="Loss"),IF(F402="Bet",K402,(I402-1)*K402),"")</f>
        <v/>
      </c>
    </row>
    <row r="403">
      <c r="A403" s="44" t="n">
        <v>46291</v>
      </c>
      <c r="B403" s="45" t="inlineStr">
        <is>
          <t>Mingenew</t>
        </is>
      </c>
      <c r="C403" s="21" t="n">
        <v>6</v>
      </c>
      <c r="D403" s="21" t="n">
        <v>1</v>
      </c>
      <c r="E403" s="20" t="inlineStr">
        <is>
          <t>Repeater</t>
        </is>
      </c>
      <c r="F403" s="46" t="inlineStr">
        <is>
          <t>Lay</t>
        </is>
      </c>
      <c r="G403" s="47" t="inlineStr">
        <is>
          <t>Lay</t>
        </is>
      </c>
      <c r="H403" s="48" t="n">
        <v>4.9</v>
      </c>
      <c r="I403" s="48" t="n">
        <v>2.9</v>
      </c>
      <c r="J403" s="22" t="n">
        <v>-0.1026</v>
      </c>
      <c r="K403" s="49" t="n">
        <v>1</v>
      </c>
      <c r="L403" s="21" t="n">
        <v>1</v>
      </c>
      <c r="M403" s="46" t="inlineStr">
        <is>
          <t>Loss</t>
        </is>
      </c>
      <c r="N403" s="23">
        <f>IF(M403="Win",IF(F403="Bet",(I403-1)*K403,K403),IF(M403="Loss",IF(F403="Bet",-K403,-(I403-1)*K403),IF(M403="Void",0,"")))</f>
        <v/>
      </c>
      <c r="O403" s="24">
        <f>IF(OR(M403="Win",M403="Loss"),IF(F403="Bet",K403,(I403-1)*K403),"")</f>
        <v/>
      </c>
    </row>
    <row r="404">
      <c r="A404" s="37" t="n">
        <v>46291</v>
      </c>
      <c r="B404" s="38" t="inlineStr">
        <is>
          <t>Toowoomba</t>
        </is>
      </c>
      <c r="C404" s="15" t="n">
        <v>10</v>
      </c>
      <c r="D404" s="15" t="n">
        <v>12</v>
      </c>
      <c r="E404" s="14" t="inlineStr">
        <is>
          <t>Sir Winnie</t>
        </is>
      </c>
      <c r="F404" s="43" t="inlineStr">
        <is>
          <t>Lay</t>
        </is>
      </c>
      <c r="G404" s="47" t="inlineStr">
        <is>
          <t>Lay</t>
        </is>
      </c>
      <c r="H404" s="41" t="n">
        <v>4.1</v>
      </c>
      <c r="I404" s="41" t="n">
        <v>3.15</v>
      </c>
      <c r="J404" s="16" t="n">
        <v>-0.06859999999999999</v>
      </c>
      <c r="K404" s="42" t="n">
        <v>1</v>
      </c>
      <c r="L404" s="15" t="n">
        <v>2</v>
      </c>
      <c r="M404" s="51" t="inlineStr">
        <is>
          <t>Win</t>
        </is>
      </c>
      <c r="N404" s="17">
        <f>IF(M404="Win",IF(F404="Bet",(I404-1)*K404,K404),IF(M404="Loss",IF(F404="Bet",-K404,-(I404-1)*K404),IF(M404="Void",0,"")))</f>
        <v/>
      </c>
      <c r="O404" s="18">
        <f>IF(OR(M404="Win",M404="Loss"),IF(F404="Bet",K404,(I404-1)*K404),"")</f>
        <v/>
      </c>
    </row>
    <row r="405">
      <c r="A405" s="44" t="n">
        <v>46292</v>
      </c>
      <c r="B405" s="45" t="inlineStr">
        <is>
          <t>Dubbo</t>
        </is>
      </c>
      <c r="C405" s="21" t="n">
        <v>5</v>
      </c>
      <c r="D405" s="21" t="n">
        <v>5</v>
      </c>
      <c r="E405" s="20" t="inlineStr">
        <is>
          <t>Questionable</t>
        </is>
      </c>
      <c r="F405" s="46" t="inlineStr">
        <is>
          <t>Lay</t>
        </is>
      </c>
      <c r="G405" s="47" t="inlineStr">
        <is>
          <t>Lay</t>
        </is>
      </c>
      <c r="H405" s="48" t="n">
        <v>4.1</v>
      </c>
      <c r="I405" s="48" t="n">
        <v>2.14</v>
      </c>
      <c r="J405" s="22" t="n">
        <v>-0.06610000000000001</v>
      </c>
      <c r="K405" s="49" t="n">
        <v>1</v>
      </c>
      <c r="L405" s="21" t="n">
        <v>3</v>
      </c>
      <c r="M405" s="50" t="inlineStr">
        <is>
          <t>Win</t>
        </is>
      </c>
      <c r="N405" s="23">
        <f>IF(M405="Win",IF(F405="Bet",(I405-1)*K405,K405),IF(M405="Loss",IF(F405="Bet",-K405,-(I405-1)*K405),IF(M405="Void",0,"")))</f>
        <v/>
      </c>
      <c r="O405" s="24">
        <f>IF(OR(M405="Win",M405="Loss"),IF(F405="Bet",K405,(I405-1)*K405),"")</f>
        <v/>
      </c>
    </row>
    <row r="406">
      <c r="A406" s="37" t="n">
        <v>46292</v>
      </c>
      <c r="B406" s="38" t="inlineStr">
        <is>
          <t>Caulfield</t>
        </is>
      </c>
      <c r="C406" s="15" t="n">
        <v>5</v>
      </c>
      <c r="D406" s="15" t="n">
        <v>5</v>
      </c>
      <c r="E406" s="14" t="inlineStr">
        <is>
          <t>Pride Of Jenni</t>
        </is>
      </c>
      <c r="F406" s="43" t="inlineStr">
        <is>
          <t>Lay</t>
        </is>
      </c>
      <c r="G406" s="47" t="inlineStr">
        <is>
          <t>Lay</t>
        </is>
      </c>
      <c r="H406" s="41" t="n">
        <v>2.5</v>
      </c>
      <c r="I406" s="41" t="n">
        <v>1.89</v>
      </c>
      <c r="J406" s="16" t="n">
        <v>-0.0678</v>
      </c>
      <c r="K406" s="42" t="n">
        <v>1</v>
      </c>
      <c r="L406" s="15" t="n">
        <v>1</v>
      </c>
      <c r="M406" s="43" t="inlineStr">
        <is>
          <t>Loss</t>
        </is>
      </c>
      <c r="N406" s="17">
        <f>IF(M406="Win",IF(F406="Bet",(I406-1)*K406,K406),IF(M406="Loss",IF(F406="Bet",-K406,-(I406-1)*K406),IF(M406="Void",0,"")))</f>
        <v/>
      </c>
      <c r="O406" s="18">
        <f>IF(OR(M406="Win",M406="Loss"),IF(F406="Bet",K406,(I406-1)*K406),"")</f>
        <v/>
      </c>
    </row>
    <row r="407">
      <c r="A407" s="44" t="n">
        <v>46292</v>
      </c>
      <c r="B407" s="45" t="inlineStr">
        <is>
          <t>Port Macquarie</t>
        </is>
      </c>
      <c r="C407" s="21" t="n">
        <v>2</v>
      </c>
      <c r="D407" s="21" t="n">
        <v>2</v>
      </c>
      <c r="E407" s="20" t="inlineStr">
        <is>
          <t>Triple Yes</t>
        </is>
      </c>
      <c r="F407" s="46" t="inlineStr">
        <is>
          <t>Lay</t>
        </is>
      </c>
      <c r="G407" s="47" t="inlineStr">
        <is>
          <t>Lay</t>
        </is>
      </c>
      <c r="H407" s="48" t="n">
        <v>2.55</v>
      </c>
      <c r="I407" s="48" t="n">
        <v>2.08</v>
      </c>
      <c r="J407" s="22" t="n">
        <v>-0.0635</v>
      </c>
      <c r="K407" s="49" t="n">
        <v>1</v>
      </c>
      <c r="L407" s="21" t="n">
        <v>1</v>
      </c>
      <c r="M407" s="46" t="inlineStr">
        <is>
          <t>Loss</t>
        </is>
      </c>
      <c r="N407" s="23">
        <f>IF(M407="Win",IF(F407="Bet",(I407-1)*K407,K407),IF(M407="Loss",IF(F407="Bet",-K407,-(I407-1)*K407),IF(M407="Void",0,"")))</f>
        <v/>
      </c>
      <c r="O407" s="24">
        <f>IF(OR(M407="Win",M407="Loss"),IF(F407="Bet",K407,(I407-1)*K407),"")</f>
        <v/>
      </c>
    </row>
    <row r="408">
      <c r="A408" s="37" t="n">
        <v>46292</v>
      </c>
      <c r="B408" s="38" t="inlineStr">
        <is>
          <t>Caulfield</t>
        </is>
      </c>
      <c r="C408" s="15" t="n">
        <v>6</v>
      </c>
      <c r="D408" s="15" t="n">
        <v>1</v>
      </c>
      <c r="E408" s="14" t="inlineStr">
        <is>
          <t>Diameter</t>
        </is>
      </c>
      <c r="F408" s="43" t="inlineStr">
        <is>
          <t>Lay</t>
        </is>
      </c>
      <c r="G408" s="47" t="inlineStr">
        <is>
          <t>Lay</t>
        </is>
      </c>
      <c r="H408" s="41" t="n">
        <v>4.3</v>
      </c>
      <c r="I408" s="41" t="n">
        <v>2.88</v>
      </c>
      <c r="J408" s="16" t="n">
        <v>-0.0726</v>
      </c>
      <c r="K408" s="42" t="n">
        <v>1</v>
      </c>
      <c r="L408" s="15" t="n">
        <v>1</v>
      </c>
      <c r="M408" s="43" t="inlineStr">
        <is>
          <t>Loss</t>
        </is>
      </c>
      <c r="N408" s="17">
        <f>IF(M408="Win",IF(F408="Bet",(I408-1)*K408,K408),IF(M408="Loss",IF(F408="Bet",-K408,-(I408-1)*K408),IF(M408="Void",0,"")))</f>
        <v/>
      </c>
      <c r="O408" s="18">
        <f>IF(OR(M408="Win",M408="Loss"),IF(F408="Bet",K408,(I408-1)*K408),"")</f>
        <v/>
      </c>
    </row>
    <row r="409">
      <c r="A409" s="44" t="n">
        <v>46292</v>
      </c>
      <c r="B409" s="45" t="inlineStr">
        <is>
          <t>Sunshine Coast</t>
        </is>
      </c>
      <c r="C409" s="21" t="n">
        <v>5</v>
      </c>
      <c r="D409" s="21" t="n">
        <v>3</v>
      </c>
      <c r="E409" s="20" t="inlineStr">
        <is>
          <t>Prochester</t>
        </is>
      </c>
      <c r="F409" s="46" t="inlineStr">
        <is>
          <t>Lay</t>
        </is>
      </c>
      <c r="G409" s="47" t="inlineStr">
        <is>
          <t>Lay</t>
        </is>
      </c>
      <c r="H409" s="48" t="n">
        <v>3.8</v>
      </c>
      <c r="I409" s="48" t="n">
        <v>1.92</v>
      </c>
      <c r="J409" s="22" t="n">
        <v>-0.1132</v>
      </c>
      <c r="K409" s="49" t="n">
        <v>1</v>
      </c>
      <c r="L409" s="21" t="n">
        <v>1</v>
      </c>
      <c r="M409" s="46" t="inlineStr">
        <is>
          <t>Loss</t>
        </is>
      </c>
      <c r="N409" s="23">
        <f>IF(M409="Win",IF(F409="Bet",(I409-1)*K409,K409),IF(M409="Loss",IF(F409="Bet",-K409,-(I409-1)*K409),IF(M409="Void",0,"")))</f>
        <v/>
      </c>
      <c r="O409" s="24">
        <f>IF(OR(M409="Win",M409="Loss"),IF(F409="Bet",K409,(I409-1)*K409),"")</f>
        <v/>
      </c>
    </row>
    <row r="410">
      <c r="A410" s="37" t="n">
        <v>46292</v>
      </c>
      <c r="B410" s="38" t="inlineStr">
        <is>
          <t>Caulfield</t>
        </is>
      </c>
      <c r="C410" s="15" t="n">
        <v>7</v>
      </c>
      <c r="D410" s="15" t="n">
        <v>1</v>
      </c>
      <c r="E410" s="14" t="inlineStr">
        <is>
          <t>Sass Appeal</t>
        </is>
      </c>
      <c r="F410" s="43" t="inlineStr">
        <is>
          <t>Lay</t>
        </is>
      </c>
      <c r="G410" s="47" t="inlineStr">
        <is>
          <t>Lay</t>
        </is>
      </c>
      <c r="H410" s="41" t="n">
        <v>4.2</v>
      </c>
      <c r="I410" s="41" t="n">
        <v>2.36</v>
      </c>
      <c r="J410" s="16" t="n">
        <v>-0.0624</v>
      </c>
      <c r="K410" s="42" t="n">
        <v>1</v>
      </c>
      <c r="L410" s="15" t="n">
        <v>2</v>
      </c>
      <c r="M410" s="51" t="inlineStr">
        <is>
          <t>Win</t>
        </is>
      </c>
      <c r="N410" s="17">
        <f>IF(M410="Win",IF(F410="Bet",(I410-1)*K410,K410),IF(M410="Loss",IF(F410="Bet",-K410,-(I410-1)*K410),IF(M410="Void",0,"")))</f>
        <v/>
      </c>
      <c r="O410" s="18">
        <f>IF(OR(M410="Win",M410="Loss"),IF(F410="Bet",K410,(I410-1)*K410),"")</f>
        <v/>
      </c>
    </row>
    <row r="411">
      <c r="A411" s="44" t="n">
        <v>46292</v>
      </c>
      <c r="B411" s="45" t="inlineStr">
        <is>
          <t>Sunshine Coast</t>
        </is>
      </c>
      <c r="C411" s="21" t="n">
        <v>2</v>
      </c>
      <c r="D411" s="21" t="n">
        <v>1</v>
      </c>
      <c r="E411" s="20" t="inlineStr">
        <is>
          <t>Artistic Endeavour</t>
        </is>
      </c>
      <c r="F411" s="46" t="inlineStr">
        <is>
          <t>Lay</t>
        </is>
      </c>
      <c r="G411" s="47" t="inlineStr">
        <is>
          <t>Lay</t>
        </is>
      </c>
      <c r="H411" s="48" t="n">
        <v>3.6</v>
      </c>
      <c r="I411" s="48" t="n">
        <v>2.56</v>
      </c>
      <c r="J411" s="22" t="n">
        <v>-0.1102</v>
      </c>
      <c r="K411" s="49" t="n">
        <v>1</v>
      </c>
      <c r="L411" s="21" t="n">
        <v>1</v>
      </c>
      <c r="M411" s="46" t="inlineStr">
        <is>
          <t>Loss</t>
        </is>
      </c>
      <c r="N411" s="23">
        <f>IF(M411="Win",IF(F411="Bet",(I411-1)*K411,K411),IF(M411="Loss",IF(F411="Bet",-K411,-(I411-1)*K411),IF(M411="Void",0,"")))</f>
        <v/>
      </c>
      <c r="O411" s="24">
        <f>IF(OR(M411="Win",M411="Loss"),IF(F411="Bet",K411,(I411-1)*K411),"")</f>
        <v/>
      </c>
    </row>
    <row r="412">
      <c r="A412" s="37" t="n">
        <v>46292</v>
      </c>
      <c r="B412" s="38" t="inlineStr">
        <is>
          <t>Dubbo</t>
        </is>
      </c>
      <c r="C412" s="15" t="n">
        <v>9</v>
      </c>
      <c r="D412" s="15" t="n">
        <v>5</v>
      </c>
      <c r="E412" s="14" t="inlineStr">
        <is>
          <t>Montpellier</t>
        </is>
      </c>
      <c r="F412" s="43" t="inlineStr">
        <is>
          <t>Lay</t>
        </is>
      </c>
      <c r="G412" s="47" t="inlineStr">
        <is>
          <t>Lay</t>
        </is>
      </c>
      <c r="H412" s="41" t="n">
        <v>7.1</v>
      </c>
      <c r="I412" s="41" t="n">
        <v>4.6</v>
      </c>
      <c r="J412" s="16" t="n">
        <v>-0.0624</v>
      </c>
      <c r="K412" s="42" t="n">
        <v>1</v>
      </c>
      <c r="L412" s="15" t="n">
        <v>4</v>
      </c>
      <c r="M412" s="51" t="inlineStr">
        <is>
          <t>Win</t>
        </is>
      </c>
      <c r="N412" s="17">
        <f>IF(M412="Win",IF(F412="Bet",(I412-1)*K412,K412),IF(M412="Loss",IF(F412="Bet",-K412,-(I412-1)*K412),IF(M412="Void",0,"")))</f>
        <v/>
      </c>
      <c r="O412" s="18">
        <f>IF(OR(M412="Win",M412="Loss"),IF(F412="Bet",K412,(I412-1)*K412),"")</f>
        <v/>
      </c>
    </row>
    <row r="413">
      <c r="A413" s="44" t="n">
        <v>46292</v>
      </c>
      <c r="B413" s="45" t="inlineStr">
        <is>
          <t>Dubbo</t>
        </is>
      </c>
      <c r="C413" s="21" t="n">
        <v>6</v>
      </c>
      <c r="D413" s="21" t="n">
        <v>5</v>
      </c>
      <c r="E413" s="20" t="inlineStr">
        <is>
          <t>Chamber Of Secrets</t>
        </is>
      </c>
      <c r="F413" s="46" t="inlineStr">
        <is>
          <t>Lay</t>
        </is>
      </c>
      <c r="G413" s="47" t="inlineStr">
        <is>
          <t>Lay</t>
        </is>
      </c>
      <c r="H413" s="48" t="n">
        <v>6.2</v>
      </c>
      <c r="I413" s="48" t="n">
        <v>2.66</v>
      </c>
      <c r="J413" s="22" t="n">
        <v>-0.06560000000000001</v>
      </c>
      <c r="K413" s="49" t="n">
        <v>1</v>
      </c>
      <c r="L413" s="21" t="n">
        <v>4</v>
      </c>
      <c r="M413" s="50" t="inlineStr">
        <is>
          <t>Win</t>
        </is>
      </c>
      <c r="N413" s="23">
        <f>IF(M413="Win",IF(F413="Bet",(I413-1)*K413,K413),IF(M413="Loss",IF(F413="Bet",-K413,-(I413-1)*K413),IF(M413="Void",0,"")))</f>
        <v/>
      </c>
      <c r="O413" s="24">
        <f>IF(OR(M413="Win",M413="Loss"),IF(F413="Bet",K413,(I413-1)*K413),"")</f>
        <v/>
      </c>
    </row>
    <row r="414">
      <c r="A414" s="37" t="n">
        <v>46292</v>
      </c>
      <c r="B414" s="38" t="inlineStr">
        <is>
          <t>Dubbo</t>
        </is>
      </c>
      <c r="C414" s="15" t="n">
        <v>3</v>
      </c>
      <c r="D414" s="15" t="n">
        <v>8</v>
      </c>
      <c r="E414" s="14" t="inlineStr">
        <is>
          <t>Miss Maverick</t>
        </is>
      </c>
      <c r="F414" s="43" t="inlineStr">
        <is>
          <t>Lay</t>
        </is>
      </c>
      <c r="G414" s="47" t="inlineStr">
        <is>
          <t>Lay</t>
        </is>
      </c>
      <c r="H414" s="41" t="n">
        <v>7</v>
      </c>
      <c r="I414" s="41" t="n">
        <v>4.1</v>
      </c>
      <c r="J414" s="16" t="n">
        <v>-0.0698</v>
      </c>
      <c r="K414" s="42" t="n">
        <v>1</v>
      </c>
      <c r="L414" s="15" t="n">
        <v>8</v>
      </c>
      <c r="M414" s="51" t="inlineStr">
        <is>
          <t>Win</t>
        </is>
      </c>
      <c r="N414" s="17">
        <f>IF(M414="Win",IF(F414="Bet",(I414-1)*K414,K414),IF(M414="Loss",IF(F414="Bet",-K414,-(I414-1)*K414),IF(M414="Void",0,"")))</f>
        <v/>
      </c>
      <c r="O414" s="18">
        <f>IF(OR(M414="Win",M414="Loss"),IF(F414="Bet",K414,(I414-1)*K414),"")</f>
        <v/>
      </c>
    </row>
    <row r="415">
      <c r="A415" s="44" t="n">
        <v>46292</v>
      </c>
      <c r="B415" s="45" t="inlineStr">
        <is>
          <t>Toodyay</t>
        </is>
      </c>
      <c r="C415" s="21" t="n">
        <v>4</v>
      </c>
      <c r="D415" s="21" t="n">
        <v>3</v>
      </c>
      <c r="E415" s="20" t="inlineStr">
        <is>
          <t>Catch The Red Eye</t>
        </is>
      </c>
      <c r="F415" s="46" t="inlineStr">
        <is>
          <t>Lay</t>
        </is>
      </c>
      <c r="G415" s="47" t="inlineStr">
        <is>
          <t>Lay</t>
        </is>
      </c>
      <c r="H415" s="48" t="n">
        <v>3.5</v>
      </c>
      <c r="I415" s="48" t="n">
        <v>2.6</v>
      </c>
      <c r="J415" s="22" t="n">
        <v>-0.09619999999999999</v>
      </c>
      <c r="K415" s="49" t="n">
        <v>1</v>
      </c>
      <c r="L415" s="21" t="n"/>
      <c r="M415" s="55" t="inlineStr">
        <is>
          <t>Void</t>
        </is>
      </c>
      <c r="N415" s="23">
        <f>IF(M415="Win",IF(F415="Bet",(I415-1)*K415,K415),IF(M415="Loss",IF(F415="Bet",-K415,-(I415-1)*K415),IF(M415="Void",0,"")))</f>
        <v/>
      </c>
      <c r="O415" s="24">
        <f>IF(OR(M415="Win",M415="Loss"),IF(F415="Bet",K415,(I415-1)*K415),"")</f>
        <v/>
      </c>
    </row>
    <row r="416">
      <c r="A416" s="37" t="n">
        <v>46292</v>
      </c>
      <c r="B416" s="38" t="inlineStr">
        <is>
          <t>Port Macquarie</t>
        </is>
      </c>
      <c r="C416" s="15" t="n">
        <v>3</v>
      </c>
      <c r="D416" s="15" t="n">
        <v>1</v>
      </c>
      <c r="E416" s="14" t="inlineStr">
        <is>
          <t>Purple Haze</t>
        </is>
      </c>
      <c r="F416" s="43" t="inlineStr">
        <is>
          <t>Lay</t>
        </is>
      </c>
      <c r="G416" s="47" t="inlineStr">
        <is>
          <t>Lay</t>
        </is>
      </c>
      <c r="H416" s="41" t="n">
        <v>2.95</v>
      </c>
      <c r="I416" s="41" t="n">
        <v>1.59</v>
      </c>
      <c r="J416" s="16" t="n">
        <v>-0.0624</v>
      </c>
      <c r="K416" s="42" t="n">
        <v>1</v>
      </c>
      <c r="L416" s="15" t="n">
        <v>2</v>
      </c>
      <c r="M416" s="51" t="inlineStr">
        <is>
          <t>Win</t>
        </is>
      </c>
      <c r="N416" s="17">
        <f>IF(M416="Win",IF(F416="Bet",(I416-1)*K416,K416),IF(M416="Loss",IF(F416="Bet",-K416,-(I416-1)*K416),IF(M416="Void",0,"")))</f>
        <v/>
      </c>
      <c r="O416" s="18">
        <f>IF(OR(M416="Win",M416="Loss"),IF(F416="Bet",K416,(I416-1)*K416),"")</f>
        <v/>
      </c>
    </row>
    <row r="417">
      <c r="A417" s="44" t="n">
        <v>46292</v>
      </c>
      <c r="B417" s="45" t="inlineStr">
        <is>
          <t>Caulfield</t>
        </is>
      </c>
      <c r="C417" s="21" t="n">
        <v>3</v>
      </c>
      <c r="D417" s="21" t="n">
        <v>8</v>
      </c>
      <c r="E417" s="20" t="inlineStr">
        <is>
          <t>Suntora</t>
        </is>
      </c>
      <c r="F417" s="46" t="inlineStr">
        <is>
          <t>Lay</t>
        </is>
      </c>
      <c r="G417" s="47" t="inlineStr">
        <is>
          <t>Lay</t>
        </is>
      </c>
      <c r="H417" s="48" t="n">
        <v>8.300000000000001</v>
      </c>
      <c r="I417" s="48" t="n">
        <v>5.5</v>
      </c>
      <c r="J417" s="22" t="n">
        <v>-0.062</v>
      </c>
      <c r="K417" s="49" t="n">
        <v>1</v>
      </c>
      <c r="L417" s="21" t="n">
        <v>8</v>
      </c>
      <c r="M417" s="50" t="inlineStr">
        <is>
          <t>Win</t>
        </is>
      </c>
      <c r="N417" s="23">
        <f>IF(M417="Win",IF(F417="Bet",(I417-1)*K417,K417),IF(M417="Loss",IF(F417="Bet",-K417,-(I417-1)*K417),IF(M417="Void",0,"")))</f>
        <v/>
      </c>
      <c r="O417" s="24">
        <f>IF(OR(M417="Win",M417="Loss"),IF(F417="Bet",K417,(I417-1)*K417),"")</f>
        <v/>
      </c>
    </row>
    <row r="418">
      <c r="A418" s="37" t="n">
        <v>46292</v>
      </c>
      <c r="B418" s="38" t="inlineStr">
        <is>
          <t>Caulfield</t>
        </is>
      </c>
      <c r="C418" s="15" t="n">
        <v>2</v>
      </c>
      <c r="D418" s="15" t="n">
        <v>10</v>
      </c>
      <c r="E418" s="14" t="inlineStr">
        <is>
          <t>Regal Ambition</t>
        </is>
      </c>
      <c r="F418" s="43" t="inlineStr">
        <is>
          <t>Lay</t>
        </is>
      </c>
      <c r="G418" s="47" t="inlineStr">
        <is>
          <t>Lay</t>
        </is>
      </c>
      <c r="H418" s="41" t="n">
        <v>9.6</v>
      </c>
      <c r="I418" s="41" t="n">
        <v>5.4</v>
      </c>
      <c r="J418" s="16" t="n">
        <v>-0.0629</v>
      </c>
      <c r="K418" s="42" t="n">
        <v>1</v>
      </c>
      <c r="L418" s="15" t="n">
        <v>1</v>
      </c>
      <c r="M418" s="43" t="inlineStr">
        <is>
          <t>Loss</t>
        </is>
      </c>
      <c r="N418" s="17">
        <f>IF(M418="Win",IF(F418="Bet",(I418-1)*K418,K418),IF(M418="Loss",IF(F418="Bet",-K418,-(I418-1)*K418),IF(M418="Void",0,"")))</f>
        <v/>
      </c>
      <c r="O418" s="18">
        <f>IF(OR(M418="Win",M418="Loss"),IF(F418="Bet",K418,(I418-1)*K418),"")</f>
        <v/>
      </c>
    </row>
    <row r="419">
      <c r="A419" s="44" t="n">
        <v>46292</v>
      </c>
      <c r="B419" s="45" t="inlineStr">
        <is>
          <t>Port Macquarie</t>
        </is>
      </c>
      <c r="C419" s="21" t="n">
        <v>5</v>
      </c>
      <c r="D419" s="21" t="n">
        <v>4</v>
      </c>
      <c r="E419" s="20" t="inlineStr">
        <is>
          <t>Newy</t>
        </is>
      </c>
      <c r="F419" s="46" t="inlineStr">
        <is>
          <t>Lay</t>
        </is>
      </c>
      <c r="G419" s="47" t="inlineStr">
        <is>
          <t>Lay</t>
        </is>
      </c>
      <c r="H419" s="48" t="n">
        <v>3.3</v>
      </c>
      <c r="I419" s="48" t="n">
        <v>2.04</v>
      </c>
      <c r="J419" s="22" t="n">
        <v>-0.08119999999999999</v>
      </c>
      <c r="K419" s="49" t="n">
        <v>1</v>
      </c>
      <c r="L419" s="21" t="n">
        <v>1</v>
      </c>
      <c r="M419" s="46" t="inlineStr">
        <is>
          <t>Loss</t>
        </is>
      </c>
      <c r="N419" s="23">
        <f>IF(M419="Win",IF(F419="Bet",(I419-1)*K419,K419),IF(M419="Loss",IF(F419="Bet",-K419,-(I419-1)*K419),IF(M419="Void",0,"")))</f>
        <v/>
      </c>
      <c r="O419" s="24">
        <f>IF(OR(M419="Win",M419="Loss"),IF(F419="Bet",K419,(I419-1)*K419),"")</f>
        <v/>
      </c>
    </row>
    <row r="420">
      <c r="A420" s="37" t="n">
        <v>46292</v>
      </c>
      <c r="B420" s="38" t="inlineStr">
        <is>
          <t>Sunshine Coast</t>
        </is>
      </c>
      <c r="C420" s="15" t="n">
        <v>7</v>
      </c>
      <c r="D420" s="15" t="n">
        <v>2</v>
      </c>
      <c r="E420" s="14" t="inlineStr">
        <is>
          <t>Draw Attention</t>
        </is>
      </c>
      <c r="F420" s="43" t="inlineStr">
        <is>
          <t>Lay</t>
        </is>
      </c>
      <c r="G420" s="47" t="inlineStr">
        <is>
          <t>Lay</t>
        </is>
      </c>
      <c r="H420" s="41" t="n">
        <v>2.55</v>
      </c>
      <c r="I420" s="41" t="n">
        <v>1.7</v>
      </c>
      <c r="J420" s="16" t="n">
        <v>-0.1085</v>
      </c>
      <c r="K420" s="42" t="n">
        <v>1</v>
      </c>
      <c r="L420" s="15" t="n">
        <v>1</v>
      </c>
      <c r="M420" s="43" t="inlineStr">
        <is>
          <t>Loss</t>
        </is>
      </c>
      <c r="N420" s="17">
        <f>IF(M420="Win",IF(F420="Bet",(I420-1)*K420,K420),IF(M420="Loss",IF(F420="Bet",-K420,-(I420-1)*K420),IF(M420="Void",0,"")))</f>
        <v/>
      </c>
      <c r="O420" s="18">
        <f>IF(OR(M420="Win",M420="Loss"),IF(F420="Bet",K420,(I420-1)*K420),"")</f>
        <v/>
      </c>
    </row>
    <row r="421">
      <c r="A421" s="44" t="n">
        <v>46292</v>
      </c>
      <c r="B421" s="45" t="inlineStr">
        <is>
          <t>Dubbo</t>
        </is>
      </c>
      <c r="C421" s="21" t="n">
        <v>8</v>
      </c>
      <c r="D421" s="21" t="n">
        <v>7</v>
      </c>
      <c r="E421" s="20" t="inlineStr">
        <is>
          <t>Where'stheprofit</t>
        </is>
      </c>
      <c r="F421" s="46" t="inlineStr">
        <is>
          <t>Lay</t>
        </is>
      </c>
      <c r="G421" s="47" t="inlineStr">
        <is>
          <t>Lay</t>
        </is>
      </c>
      <c r="H421" s="48" t="n">
        <v>3.3</v>
      </c>
      <c r="I421" s="48" t="n">
        <v>2.48</v>
      </c>
      <c r="J421" s="22" t="n">
        <v>-0.0823</v>
      </c>
      <c r="K421" s="49" t="n">
        <v>1</v>
      </c>
      <c r="L421" s="21" t="n">
        <v>1</v>
      </c>
      <c r="M421" s="46" t="inlineStr">
        <is>
          <t>Loss</t>
        </is>
      </c>
      <c r="N421" s="23">
        <f>IF(M421="Win",IF(F421="Bet",(I421-1)*K421,K421),IF(M421="Loss",IF(F421="Bet",-K421,-(I421-1)*K421),IF(M421="Void",0,"")))</f>
        <v/>
      </c>
      <c r="O421" s="24">
        <f>IF(OR(M421="Win",M421="Loss"),IF(F421="Bet",K421,(I421-1)*K421),"")</f>
        <v/>
      </c>
    </row>
    <row r="422">
      <c r="A422" s="37" t="n">
        <v>46292</v>
      </c>
      <c r="B422" s="38" t="inlineStr">
        <is>
          <t>Dubbo</t>
        </is>
      </c>
      <c r="C422" s="15" t="n">
        <v>10</v>
      </c>
      <c r="D422" s="15" t="n">
        <v>8</v>
      </c>
      <c r="E422" s="14" t="inlineStr">
        <is>
          <t>Jagerschnitzel</t>
        </is>
      </c>
      <c r="F422" s="43" t="inlineStr">
        <is>
          <t>Lay</t>
        </is>
      </c>
      <c r="G422" s="47" t="inlineStr">
        <is>
          <t>Lay</t>
        </is>
      </c>
      <c r="H422" s="41" t="n">
        <v>4.1</v>
      </c>
      <c r="I422" s="41" t="n">
        <v>2.85</v>
      </c>
      <c r="J422" s="16" t="n">
        <v>-0.0939</v>
      </c>
      <c r="K422" s="42" t="n">
        <v>1</v>
      </c>
      <c r="L422" s="15" t="n">
        <v>3</v>
      </c>
      <c r="M422" s="51" t="inlineStr">
        <is>
          <t>Win</t>
        </is>
      </c>
      <c r="N422" s="17">
        <f>IF(M422="Win",IF(F422="Bet",(I422-1)*K422,K422),IF(M422="Loss",IF(F422="Bet",-K422,-(I422-1)*K422),IF(M422="Void",0,"")))</f>
        <v/>
      </c>
      <c r="O422" s="18">
        <f>IF(OR(M422="Win",M422="Loss"),IF(F422="Bet",K422,(I422-1)*K422),"")</f>
        <v/>
      </c>
    </row>
    <row r="423">
      <c r="A423" s="44" t="n">
        <v>46292</v>
      </c>
      <c r="B423" s="45" t="inlineStr">
        <is>
          <t>Strathalbyn</t>
        </is>
      </c>
      <c r="C423" s="21" t="n">
        <v>1</v>
      </c>
      <c r="D423" s="21" t="n">
        <v>11</v>
      </c>
      <c r="E423" s="20" t="inlineStr">
        <is>
          <t>Polar Eyes</t>
        </is>
      </c>
      <c r="F423" s="46" t="inlineStr">
        <is>
          <t>Lay</t>
        </is>
      </c>
      <c r="G423" s="47" t="inlineStr">
        <is>
          <t>Lay</t>
        </is>
      </c>
      <c r="H423" s="48" t="n">
        <v>2.2</v>
      </c>
      <c r="I423" s="48" t="n">
        <v>1.84</v>
      </c>
      <c r="J423" s="22" t="n">
        <v>-0.07000000000000001</v>
      </c>
      <c r="K423" s="49" t="n">
        <v>1</v>
      </c>
      <c r="L423" s="21" t="n">
        <v>2</v>
      </c>
      <c r="M423" s="50" t="inlineStr">
        <is>
          <t>Win</t>
        </is>
      </c>
      <c r="N423" s="23">
        <f>IF(M423="Win",IF(F423="Bet",(I423-1)*K423,K423),IF(M423="Loss",IF(F423="Bet",-K423,-(I423-1)*K423),IF(M423="Void",0,"")))</f>
        <v/>
      </c>
      <c r="O423" s="24">
        <f>IF(OR(M423="Win",M423="Loss"),IF(F423="Bet",K423,(I423-1)*K423),"")</f>
        <v/>
      </c>
    </row>
    <row r="424">
      <c r="A424" s="37" t="n">
        <v>46292</v>
      </c>
      <c r="B424" s="38" t="inlineStr">
        <is>
          <t>Dubbo</t>
        </is>
      </c>
      <c r="C424" s="15" t="n">
        <v>1</v>
      </c>
      <c r="D424" s="15" t="n">
        <v>7</v>
      </c>
      <c r="E424" s="14" t="inlineStr">
        <is>
          <t>Line Of Law</t>
        </is>
      </c>
      <c r="F424" s="43" t="inlineStr">
        <is>
          <t>Lay</t>
        </is>
      </c>
      <c r="G424" s="47" t="inlineStr">
        <is>
          <t>Lay</t>
        </is>
      </c>
      <c r="H424" s="41" t="n">
        <v>2.15</v>
      </c>
      <c r="I424" s="41" t="n">
        <v>1.55</v>
      </c>
      <c r="J424" s="16" t="n">
        <v>-0.0706</v>
      </c>
      <c r="K424" s="42" t="n">
        <v>1</v>
      </c>
      <c r="L424" s="15" t="n">
        <v>1</v>
      </c>
      <c r="M424" s="43" t="inlineStr">
        <is>
          <t>Loss</t>
        </is>
      </c>
      <c r="N424" s="17">
        <f>IF(M424="Win",IF(F424="Bet",(I424-1)*K424,K424),IF(M424="Loss",IF(F424="Bet",-K424,-(I424-1)*K424),IF(M424="Void",0,"")))</f>
        <v/>
      </c>
      <c r="O424" s="18">
        <f>IF(OR(M424="Win",M424="Loss"),IF(F424="Bet",K424,(I424-1)*K424),"")</f>
        <v/>
      </c>
    </row>
    <row r="425">
      <c r="A425" s="44" t="n">
        <v>46292</v>
      </c>
      <c r="B425" s="45" t="inlineStr">
        <is>
          <t>Sunshine Coast</t>
        </is>
      </c>
      <c r="C425" s="21" t="n">
        <v>1</v>
      </c>
      <c r="D425" s="21" t="n">
        <v>4</v>
      </c>
      <c r="E425" s="20" t="inlineStr">
        <is>
          <t>Desert Angel</t>
        </is>
      </c>
      <c r="F425" s="46" t="inlineStr">
        <is>
          <t>Lay</t>
        </is>
      </c>
      <c r="G425" s="47" t="inlineStr">
        <is>
          <t>Lay</t>
        </is>
      </c>
      <c r="H425" s="48" t="n">
        <v>9.800000000000001</v>
      </c>
      <c r="I425" s="48" t="n">
        <v>5.7</v>
      </c>
      <c r="J425" s="22" t="n">
        <v>-0.07340000000000001</v>
      </c>
      <c r="K425" s="49" t="n">
        <v>1</v>
      </c>
      <c r="L425" s="21" t="n">
        <v>5</v>
      </c>
      <c r="M425" s="50" t="inlineStr">
        <is>
          <t>Win</t>
        </is>
      </c>
      <c r="N425" s="23">
        <f>IF(M425="Win",IF(F425="Bet",(I425-1)*K425,K425),IF(M425="Loss",IF(F425="Bet",-K425,-(I425-1)*K425),IF(M425="Void",0,"")))</f>
        <v/>
      </c>
      <c r="O425" s="24">
        <f>IF(OR(M425="Win",M425="Loss"),IF(F425="Bet",K425,(I425-1)*K425),"")</f>
        <v/>
      </c>
    </row>
    <row r="426">
      <c r="A426" s="37" t="n">
        <v>46292</v>
      </c>
      <c r="B426" s="38" t="inlineStr">
        <is>
          <t>Sunshine Coast</t>
        </is>
      </c>
      <c r="C426" s="15" t="n">
        <v>1</v>
      </c>
      <c r="D426" s="15" t="n">
        <v>5</v>
      </c>
      <c r="E426" s="14" t="inlineStr">
        <is>
          <t>Disgruntled</t>
        </is>
      </c>
      <c r="F426" s="43" t="inlineStr">
        <is>
          <t>Lay</t>
        </is>
      </c>
      <c r="G426" s="47" t="inlineStr">
        <is>
          <t>Lay</t>
        </is>
      </c>
      <c r="H426" s="41" t="n">
        <v>8.6</v>
      </c>
      <c r="I426" s="41" t="n">
        <v>5.1</v>
      </c>
      <c r="J426" s="16" t="n">
        <v>-0.07920000000000001</v>
      </c>
      <c r="K426" s="42" t="n">
        <v>1</v>
      </c>
      <c r="L426" s="15" t="n">
        <v>1</v>
      </c>
      <c r="M426" s="43" t="inlineStr">
        <is>
          <t>Loss</t>
        </is>
      </c>
      <c r="N426" s="17">
        <f>IF(M426="Win",IF(F426="Bet",(I426-1)*K426,K426),IF(M426="Loss",IF(F426="Bet",-K426,-(I426-1)*K426),IF(M426="Void",0,"")))</f>
        <v/>
      </c>
      <c r="O426" s="18">
        <f>IF(OR(M426="Win",M426="Loss"),IF(F426="Bet",K426,(I426-1)*K426),"")</f>
        <v/>
      </c>
    </row>
    <row r="427">
      <c r="A427" s="44" t="n">
        <v>46292</v>
      </c>
      <c r="B427" s="45" t="inlineStr">
        <is>
          <t>Strathalbyn</t>
        </is>
      </c>
      <c r="C427" s="21" t="n">
        <v>5</v>
      </c>
      <c r="D427" s="21" t="n">
        <v>3</v>
      </c>
      <c r="E427" s="20" t="inlineStr">
        <is>
          <t>Briseis Eclipse</t>
        </is>
      </c>
      <c r="F427" s="46" t="inlineStr">
        <is>
          <t>Lay</t>
        </is>
      </c>
      <c r="G427" s="47" t="inlineStr">
        <is>
          <t>Lay</t>
        </is>
      </c>
      <c r="H427" s="48" t="n">
        <v>4.5</v>
      </c>
      <c r="I427" s="48" t="n">
        <v>2.84</v>
      </c>
      <c r="J427" s="22" t="n">
        <v>-0.0611</v>
      </c>
      <c r="K427" s="49" t="n">
        <v>1</v>
      </c>
      <c r="L427" s="21" t="n">
        <v>5</v>
      </c>
      <c r="M427" s="50" t="inlineStr">
        <is>
          <t>Win</t>
        </is>
      </c>
      <c r="N427" s="23">
        <f>IF(M427="Win",IF(F427="Bet",(I427-1)*K427,K427),IF(M427="Loss",IF(F427="Bet",-K427,-(I427-1)*K427),IF(M427="Void",0,"")))</f>
        <v/>
      </c>
      <c r="O427" s="24">
        <f>IF(OR(M427="Win",M427="Loss"),IF(F427="Bet",K427,(I427-1)*K427),"")</f>
        <v/>
      </c>
    </row>
    <row r="428">
      <c r="A428" s="37" t="n">
        <v>46292</v>
      </c>
      <c r="B428" s="38" t="inlineStr">
        <is>
          <t>Sunshine Coast</t>
        </is>
      </c>
      <c r="C428" s="15" t="n">
        <v>4</v>
      </c>
      <c r="D428" s="15" t="n">
        <v>2</v>
      </c>
      <c r="E428" s="14" t="inlineStr">
        <is>
          <t>Chakra Boy</t>
        </is>
      </c>
      <c r="F428" s="43" t="inlineStr">
        <is>
          <t>Lay</t>
        </is>
      </c>
      <c r="G428" s="47" t="inlineStr">
        <is>
          <t>Lay</t>
        </is>
      </c>
      <c r="H428" s="41" t="n">
        <v>4.7</v>
      </c>
      <c r="I428" s="41" t="n">
        <v>3.55</v>
      </c>
      <c r="J428" s="16" t="n">
        <v>-0.06859999999999999</v>
      </c>
      <c r="K428" s="42" t="n">
        <v>1</v>
      </c>
      <c r="L428" s="15" t="n">
        <v>6</v>
      </c>
      <c r="M428" s="51" t="inlineStr">
        <is>
          <t>Win</t>
        </is>
      </c>
      <c r="N428" s="17">
        <f>IF(M428="Win",IF(F428="Bet",(I428-1)*K428,K428),IF(M428="Loss",IF(F428="Bet",-K428,-(I428-1)*K428),IF(M428="Void",0,"")))</f>
        <v/>
      </c>
      <c r="O428" s="18">
        <f>IF(OR(M428="Win",M428="Loss"),IF(F428="Bet",K428,(I428-1)*K428),"")</f>
        <v/>
      </c>
    </row>
    <row r="429">
      <c r="A429" s="44" t="n">
        <v>46292</v>
      </c>
      <c r="B429" s="45" t="inlineStr">
        <is>
          <t>Strathalbyn</t>
        </is>
      </c>
      <c r="C429" s="21" t="n">
        <v>4</v>
      </c>
      <c r="D429" s="21" t="n">
        <v>5</v>
      </c>
      <c r="E429" s="20" t="inlineStr">
        <is>
          <t>Rob The Bank</t>
        </is>
      </c>
      <c r="F429" s="46" t="inlineStr">
        <is>
          <t>Lay</t>
        </is>
      </c>
      <c r="G429" s="47" t="inlineStr">
        <is>
          <t>Lay</t>
        </is>
      </c>
      <c r="H429" s="48" t="n">
        <v>5.7</v>
      </c>
      <c r="I429" s="48" t="n">
        <v>4.1</v>
      </c>
      <c r="J429" s="22" t="n">
        <v>-0.06900000000000001</v>
      </c>
      <c r="K429" s="49" t="n">
        <v>1</v>
      </c>
      <c r="L429" s="21" t="n">
        <v>4</v>
      </c>
      <c r="M429" s="50" t="inlineStr">
        <is>
          <t>Win</t>
        </is>
      </c>
      <c r="N429" s="23">
        <f>IF(M429="Win",IF(F429="Bet",(I429-1)*K429,K429),IF(M429="Loss",IF(F429="Bet",-K429,-(I429-1)*K429),IF(M429="Void",0,"")))</f>
        <v/>
      </c>
      <c r="O429" s="24">
        <f>IF(OR(M429="Win",M429="Loss"),IF(F429="Bet",K429,(I429-1)*K429),"")</f>
        <v/>
      </c>
    </row>
    <row r="430">
      <c r="A430" s="37" t="n">
        <v>46292</v>
      </c>
      <c r="B430" s="38" t="inlineStr">
        <is>
          <t>Strathalbyn</t>
        </is>
      </c>
      <c r="C430" s="15" t="n">
        <v>7</v>
      </c>
      <c r="D430" s="15" t="n">
        <v>4</v>
      </c>
      <c r="E430" s="14" t="inlineStr">
        <is>
          <t>Our Beau</t>
        </is>
      </c>
      <c r="F430" s="43" t="inlineStr">
        <is>
          <t>Lay</t>
        </is>
      </c>
      <c r="G430" s="47" t="inlineStr">
        <is>
          <t>Lay</t>
        </is>
      </c>
      <c r="H430" s="41" t="n">
        <v>4.5</v>
      </c>
      <c r="I430" s="41" t="n">
        <v>2.86</v>
      </c>
      <c r="J430" s="16" t="n">
        <v>-0.0613</v>
      </c>
      <c r="K430" s="42" t="n">
        <v>1</v>
      </c>
      <c r="L430" s="15" t="n">
        <v>3</v>
      </c>
      <c r="M430" s="51" t="inlineStr">
        <is>
          <t>Win</t>
        </is>
      </c>
      <c r="N430" s="17">
        <f>IF(M430="Win",IF(F430="Bet",(I430-1)*K430,K430),IF(M430="Loss",IF(F430="Bet",-K430,-(I430-1)*K430),IF(M430="Void",0,"")))</f>
        <v/>
      </c>
      <c r="O430" s="18">
        <f>IF(OR(M430="Win",M430="Loss"),IF(F430="Bet",K430,(I430-1)*K430),"")</f>
        <v/>
      </c>
    </row>
    <row r="431">
      <c r="A431" s="44" t="n">
        <v>46292</v>
      </c>
      <c r="B431" s="45" t="inlineStr">
        <is>
          <t>Port Macquarie</t>
        </is>
      </c>
      <c r="C431" s="21" t="n">
        <v>8</v>
      </c>
      <c r="D431" s="21" t="n">
        <v>7</v>
      </c>
      <c r="E431" s="20" t="inlineStr">
        <is>
          <t>Denial</t>
        </is>
      </c>
      <c r="F431" s="46" t="inlineStr">
        <is>
          <t>Lay</t>
        </is>
      </c>
      <c r="G431" s="47" t="inlineStr">
        <is>
          <t>Lay</t>
        </is>
      </c>
      <c r="H431" s="48" t="n">
        <v>8.699999999999999</v>
      </c>
      <c r="I431" s="48" t="n">
        <v>5.3</v>
      </c>
      <c r="J431" s="22" t="n">
        <v>-0.0636</v>
      </c>
      <c r="K431" s="49" t="n">
        <v>1</v>
      </c>
      <c r="L431" s="21" t="n">
        <v>5</v>
      </c>
      <c r="M431" s="50" t="inlineStr">
        <is>
          <t>Win</t>
        </is>
      </c>
      <c r="N431" s="23">
        <f>IF(M431="Win",IF(F431="Bet",(I431-1)*K431,K431),IF(M431="Loss",IF(F431="Bet",-K431,-(I431-1)*K431),IF(M431="Void",0,"")))</f>
        <v/>
      </c>
      <c r="O431" s="24">
        <f>IF(OR(M431="Win",M431="Loss"),IF(F431="Bet",K431,(I431-1)*K431),"")</f>
        <v/>
      </c>
    </row>
    <row r="432">
      <c r="A432" s="37" t="n">
        <v>46293</v>
      </c>
      <c r="B432" s="38" t="inlineStr">
        <is>
          <t>Wagga</t>
        </is>
      </c>
      <c r="C432" s="15" t="n">
        <v>4</v>
      </c>
      <c r="D432" s="15" t="n">
        <v>1</v>
      </c>
      <c r="E432" s="14" t="inlineStr">
        <is>
          <t>Bombay Boom</t>
        </is>
      </c>
      <c r="F432" s="43" t="inlineStr">
        <is>
          <t>Lay</t>
        </is>
      </c>
      <c r="G432" s="47" t="inlineStr">
        <is>
          <t>Lay</t>
        </is>
      </c>
      <c r="H432" s="41" t="n">
        <v>3.8</v>
      </c>
      <c r="I432" s="41" t="n">
        <v>2.45</v>
      </c>
      <c r="J432" s="16" t="n">
        <v>-0.0779</v>
      </c>
      <c r="K432" s="42" t="n">
        <v>1</v>
      </c>
      <c r="L432" s="15" t="n">
        <v>5</v>
      </c>
      <c r="M432" s="51" t="inlineStr">
        <is>
          <t>Win</t>
        </is>
      </c>
      <c r="N432" s="17">
        <f>IF(M432="Win",IF(F432="Bet",(I432-1)*K432,K432),IF(M432="Loss",IF(F432="Bet",-K432,-(I432-1)*K432),IF(M432="Void",0,"")))</f>
        <v/>
      </c>
      <c r="O432" s="18">
        <f>IF(OR(M432="Win",M432="Loss"),IF(F432="Bet",K432,(I432-1)*K432),"")</f>
        <v/>
      </c>
    </row>
    <row r="433">
      <c r="A433" s="44" t="n">
        <v>46293</v>
      </c>
      <c r="B433" s="45" t="inlineStr">
        <is>
          <t>Wagga</t>
        </is>
      </c>
      <c r="C433" s="21" t="n">
        <v>3</v>
      </c>
      <c r="D433" s="21" t="n">
        <v>8</v>
      </c>
      <c r="E433" s="20" t="inlineStr">
        <is>
          <t>Chief Of War</t>
        </is>
      </c>
      <c r="F433" s="46" t="inlineStr">
        <is>
          <t>Lay</t>
        </is>
      </c>
      <c r="G433" s="47" t="inlineStr">
        <is>
          <t>Lay</t>
        </is>
      </c>
      <c r="H433" s="48" t="n">
        <v>3.4</v>
      </c>
      <c r="I433" s="48" t="n">
        <v>2.6</v>
      </c>
      <c r="J433" s="22" t="n">
        <v>-0.0602</v>
      </c>
      <c r="K433" s="49" t="n">
        <v>1</v>
      </c>
      <c r="L433" s="21" t="n">
        <v>1</v>
      </c>
      <c r="M433" s="46" t="inlineStr">
        <is>
          <t>Loss</t>
        </is>
      </c>
      <c r="N433" s="23">
        <f>IF(M433="Win",IF(F433="Bet",(I433-1)*K433,K433),IF(M433="Loss",IF(F433="Bet",-K433,-(I433-1)*K433),IF(M433="Void",0,"")))</f>
        <v/>
      </c>
      <c r="O433" s="24">
        <f>IF(OR(M433="Win",M433="Loss"),IF(F433="Bet",K433,(I433-1)*K433),"")</f>
        <v/>
      </c>
    </row>
    <row r="434">
      <c r="A434" s="37" t="n">
        <v>46293</v>
      </c>
      <c r="B434" s="38" t="inlineStr">
        <is>
          <t>Kilmore</t>
        </is>
      </c>
      <c r="C434" s="15" t="n">
        <v>3</v>
      </c>
      <c r="D434" s="15" t="n">
        <v>14</v>
      </c>
      <c r="E434" s="14" t="inlineStr">
        <is>
          <t>Star Of Macedon</t>
        </is>
      </c>
      <c r="F434" s="43" t="inlineStr">
        <is>
          <t>Lay</t>
        </is>
      </c>
      <c r="G434" s="47" t="inlineStr">
        <is>
          <t>Lay</t>
        </is>
      </c>
      <c r="H434" s="41" t="n">
        <v>2.6</v>
      </c>
      <c r="I434" s="41" t="n">
        <v>1.6</v>
      </c>
      <c r="J434" s="16" t="n">
        <v>-0.0771</v>
      </c>
      <c r="K434" s="42" t="n">
        <v>1</v>
      </c>
      <c r="L434" s="15" t="n">
        <v>1</v>
      </c>
      <c r="M434" s="43" t="inlineStr">
        <is>
          <t>Loss</t>
        </is>
      </c>
      <c r="N434" s="17">
        <f>IF(M434="Win",IF(F434="Bet",(I434-1)*K434,K434),IF(M434="Loss",IF(F434="Bet",-K434,-(I434-1)*K434),IF(M434="Void",0,"")))</f>
        <v/>
      </c>
      <c r="O434" s="18">
        <f>IF(OR(M434="Win",M434="Loss"),IF(F434="Bet",K434,(I434-1)*K434),"")</f>
        <v/>
      </c>
    </row>
    <row r="435">
      <c r="A435" s="44" t="n">
        <v>46293</v>
      </c>
      <c r="B435" s="45" t="inlineStr">
        <is>
          <t>Wagga</t>
        </is>
      </c>
      <c r="C435" s="21" t="n">
        <v>2</v>
      </c>
      <c r="D435" s="21" t="n">
        <v>5</v>
      </c>
      <c r="E435" s="20" t="inlineStr">
        <is>
          <t>Justifiably</t>
        </is>
      </c>
      <c r="F435" s="46" t="inlineStr">
        <is>
          <t>Lay</t>
        </is>
      </c>
      <c r="G435" s="47" t="inlineStr">
        <is>
          <t>Lay</t>
        </is>
      </c>
      <c r="H435" s="48" t="n">
        <v>6.4</v>
      </c>
      <c r="I435" s="48" t="n">
        <v>2.8</v>
      </c>
      <c r="J435" s="22" t="n">
        <v>-0.0605</v>
      </c>
      <c r="K435" s="49" t="n">
        <v>1</v>
      </c>
      <c r="L435" s="21" t="n">
        <v>3</v>
      </c>
      <c r="M435" s="50" t="inlineStr">
        <is>
          <t>Win</t>
        </is>
      </c>
      <c r="N435" s="23">
        <f>IF(M435="Win",IF(F435="Bet",(I435-1)*K435,K435),IF(M435="Loss",IF(F435="Bet",-K435,-(I435-1)*K435),IF(M435="Void",0,"")))</f>
        <v/>
      </c>
      <c r="O435" s="24">
        <f>IF(OR(M435="Win",M435="Loss"),IF(F435="Bet",K435,(I435-1)*K435),"")</f>
        <v/>
      </c>
    </row>
    <row r="436">
      <c r="A436" s="37" t="n">
        <v>46293</v>
      </c>
      <c r="B436" s="38" t="inlineStr">
        <is>
          <t>Bunbury</t>
        </is>
      </c>
      <c r="C436" s="15" t="n">
        <v>5</v>
      </c>
      <c r="D436" s="15" t="n">
        <v>6</v>
      </c>
      <c r="E436" s="14" t="inlineStr">
        <is>
          <t>London Rose</t>
        </is>
      </c>
      <c r="F436" s="43" t="inlineStr">
        <is>
          <t>Lay</t>
        </is>
      </c>
      <c r="G436" s="47" t="inlineStr">
        <is>
          <t>Lay</t>
        </is>
      </c>
      <c r="H436" s="41" t="n">
        <v>3.1</v>
      </c>
      <c r="I436" s="41" t="n">
        <v>1.91</v>
      </c>
      <c r="J436" s="16" t="n">
        <v>-0.0735</v>
      </c>
      <c r="K436" s="42" t="n">
        <v>1</v>
      </c>
      <c r="L436" s="15" t="n">
        <v>3</v>
      </c>
      <c r="M436" s="51" t="inlineStr">
        <is>
          <t>Win</t>
        </is>
      </c>
      <c r="N436" s="17">
        <f>IF(M436="Win",IF(F436="Bet",(I436-1)*K436,K436),IF(M436="Loss",IF(F436="Bet",-K436,-(I436-1)*K436),IF(M436="Void",0,"")))</f>
        <v/>
      </c>
      <c r="O436" s="18">
        <f>IF(OR(M436="Win",M436="Loss"),IF(F436="Bet",K436,(I436-1)*K436),"")</f>
        <v/>
      </c>
    </row>
    <row r="437">
      <c r="A437" s="44" t="n">
        <v>46293</v>
      </c>
      <c r="B437" s="45" t="inlineStr">
        <is>
          <t>Wagga</t>
        </is>
      </c>
      <c r="C437" s="21" t="n">
        <v>3</v>
      </c>
      <c r="D437" s="21" t="n">
        <v>6</v>
      </c>
      <c r="E437" s="20" t="inlineStr">
        <is>
          <t>Midnight Affair</t>
        </is>
      </c>
      <c r="F437" s="46" t="inlineStr">
        <is>
          <t>Lay</t>
        </is>
      </c>
      <c r="G437" s="47" t="inlineStr">
        <is>
          <t>Lay</t>
        </is>
      </c>
      <c r="H437" s="48" t="n">
        <v>7.6</v>
      </c>
      <c r="I437" s="48" t="n">
        <v>5.1</v>
      </c>
      <c r="J437" s="22" t="n">
        <v>-0.0646</v>
      </c>
      <c r="K437" s="49" t="n">
        <v>1</v>
      </c>
      <c r="L437" s="21" t="n">
        <v>5</v>
      </c>
      <c r="M437" s="50" t="inlineStr">
        <is>
          <t>Win</t>
        </is>
      </c>
      <c r="N437" s="23">
        <f>IF(M437="Win",IF(F437="Bet",(I437-1)*K437,K437),IF(M437="Loss",IF(F437="Bet",-K437,-(I437-1)*K437),IF(M437="Void",0,"")))</f>
        <v/>
      </c>
      <c r="O437" s="24">
        <f>IF(OR(M437="Win",M437="Loss"),IF(F437="Bet",K437,(I437-1)*K437),"")</f>
        <v/>
      </c>
    </row>
    <row r="438">
      <c r="A438" s="37" t="n">
        <v>46293</v>
      </c>
      <c r="B438" s="38" t="inlineStr">
        <is>
          <t>Tamworth</t>
        </is>
      </c>
      <c r="C438" s="15" t="n">
        <v>1</v>
      </c>
      <c r="D438" s="15" t="n">
        <v>3</v>
      </c>
      <c r="E438" s="14" t="inlineStr">
        <is>
          <t>Joika</t>
        </is>
      </c>
      <c r="F438" s="43" t="inlineStr">
        <is>
          <t>Lay</t>
        </is>
      </c>
      <c r="G438" s="47" t="inlineStr">
        <is>
          <t>Lay</t>
        </is>
      </c>
      <c r="H438" s="41" t="n">
        <v>2.1</v>
      </c>
      <c r="I438" s="41" t="n">
        <v>1.59</v>
      </c>
      <c r="J438" s="16" t="n">
        <v>-0.0761</v>
      </c>
      <c r="K438" s="42" t="n">
        <v>1</v>
      </c>
      <c r="L438" s="15" t="n">
        <v>5</v>
      </c>
      <c r="M438" s="51" t="inlineStr">
        <is>
          <t>Win</t>
        </is>
      </c>
      <c r="N438" s="17">
        <f>IF(M438="Win",IF(F438="Bet",(I438-1)*K438,K438),IF(M438="Loss",IF(F438="Bet",-K438,-(I438-1)*K438),IF(M438="Void",0,"")))</f>
        <v/>
      </c>
      <c r="O438" s="18">
        <f>IF(OR(M438="Win",M438="Loss"),IF(F438="Bet",K438,(I438-1)*K438),"")</f>
        <v/>
      </c>
    </row>
    <row r="439">
      <c r="A439" s="44" t="n">
        <v>46293</v>
      </c>
      <c r="B439" s="45" t="inlineStr">
        <is>
          <t>Kilmore</t>
        </is>
      </c>
      <c r="C439" s="21" t="n">
        <v>1</v>
      </c>
      <c r="D439" s="21" t="n">
        <v>9</v>
      </c>
      <c r="E439" s="20" t="inlineStr">
        <is>
          <t>Refuse To Curtsy</t>
        </is>
      </c>
      <c r="F439" s="46" t="inlineStr">
        <is>
          <t>Lay</t>
        </is>
      </c>
      <c r="G439" s="47" t="inlineStr">
        <is>
          <t>Lay</t>
        </is>
      </c>
      <c r="H439" s="48" t="n">
        <v>3.3</v>
      </c>
      <c r="I439" s="48" t="n">
        <v>2.32</v>
      </c>
      <c r="J439" s="22" t="n">
        <v>-0.0762</v>
      </c>
      <c r="K439" s="49" t="n">
        <v>1</v>
      </c>
      <c r="L439" s="21" t="n">
        <v>1</v>
      </c>
      <c r="M439" s="46" t="inlineStr">
        <is>
          <t>Loss</t>
        </is>
      </c>
      <c r="N439" s="23">
        <f>IF(M439="Win",IF(F439="Bet",(I439-1)*K439,K439),IF(M439="Loss",IF(F439="Bet",-K439,-(I439-1)*K439),IF(M439="Void",0,"")))</f>
        <v/>
      </c>
      <c r="O439" s="24">
        <f>IF(OR(M439="Win",M439="Loss"),IF(F439="Bet",K439,(I439-1)*K439),"")</f>
        <v/>
      </c>
    </row>
    <row r="440">
      <c r="A440" s="37" t="n">
        <v>46293</v>
      </c>
      <c r="B440" s="38" t="inlineStr">
        <is>
          <t>Tamworth</t>
        </is>
      </c>
      <c r="C440" s="15" t="n">
        <v>7</v>
      </c>
      <c r="D440" s="15" t="n">
        <v>2</v>
      </c>
      <c r="E440" s="14" t="inlineStr">
        <is>
          <t>Zampano</t>
        </is>
      </c>
      <c r="F440" s="43" t="inlineStr">
        <is>
          <t>Lay</t>
        </is>
      </c>
      <c r="G440" s="47" t="inlineStr">
        <is>
          <t>Lay</t>
        </is>
      </c>
      <c r="H440" s="41" t="n">
        <v>4.7</v>
      </c>
      <c r="I440" s="41" t="n">
        <v>2.78</v>
      </c>
      <c r="J440" s="16" t="n">
        <v>-0.08799999999999999</v>
      </c>
      <c r="K440" s="42" t="n">
        <v>1</v>
      </c>
      <c r="L440" s="15" t="n">
        <v>2</v>
      </c>
      <c r="M440" s="51" t="inlineStr">
        <is>
          <t>Win</t>
        </is>
      </c>
      <c r="N440" s="17">
        <f>IF(M440="Win",IF(F440="Bet",(I440-1)*K440,K440),IF(M440="Loss",IF(F440="Bet",-K440,-(I440-1)*K440),IF(M440="Void",0,"")))</f>
        <v/>
      </c>
      <c r="O440" s="18">
        <f>IF(OR(M440="Win",M440="Loss"),IF(F440="Bet",K440,(I440-1)*K440),"")</f>
        <v/>
      </c>
    </row>
    <row r="441">
      <c r="A441" s="44" t="n">
        <v>46293</v>
      </c>
      <c r="B441" s="45" t="inlineStr">
        <is>
          <t>Wagga</t>
        </is>
      </c>
      <c r="C441" s="21" t="n">
        <v>1</v>
      </c>
      <c r="D441" s="21" t="n">
        <v>6</v>
      </c>
      <c r="E441" s="20" t="inlineStr">
        <is>
          <t>Colorado Sun</t>
        </is>
      </c>
      <c r="F441" s="46" t="inlineStr">
        <is>
          <t>Lay</t>
        </is>
      </c>
      <c r="G441" s="47" t="inlineStr">
        <is>
          <t>Lay</t>
        </is>
      </c>
      <c r="H441" s="48" t="n">
        <v>3.5</v>
      </c>
      <c r="I441" s="48" t="n">
        <v>2.72</v>
      </c>
      <c r="J441" s="22" t="n">
        <v>-0.0649</v>
      </c>
      <c r="K441" s="49" t="n">
        <v>1</v>
      </c>
      <c r="L441" s="21" t="n">
        <v>1</v>
      </c>
      <c r="M441" s="46" t="inlineStr">
        <is>
          <t>Loss</t>
        </is>
      </c>
      <c r="N441" s="23">
        <f>IF(M441="Win",IF(F441="Bet",(I441-1)*K441,K441),IF(M441="Loss",IF(F441="Bet",-K441,-(I441-1)*K441),IF(M441="Void",0,"")))</f>
        <v/>
      </c>
      <c r="O441" s="24">
        <f>IF(OR(M441="Win",M441="Loss"),IF(F441="Bet",K441,(I441-1)*K441),"")</f>
        <v/>
      </c>
    </row>
    <row r="442">
      <c r="A442" s="37" t="n">
        <v>46293</v>
      </c>
      <c r="B442" s="38" t="inlineStr">
        <is>
          <t>Tamworth</t>
        </is>
      </c>
      <c r="C442" s="15" t="n">
        <v>2</v>
      </c>
      <c r="D442" s="15" t="n">
        <v>8</v>
      </c>
      <c r="E442" s="14" t="inlineStr">
        <is>
          <t>Syllable</t>
        </is>
      </c>
      <c r="F442" s="43" t="inlineStr">
        <is>
          <t>Lay</t>
        </is>
      </c>
      <c r="G442" s="47" t="inlineStr">
        <is>
          <t>Lay</t>
        </is>
      </c>
      <c r="H442" s="41" t="n">
        <v>2.55</v>
      </c>
      <c r="I442" s="41" t="n">
        <v>2</v>
      </c>
      <c r="J442" s="16" t="n">
        <v>-0.0701</v>
      </c>
      <c r="K442" s="42" t="n">
        <v>1</v>
      </c>
      <c r="L442" s="15" t="n">
        <v>2</v>
      </c>
      <c r="M442" s="51" t="inlineStr">
        <is>
          <t>Win</t>
        </is>
      </c>
      <c r="N442" s="17">
        <f>IF(M442="Win",IF(F442="Bet",(I442-1)*K442,K442),IF(M442="Loss",IF(F442="Bet",-K442,-(I442-1)*K442),IF(M442="Void",0,"")))</f>
        <v/>
      </c>
      <c r="O442" s="18">
        <f>IF(OR(M442="Win",M442="Loss"),IF(F442="Bet",K442,(I442-1)*K442),"")</f>
        <v/>
      </c>
    </row>
    <row r="443">
      <c r="A443" s="44" t="n">
        <v>46293</v>
      </c>
      <c r="B443" s="45" t="inlineStr">
        <is>
          <t>Tamworth</t>
        </is>
      </c>
      <c r="C443" s="21" t="n">
        <v>6</v>
      </c>
      <c r="D443" s="21" t="n">
        <v>7</v>
      </c>
      <c r="E443" s="20" t="inlineStr">
        <is>
          <t>Concoction</t>
        </is>
      </c>
      <c r="F443" s="46" t="inlineStr">
        <is>
          <t>Lay</t>
        </is>
      </c>
      <c r="G443" s="47" t="inlineStr">
        <is>
          <t>Lay</t>
        </is>
      </c>
      <c r="H443" s="48" t="n">
        <v>4.7</v>
      </c>
      <c r="I443" s="48" t="n">
        <v>3.5</v>
      </c>
      <c r="J443" s="22" t="n">
        <v>-0.074</v>
      </c>
      <c r="K443" s="49" t="n">
        <v>1</v>
      </c>
      <c r="L443" s="21" t="n">
        <v>8</v>
      </c>
      <c r="M443" s="50" t="inlineStr">
        <is>
          <t>Win</t>
        </is>
      </c>
      <c r="N443" s="23">
        <f>IF(M443="Win",IF(F443="Bet",(I443-1)*K443,K443),IF(M443="Loss",IF(F443="Bet",-K443,-(I443-1)*K443),IF(M443="Void",0,"")))</f>
        <v/>
      </c>
      <c r="O443" s="24">
        <f>IF(OR(M443="Win",M443="Loss"),IF(F443="Bet",K443,(I443-1)*K443),"")</f>
        <v/>
      </c>
    </row>
    <row r="444">
      <c r="A444" s="37" t="n">
        <v>46293</v>
      </c>
      <c r="B444" s="38" t="inlineStr">
        <is>
          <t>Kilmore</t>
        </is>
      </c>
      <c r="C444" s="15" t="n">
        <v>5</v>
      </c>
      <c r="D444" s="15" t="n">
        <v>4</v>
      </c>
      <c r="E444" s="14" t="inlineStr">
        <is>
          <t>Frosted In Time</t>
        </is>
      </c>
      <c r="F444" s="43" t="inlineStr">
        <is>
          <t>Lay</t>
        </is>
      </c>
      <c r="G444" s="47" t="inlineStr">
        <is>
          <t>Lay</t>
        </is>
      </c>
      <c r="H444" s="41" t="n">
        <v>6.8</v>
      </c>
      <c r="I444" s="41" t="n">
        <v>4.5</v>
      </c>
      <c r="J444" s="16" t="n">
        <v>-0.06510000000000001</v>
      </c>
      <c r="K444" s="42" t="n">
        <v>1</v>
      </c>
      <c r="L444" s="15" t="n">
        <v>1</v>
      </c>
      <c r="M444" s="43" t="inlineStr">
        <is>
          <t>Loss</t>
        </is>
      </c>
      <c r="N444" s="17">
        <f>IF(M444="Win",IF(F444="Bet",(I444-1)*K444,K444),IF(M444="Loss",IF(F444="Bet",-K444,-(I444-1)*K444),IF(M444="Void",0,"")))</f>
        <v/>
      </c>
      <c r="O444" s="18">
        <f>IF(OR(M444="Win",M444="Loss"),IF(F444="Bet",K444,(I444-1)*K444),"")</f>
        <v/>
      </c>
    </row>
    <row r="445">
      <c r="A445" s="44" t="n">
        <v>46293</v>
      </c>
      <c r="B445" s="45" t="inlineStr">
        <is>
          <t>Kilmore</t>
        </is>
      </c>
      <c r="C445" s="21" t="n">
        <v>8</v>
      </c>
      <c r="D445" s="21" t="n">
        <v>13</v>
      </c>
      <c r="E445" s="20" t="inlineStr">
        <is>
          <t>Bajaria</t>
        </is>
      </c>
      <c r="F445" s="46" t="inlineStr">
        <is>
          <t>Lay</t>
        </is>
      </c>
      <c r="G445" s="47" t="inlineStr">
        <is>
          <t>Lay</t>
        </is>
      </c>
      <c r="H445" s="48" t="n">
        <v>2.8</v>
      </c>
      <c r="I445" s="48" t="n">
        <v>2.3</v>
      </c>
      <c r="J445" s="22" t="n">
        <v>-0.0767</v>
      </c>
      <c r="K445" s="49" t="n">
        <v>1</v>
      </c>
      <c r="L445" s="21" t="n">
        <v>1</v>
      </c>
      <c r="M445" s="46" t="inlineStr">
        <is>
          <t>Loss</t>
        </is>
      </c>
      <c r="N445" s="23">
        <f>IF(M445="Win",IF(F445="Bet",(I445-1)*K445,K445),IF(M445="Loss",IF(F445="Bet",-K445,-(I445-1)*K445),IF(M445="Void",0,"")))</f>
        <v/>
      </c>
      <c r="O445" s="24">
        <f>IF(OR(M445="Win",M445="Loss"),IF(F445="Bet",K445,(I445-1)*K445),"")</f>
        <v/>
      </c>
    </row>
    <row r="446">
      <c r="A446" s="37" t="n">
        <v>46293</v>
      </c>
      <c r="B446" s="38" t="inlineStr">
        <is>
          <t>Wagga</t>
        </is>
      </c>
      <c r="C446" s="15" t="n">
        <v>7</v>
      </c>
      <c r="D446" s="15" t="n">
        <v>5</v>
      </c>
      <c r="E446" s="14" t="inlineStr">
        <is>
          <t>Bonnie Murringo</t>
        </is>
      </c>
      <c r="F446" s="43" t="inlineStr">
        <is>
          <t>Lay</t>
        </is>
      </c>
      <c r="G446" s="47" t="inlineStr">
        <is>
          <t>Lay</t>
        </is>
      </c>
      <c r="H446" s="41" t="n">
        <v>2.2</v>
      </c>
      <c r="I446" s="41" t="n">
        <v>1.82</v>
      </c>
      <c r="J446" s="16" t="n">
        <v>-0.0712</v>
      </c>
      <c r="K446" s="42" t="n">
        <v>1</v>
      </c>
      <c r="L446" s="15" t="n">
        <v>6</v>
      </c>
      <c r="M446" s="51" t="inlineStr">
        <is>
          <t>Win</t>
        </is>
      </c>
      <c r="N446" s="17">
        <f>IF(M446="Win",IF(F446="Bet",(I446-1)*K446,K446),IF(M446="Loss",IF(F446="Bet",-K446,-(I446-1)*K446),IF(M446="Void",0,"")))</f>
        <v/>
      </c>
      <c r="O446" s="18">
        <f>IF(OR(M446="Win",M446="Loss"),IF(F446="Bet",K446,(I446-1)*K446),"")</f>
        <v/>
      </c>
    </row>
    <row r="447">
      <c r="A447" s="44" t="n">
        <v>46293</v>
      </c>
      <c r="B447" s="45" t="inlineStr">
        <is>
          <t>Bunbury</t>
        </is>
      </c>
      <c r="C447" s="21" t="n">
        <v>4</v>
      </c>
      <c r="D447" s="21" t="n">
        <v>11</v>
      </c>
      <c r="E447" s="20" t="inlineStr">
        <is>
          <t>Forever Victorious</t>
        </is>
      </c>
      <c r="F447" s="46" t="inlineStr">
        <is>
          <t>Lay</t>
        </is>
      </c>
      <c r="G447" s="47" t="inlineStr">
        <is>
          <t>Lay</t>
        </is>
      </c>
      <c r="H447" s="48" t="n">
        <v>3.6</v>
      </c>
      <c r="I447" s="48" t="n">
        <v>2.88</v>
      </c>
      <c r="J447" s="22" t="n">
        <v>-0.06370000000000001</v>
      </c>
      <c r="K447" s="49" t="n">
        <v>1</v>
      </c>
      <c r="L447" s="21" t="n">
        <v>1</v>
      </c>
      <c r="M447" s="46" t="inlineStr">
        <is>
          <t>Loss</t>
        </is>
      </c>
      <c r="N447" s="23">
        <f>IF(M447="Win",IF(F447="Bet",(I447-1)*K447,K447),IF(M447="Loss",IF(F447="Bet",-K447,-(I447-1)*K447),IF(M447="Void",0,"")))</f>
        <v/>
      </c>
      <c r="O447" s="24">
        <f>IF(OR(M447="Win",M447="Loss"),IF(F447="Bet",K447,(I447-1)*K447),"")</f>
        <v/>
      </c>
    </row>
    <row r="448">
      <c r="A448" s="37" t="n">
        <v>46294</v>
      </c>
      <c r="B448" s="38" t="inlineStr">
        <is>
          <t>Tatura</t>
        </is>
      </c>
      <c r="C448" s="15" t="n">
        <v>6</v>
      </c>
      <c r="D448" s="15" t="n">
        <v>2</v>
      </c>
      <c r="E448" s="14" t="inlineStr">
        <is>
          <t>Rich King</t>
        </is>
      </c>
      <c r="F448" s="43" t="inlineStr">
        <is>
          <t>Lay</t>
        </is>
      </c>
      <c r="G448" s="47" t="inlineStr">
        <is>
          <t>Lay</t>
        </is>
      </c>
      <c r="H448" s="41" t="n">
        <v>4</v>
      </c>
      <c r="I448" s="41" t="n">
        <v>2.72</v>
      </c>
      <c r="J448" s="16" t="n">
        <v>-0.0832</v>
      </c>
      <c r="K448" s="42" t="n">
        <v>1</v>
      </c>
      <c r="L448" s="15" t="n"/>
      <c r="M448" s="54" t="inlineStr">
        <is>
          <t>Void</t>
        </is>
      </c>
      <c r="N448" s="17">
        <f>IF(M448="Win",IF(F448="Bet",(I448-1)*K448,K448),IF(M448="Loss",IF(F448="Bet",-K448,-(I448-1)*K448),IF(M448="Void",0,"")))</f>
        <v/>
      </c>
      <c r="O448" s="18">
        <f>IF(OR(M448="Win",M448="Loss"),IF(F448="Bet",K448,(I448-1)*K448),"")</f>
        <v/>
      </c>
    </row>
    <row r="449">
      <c r="A449" s="44" t="n">
        <v>46294</v>
      </c>
      <c r="B449" s="45" t="inlineStr">
        <is>
          <t>Tatura</t>
        </is>
      </c>
      <c r="C449" s="21" t="n">
        <v>5</v>
      </c>
      <c r="D449" s="21" t="n">
        <v>1</v>
      </c>
      <c r="E449" s="20" t="inlineStr">
        <is>
          <t>Pomah</t>
        </is>
      </c>
      <c r="F449" s="46" t="inlineStr">
        <is>
          <t>Lay</t>
        </is>
      </c>
      <c r="G449" s="47" t="inlineStr">
        <is>
          <t>Lay</t>
        </is>
      </c>
      <c r="H449" s="48" t="n">
        <v>3.9</v>
      </c>
      <c r="I449" s="48" t="n">
        <v>2.68</v>
      </c>
      <c r="J449" s="22" t="n">
        <v>-0.0606</v>
      </c>
      <c r="K449" s="49" t="n">
        <v>1</v>
      </c>
      <c r="L449" s="21" t="n">
        <v>7</v>
      </c>
      <c r="M449" s="50" t="inlineStr">
        <is>
          <t>Win</t>
        </is>
      </c>
      <c r="N449" s="23">
        <f>IF(M449="Win",IF(F449="Bet",(I449-1)*K449,K449),IF(M449="Loss",IF(F449="Bet",-K449,-(I449-1)*K449),IF(M449="Void",0,"")))</f>
        <v/>
      </c>
      <c r="O449" s="24">
        <f>IF(OR(M449="Win",M449="Loss"),IF(F449="Bet",K449,(I449-1)*K449),"")</f>
        <v/>
      </c>
    </row>
    <row r="450">
      <c r="A450" s="37" t="n">
        <v>46294</v>
      </c>
      <c r="B450" s="38" t="inlineStr">
        <is>
          <t>Grafton</t>
        </is>
      </c>
      <c r="C450" s="15" t="n">
        <v>3</v>
      </c>
      <c r="D450" s="15" t="n">
        <v>10</v>
      </c>
      <c r="E450" s="14" t="inlineStr">
        <is>
          <t>Crazy Eights</t>
        </is>
      </c>
      <c r="F450" s="43" t="inlineStr">
        <is>
          <t>Lay</t>
        </is>
      </c>
      <c r="G450" s="47" t="inlineStr">
        <is>
          <t>Lay</t>
        </is>
      </c>
      <c r="H450" s="41" t="n">
        <v>3.3</v>
      </c>
      <c r="I450" s="41" t="n">
        <v>2.6</v>
      </c>
      <c r="J450" s="16" t="n">
        <v>-0.0809</v>
      </c>
      <c r="K450" s="42" t="n">
        <v>1</v>
      </c>
      <c r="L450" s="15" t="n"/>
      <c r="M450" s="54" t="inlineStr">
        <is>
          <t>Void</t>
        </is>
      </c>
      <c r="N450" s="17">
        <f>IF(M450="Win",IF(F450="Bet",(I450-1)*K450,K450),IF(M450="Loss",IF(F450="Bet",-K450,-(I450-1)*K450),IF(M450="Void",0,"")))</f>
        <v/>
      </c>
      <c r="O450" s="18">
        <f>IF(OR(M450="Win",M450="Loss"),IF(F450="Bet",K450,(I450-1)*K450),"")</f>
        <v/>
      </c>
    </row>
    <row r="451">
      <c r="A451" s="44" t="n">
        <v>46294</v>
      </c>
      <c r="B451" s="45" t="inlineStr">
        <is>
          <t>Tatura</t>
        </is>
      </c>
      <c r="C451" s="21" t="n">
        <v>3</v>
      </c>
      <c r="D451" s="21" t="n">
        <v>7</v>
      </c>
      <c r="E451" s="20" t="inlineStr">
        <is>
          <t>Vespasian</t>
        </is>
      </c>
      <c r="F451" s="46" t="inlineStr">
        <is>
          <t>Lay</t>
        </is>
      </c>
      <c r="G451" s="47" t="inlineStr">
        <is>
          <t>Lay</t>
        </is>
      </c>
      <c r="H451" s="48" t="n">
        <v>3.3</v>
      </c>
      <c r="I451" s="48" t="n">
        <v>2.24</v>
      </c>
      <c r="J451" s="22" t="n">
        <v>-0.0611</v>
      </c>
      <c r="K451" s="49" t="n">
        <v>1</v>
      </c>
      <c r="L451" s="21" t="n">
        <v>4</v>
      </c>
      <c r="M451" s="50" t="inlineStr">
        <is>
          <t>Win</t>
        </is>
      </c>
      <c r="N451" s="23">
        <f>IF(M451="Win",IF(F451="Bet",(I451-1)*K451,K451),IF(M451="Loss",IF(F451="Bet",-K451,-(I451-1)*K451),IF(M451="Void",0,"")))</f>
        <v/>
      </c>
      <c r="O451" s="24">
        <f>IF(OR(M451="Win",M451="Loss"),IF(F451="Bet",K451,(I451-1)*K451),"")</f>
        <v/>
      </c>
    </row>
    <row r="452">
      <c r="A452" s="37" t="n">
        <v>46294</v>
      </c>
      <c r="B452" s="38" t="inlineStr">
        <is>
          <t>Grafton</t>
        </is>
      </c>
      <c r="C452" s="15" t="n">
        <v>6</v>
      </c>
      <c r="D452" s="15" t="n">
        <v>8</v>
      </c>
      <c r="E452" s="14" t="inlineStr">
        <is>
          <t>Copenhagen Cat</t>
        </is>
      </c>
      <c r="F452" s="43" t="inlineStr">
        <is>
          <t>Lay</t>
        </is>
      </c>
      <c r="G452" s="47" t="inlineStr">
        <is>
          <t>Lay</t>
        </is>
      </c>
      <c r="H452" s="41" t="n">
        <v>5.7</v>
      </c>
      <c r="I452" s="41" t="n">
        <v>3.4</v>
      </c>
      <c r="J452" s="16" t="n">
        <v>-0.0798</v>
      </c>
      <c r="K452" s="42" t="n">
        <v>1</v>
      </c>
      <c r="L452" s="15" t="n">
        <v>7</v>
      </c>
      <c r="M452" s="51" t="inlineStr">
        <is>
          <t>Win</t>
        </is>
      </c>
      <c r="N452" s="17">
        <f>IF(M452="Win",IF(F452="Bet",(I452-1)*K452,K452),IF(M452="Loss",IF(F452="Bet",-K452,-(I452-1)*K452),IF(M452="Void",0,"")))</f>
        <v/>
      </c>
      <c r="O452" s="18">
        <f>IF(OR(M452="Win",M452="Loss"),IF(F452="Bet",K452,(I452-1)*K452),"")</f>
        <v/>
      </c>
    </row>
    <row r="453">
      <c r="A453" s="44" t="n">
        <v>46294</v>
      </c>
      <c r="B453" s="45" t="inlineStr">
        <is>
          <t>Tatura</t>
        </is>
      </c>
      <c r="C453" s="21" t="n">
        <v>6</v>
      </c>
      <c r="D453" s="21" t="n">
        <v>11</v>
      </c>
      <c r="E453" s="20" t="inlineStr">
        <is>
          <t>Wambeen</t>
        </is>
      </c>
      <c r="F453" s="46" t="inlineStr">
        <is>
          <t>Lay</t>
        </is>
      </c>
      <c r="G453" s="47" t="inlineStr">
        <is>
          <t>Lay</t>
        </is>
      </c>
      <c r="H453" s="48" t="n">
        <v>8.4</v>
      </c>
      <c r="I453" s="48" t="n">
        <v>5.3</v>
      </c>
      <c r="J453" s="22" t="n">
        <v>-0.0698</v>
      </c>
      <c r="K453" s="49" t="n">
        <v>1</v>
      </c>
      <c r="L453" s="21" t="n">
        <v>2</v>
      </c>
      <c r="M453" s="50" t="inlineStr">
        <is>
          <t>Win</t>
        </is>
      </c>
      <c r="N453" s="23">
        <f>IF(M453="Win",IF(F453="Bet",(I453-1)*K453,K453),IF(M453="Loss",IF(F453="Bet",-K453,-(I453-1)*K453),IF(M453="Void",0,"")))</f>
        <v/>
      </c>
      <c r="O453" s="24">
        <f>IF(OR(M453="Win",M453="Loss"),IF(F453="Bet",K453,(I453-1)*K453),"")</f>
        <v/>
      </c>
    </row>
    <row r="454">
      <c r="A454" s="37" t="n">
        <v>46294</v>
      </c>
      <c r="B454" s="38" t="inlineStr">
        <is>
          <t>Tatura</t>
        </is>
      </c>
      <c r="C454" s="15" t="n">
        <v>7</v>
      </c>
      <c r="D454" s="15" t="n">
        <v>4</v>
      </c>
      <c r="E454" s="14" t="inlineStr">
        <is>
          <t>Sugar Schnapps</t>
        </is>
      </c>
      <c r="F454" s="43" t="inlineStr">
        <is>
          <t>Lay</t>
        </is>
      </c>
      <c r="G454" s="47" t="inlineStr">
        <is>
          <t>Lay</t>
        </is>
      </c>
      <c r="H454" s="41" t="n">
        <v>5.5</v>
      </c>
      <c r="I454" s="41" t="n">
        <v>3.18</v>
      </c>
      <c r="J454" s="16" t="n">
        <v>-0.0881</v>
      </c>
      <c r="K454" s="42" t="n">
        <v>1</v>
      </c>
      <c r="L454" s="15" t="n">
        <v>2</v>
      </c>
      <c r="M454" s="51" t="inlineStr">
        <is>
          <t>Win</t>
        </is>
      </c>
      <c r="N454" s="17">
        <f>IF(M454="Win",IF(F454="Bet",(I454-1)*K454,K454),IF(M454="Loss",IF(F454="Bet",-K454,-(I454-1)*K454),IF(M454="Void",0,"")))</f>
        <v/>
      </c>
      <c r="O454" s="18">
        <f>IF(OR(M454="Win",M454="Loss"),IF(F454="Bet",K454,(I454-1)*K454),"")</f>
        <v/>
      </c>
    </row>
    <row r="455">
      <c r="A455" s="44" t="n">
        <v>46294</v>
      </c>
      <c r="B455" s="45" t="inlineStr">
        <is>
          <t>Tatura</t>
        </is>
      </c>
      <c r="C455" s="21" t="n">
        <v>4</v>
      </c>
      <c r="D455" s="21" t="n">
        <v>1</v>
      </c>
      <c r="E455" s="20" t="inlineStr">
        <is>
          <t>Baganov</t>
        </is>
      </c>
      <c r="F455" s="46" t="inlineStr">
        <is>
          <t>Lay</t>
        </is>
      </c>
      <c r="G455" s="47" t="inlineStr">
        <is>
          <t>Lay</t>
        </is>
      </c>
      <c r="H455" s="48" t="n">
        <v>4.3</v>
      </c>
      <c r="I455" s="48" t="n">
        <v>3.05</v>
      </c>
      <c r="J455" s="22" t="n">
        <v>-0.0625</v>
      </c>
      <c r="K455" s="49" t="n">
        <v>1</v>
      </c>
      <c r="L455" s="21" t="n">
        <v>3</v>
      </c>
      <c r="M455" s="50" t="inlineStr">
        <is>
          <t>Win</t>
        </is>
      </c>
      <c r="N455" s="23">
        <f>IF(M455="Win",IF(F455="Bet",(I455-1)*K455,K455),IF(M455="Loss",IF(F455="Bet",-K455,-(I455-1)*K455),IF(M455="Void",0,"")))</f>
        <v/>
      </c>
      <c r="O455" s="24">
        <f>IF(OR(M455="Win",M455="Loss"),IF(F455="Bet",K455,(I455-1)*K455),"")</f>
        <v/>
      </c>
    </row>
    <row r="456">
      <c r="A456" s="37" t="n">
        <v>46294</v>
      </c>
      <c r="B456" s="38" t="inlineStr">
        <is>
          <t>Grafton</t>
        </is>
      </c>
      <c r="C456" s="15" t="n">
        <v>2</v>
      </c>
      <c r="D456" s="15" t="n">
        <v>5</v>
      </c>
      <c r="E456" s="14" t="inlineStr">
        <is>
          <t>Parting The Seas</t>
        </is>
      </c>
      <c r="F456" s="43" t="inlineStr">
        <is>
          <t>Lay</t>
        </is>
      </c>
      <c r="G456" s="47" t="inlineStr">
        <is>
          <t>Lay</t>
        </is>
      </c>
      <c r="H456" s="41" t="n">
        <v>12.4</v>
      </c>
      <c r="I456" s="41" t="n">
        <v>7</v>
      </c>
      <c r="J456" s="16" t="n">
        <v>-0.0621</v>
      </c>
      <c r="K456" s="42" t="n">
        <v>1</v>
      </c>
      <c r="L456" s="15" t="n">
        <v>4</v>
      </c>
      <c r="M456" s="51" t="inlineStr">
        <is>
          <t>Win</t>
        </is>
      </c>
      <c r="N456" s="17">
        <f>IF(M456="Win",IF(F456="Bet",(I456-1)*K456,K456),IF(M456="Loss",IF(F456="Bet",-K456,-(I456-1)*K456),IF(M456="Void",0,"")))</f>
        <v/>
      </c>
      <c r="O456" s="18">
        <f>IF(OR(M456="Win",M456="Loss"),IF(F456="Bet",K456,(I456-1)*K456),"")</f>
        <v/>
      </c>
    </row>
    <row r="457">
      <c r="A457" s="44" t="n">
        <v>46294</v>
      </c>
      <c r="B457" s="45" t="inlineStr">
        <is>
          <t>Grafton</t>
        </is>
      </c>
      <c r="C457" s="21" t="n">
        <v>1</v>
      </c>
      <c r="D457" s="21" t="n">
        <v>5</v>
      </c>
      <c r="E457" s="20" t="inlineStr">
        <is>
          <t>Woodland Wonder</t>
        </is>
      </c>
      <c r="F457" s="46" t="inlineStr">
        <is>
          <t>Lay</t>
        </is>
      </c>
      <c r="G457" s="47" t="inlineStr">
        <is>
          <t>Lay</t>
        </is>
      </c>
      <c r="H457" s="48" t="n">
        <v>4.6</v>
      </c>
      <c r="I457" s="48" t="n">
        <v>3.55</v>
      </c>
      <c r="J457" s="22" t="n">
        <v>-0.0641</v>
      </c>
      <c r="K457" s="49" t="n">
        <v>1</v>
      </c>
      <c r="L457" s="21" t="n">
        <v>3</v>
      </c>
      <c r="M457" s="50" t="inlineStr">
        <is>
          <t>Win</t>
        </is>
      </c>
      <c r="N457" s="23">
        <f>IF(M457="Win",IF(F457="Bet",(I457-1)*K457,K457),IF(M457="Loss",IF(F457="Bet",-K457,-(I457-1)*K457),IF(M457="Void",0,"")))</f>
        <v/>
      </c>
      <c r="O457" s="24">
        <f>IF(OR(M457="Win",M457="Loss"),IF(F457="Bet",K457,(I457-1)*K457),"")</f>
        <v/>
      </c>
    </row>
    <row r="458">
      <c r="A458" s="37" t="n">
        <v>46294</v>
      </c>
      <c r="B458" s="38" t="inlineStr">
        <is>
          <t>Grafton</t>
        </is>
      </c>
      <c r="C458" s="15" t="n">
        <v>5</v>
      </c>
      <c r="D458" s="15" t="n">
        <v>14</v>
      </c>
      <c r="E458" s="14" t="inlineStr">
        <is>
          <t>Scrambling</t>
        </is>
      </c>
      <c r="F458" s="43" t="inlineStr">
        <is>
          <t>Lay</t>
        </is>
      </c>
      <c r="G458" s="47" t="inlineStr">
        <is>
          <t>Lay</t>
        </is>
      </c>
      <c r="H458" s="41" t="n">
        <v>2.1</v>
      </c>
      <c r="I458" s="41" t="n">
        <v>1.74</v>
      </c>
      <c r="J458" s="16" t="n">
        <v>-0.0755</v>
      </c>
      <c r="K458" s="42" t="n">
        <v>1</v>
      </c>
      <c r="L458" s="15" t="n">
        <v>1</v>
      </c>
      <c r="M458" s="43" t="inlineStr">
        <is>
          <t>Loss</t>
        </is>
      </c>
      <c r="N458" s="17">
        <f>IF(M458="Win",IF(F458="Bet",(I458-1)*K458,K458),IF(M458="Loss",IF(F458="Bet",-K458,-(I458-1)*K458),IF(M458="Void",0,"")))</f>
        <v/>
      </c>
      <c r="O458" s="18">
        <f>IF(OR(M458="Win",M458="Loss"),IF(F458="Bet",K458,(I458-1)*K458),"")</f>
        <v/>
      </c>
    </row>
    <row r="459">
      <c r="A459" s="44" t="n">
        <v>46294</v>
      </c>
      <c r="B459" s="45" t="inlineStr">
        <is>
          <t>Tatura</t>
        </is>
      </c>
      <c r="C459" s="21" t="n">
        <v>6</v>
      </c>
      <c r="D459" s="21" t="n">
        <v>3</v>
      </c>
      <c r="E459" s="20" t="inlineStr">
        <is>
          <t>Immortalised</t>
        </is>
      </c>
      <c r="F459" s="46" t="inlineStr">
        <is>
          <t>Lay</t>
        </is>
      </c>
      <c r="G459" s="47" t="inlineStr">
        <is>
          <t>Lay</t>
        </is>
      </c>
      <c r="H459" s="48" t="n">
        <v>5.2</v>
      </c>
      <c r="I459" s="48" t="n">
        <v>3</v>
      </c>
      <c r="J459" s="22" t="n">
        <v>-0.0607</v>
      </c>
      <c r="K459" s="49" t="n">
        <v>1</v>
      </c>
      <c r="L459" s="21" t="n">
        <v>11</v>
      </c>
      <c r="M459" s="50" t="inlineStr">
        <is>
          <t>Win</t>
        </is>
      </c>
      <c r="N459" s="23">
        <f>IF(M459="Win",IF(F459="Bet",(I459-1)*K459,K459),IF(M459="Loss",IF(F459="Bet",-K459,-(I459-1)*K459),IF(M459="Void",0,"")))</f>
        <v/>
      </c>
      <c r="O459" s="24">
        <f>IF(OR(M459="Win",M459="Loss"),IF(F459="Bet",K459,(I459-1)*K459),"")</f>
        <v/>
      </c>
    </row>
    <row r="460">
      <c r="A460" s="37" t="n">
        <v>46294</v>
      </c>
      <c r="B460" s="38" t="inlineStr">
        <is>
          <t>Tatura</t>
        </is>
      </c>
      <c r="C460" s="15" t="n">
        <v>7</v>
      </c>
      <c r="D460" s="15" t="n">
        <v>8</v>
      </c>
      <c r="E460" s="14" t="inlineStr">
        <is>
          <t>Asmita</t>
        </is>
      </c>
      <c r="F460" s="43" t="inlineStr">
        <is>
          <t>Lay</t>
        </is>
      </c>
      <c r="G460" s="47" t="inlineStr">
        <is>
          <t>Lay</t>
        </is>
      </c>
      <c r="H460" s="41" t="n">
        <v>3.6</v>
      </c>
      <c r="I460" s="41" t="n">
        <v>2.96</v>
      </c>
      <c r="J460" s="16" t="n">
        <v>-0.0619</v>
      </c>
      <c r="K460" s="42" t="n">
        <v>1</v>
      </c>
      <c r="L460" s="15" t="n">
        <v>4</v>
      </c>
      <c r="M460" s="51" t="inlineStr">
        <is>
          <t>Win</t>
        </is>
      </c>
      <c r="N460" s="17">
        <f>IF(M460="Win",IF(F460="Bet",(I460-1)*K460,K460),IF(M460="Loss",IF(F460="Bet",-K460,-(I460-1)*K460),IF(M460="Void",0,"")))</f>
        <v/>
      </c>
      <c r="O460" s="18">
        <f>IF(OR(M460="Win",M460="Loss"),IF(F460="Bet",K460,(I460-1)*K460),"")</f>
        <v/>
      </c>
    </row>
    <row r="461">
      <c r="A461" s="44" t="n">
        <v>46295</v>
      </c>
      <c r="B461" s="45" t="inlineStr">
        <is>
          <t>Balaklava</t>
        </is>
      </c>
      <c r="C461" s="21" t="n">
        <v>1</v>
      </c>
      <c r="D461" s="21" t="n">
        <v>6</v>
      </c>
      <c r="E461" s="20" t="inlineStr">
        <is>
          <t>Hell's On Fire</t>
        </is>
      </c>
      <c r="F461" s="46" t="inlineStr">
        <is>
          <t>Lay</t>
        </is>
      </c>
      <c r="G461" s="47" t="inlineStr">
        <is>
          <t>Lay</t>
        </is>
      </c>
      <c r="H461" s="48" t="n">
        <v>5</v>
      </c>
      <c r="I461" s="48" t="n">
        <v>3.25</v>
      </c>
      <c r="J461" s="22" t="n">
        <v>-0.06320000000000001</v>
      </c>
      <c r="K461" s="49" t="n">
        <v>1</v>
      </c>
      <c r="L461" s="21" t="n">
        <v>3</v>
      </c>
      <c r="M461" s="50" t="inlineStr">
        <is>
          <t>Win</t>
        </is>
      </c>
      <c r="N461" s="23">
        <f>IF(M461="Win",IF(F461="Bet",(I461-1)*K461,K461),IF(M461="Loss",IF(F461="Bet",-K461,-(I461-1)*K461),IF(M461="Void",0,"")))</f>
        <v/>
      </c>
      <c r="O461" s="24">
        <f>IF(OR(M461="Win",M461="Loss"),IF(F461="Bet",K461,(I461-1)*K461),"")</f>
        <v/>
      </c>
    </row>
    <row r="462">
      <c r="A462" s="37" t="n">
        <v>46295</v>
      </c>
      <c r="B462" s="38" t="inlineStr">
        <is>
          <t>Ballarat</t>
        </is>
      </c>
      <c r="C462" s="15" t="n">
        <v>5</v>
      </c>
      <c r="D462" s="15" t="n">
        <v>5</v>
      </c>
      <c r="E462" s="14" t="inlineStr">
        <is>
          <t>Yauson</t>
        </is>
      </c>
      <c r="F462" s="43" t="inlineStr">
        <is>
          <t>Lay</t>
        </is>
      </c>
      <c r="G462" s="47" t="inlineStr">
        <is>
          <t>Lay</t>
        </is>
      </c>
      <c r="H462" s="41" t="n">
        <v>2.45</v>
      </c>
      <c r="I462" s="41" t="n">
        <v>1.97</v>
      </c>
      <c r="J462" s="16" t="n">
        <v>-0.07000000000000001</v>
      </c>
      <c r="K462" s="42" t="n">
        <v>1</v>
      </c>
      <c r="L462" s="15" t="n">
        <v>1</v>
      </c>
      <c r="M462" s="43" t="inlineStr">
        <is>
          <t>Loss</t>
        </is>
      </c>
      <c r="N462" s="17">
        <f>IF(M462="Win",IF(F462="Bet",(I462-1)*K462,K462),IF(M462="Loss",IF(F462="Bet",-K462,-(I462-1)*K462),IF(M462="Void",0,"")))</f>
        <v/>
      </c>
      <c r="O462" s="18">
        <f>IF(OR(M462="Win",M462="Loss"),IF(F462="Bet",K462,(I462-1)*K462),"")</f>
        <v/>
      </c>
    </row>
    <row r="463">
      <c r="A463" s="44" t="n">
        <v>46295</v>
      </c>
      <c r="B463" s="45" t="inlineStr">
        <is>
          <t>Rosehill</t>
        </is>
      </c>
      <c r="C463" s="21" t="n">
        <v>4</v>
      </c>
      <c r="D463" s="21" t="n">
        <v>2</v>
      </c>
      <c r="E463" s="20" t="inlineStr">
        <is>
          <t>Kenmare Bay</t>
        </is>
      </c>
      <c r="F463" s="46" t="inlineStr">
        <is>
          <t>Lay</t>
        </is>
      </c>
      <c r="G463" s="47" t="inlineStr">
        <is>
          <t>Lay</t>
        </is>
      </c>
      <c r="H463" s="48" t="n">
        <v>3.2</v>
      </c>
      <c r="I463" s="48" t="n">
        <v>1.99</v>
      </c>
      <c r="J463" s="22" t="n">
        <v>-0.0607</v>
      </c>
      <c r="K463" s="49" t="n">
        <v>1</v>
      </c>
      <c r="L463" s="21" t="n">
        <v>1</v>
      </c>
      <c r="M463" s="46" t="inlineStr">
        <is>
          <t>Loss</t>
        </is>
      </c>
      <c r="N463" s="23">
        <f>IF(M463="Win",IF(F463="Bet",(I463-1)*K463,K463),IF(M463="Loss",IF(F463="Bet",-K463,-(I463-1)*K463),IF(M463="Void",0,"")))</f>
        <v/>
      </c>
      <c r="O463" s="24">
        <f>IF(OR(M463="Win",M463="Loss"),IF(F463="Bet",K463,(I463-1)*K463),"")</f>
        <v/>
      </c>
    </row>
    <row r="464">
      <c r="A464" s="37" t="n">
        <v>46295</v>
      </c>
      <c r="B464" s="38" t="inlineStr">
        <is>
          <t>Geraldton</t>
        </is>
      </c>
      <c r="C464" s="15" t="n">
        <v>1</v>
      </c>
      <c r="D464" s="15" t="n">
        <v>2</v>
      </c>
      <c r="E464" s="14" t="inlineStr">
        <is>
          <t>Prince Epaulette</t>
        </is>
      </c>
      <c r="F464" s="43" t="inlineStr">
        <is>
          <t>Lay</t>
        </is>
      </c>
      <c r="G464" s="47" t="inlineStr">
        <is>
          <t>Lay</t>
        </is>
      </c>
      <c r="H464" s="41" t="n">
        <v>3.7</v>
      </c>
      <c r="I464" s="41" t="n">
        <v>2.54</v>
      </c>
      <c r="J464" s="16" t="n">
        <v>-0.1009</v>
      </c>
      <c r="K464" s="42" t="n">
        <v>1</v>
      </c>
      <c r="L464" s="15" t="n">
        <v>2</v>
      </c>
      <c r="M464" s="51" t="inlineStr">
        <is>
          <t>Win</t>
        </is>
      </c>
      <c r="N464" s="17">
        <f>IF(M464="Win",IF(F464="Bet",(I464-1)*K464,K464),IF(M464="Loss",IF(F464="Bet",-K464,-(I464-1)*K464),IF(M464="Void",0,"")))</f>
        <v/>
      </c>
      <c r="O464" s="18">
        <f>IF(OR(M464="Win",M464="Loss"),IF(F464="Bet",K464,(I464-1)*K464),"")</f>
        <v/>
      </c>
    </row>
    <row r="465">
      <c r="A465" s="44" t="n">
        <v>46295</v>
      </c>
      <c r="B465" s="45" t="inlineStr">
        <is>
          <t>Geraldton</t>
        </is>
      </c>
      <c r="C465" s="21" t="n">
        <v>2</v>
      </c>
      <c r="D465" s="21" t="n">
        <v>2</v>
      </c>
      <c r="E465" s="20" t="inlineStr">
        <is>
          <t>Beston Street</t>
        </is>
      </c>
      <c r="F465" s="46" t="inlineStr">
        <is>
          <t>Lay</t>
        </is>
      </c>
      <c r="G465" s="47" t="inlineStr">
        <is>
          <t>Lay</t>
        </is>
      </c>
      <c r="H465" s="48" t="n">
        <v>3.5</v>
      </c>
      <c r="I465" s="48" t="n">
        <v>2.26</v>
      </c>
      <c r="J465" s="22" t="n">
        <v>-0.073</v>
      </c>
      <c r="K465" s="49" t="n">
        <v>1</v>
      </c>
      <c r="L465" s="21" t="n">
        <v>3</v>
      </c>
      <c r="M465" s="50" t="inlineStr">
        <is>
          <t>Win</t>
        </is>
      </c>
      <c r="N465" s="23">
        <f>IF(M465="Win",IF(F465="Bet",(I465-1)*K465,K465),IF(M465="Loss",IF(F465="Bet",-K465,-(I465-1)*K465),IF(M465="Void",0,"")))</f>
        <v/>
      </c>
      <c r="O465" s="24">
        <f>IF(OR(M465="Win",M465="Loss"),IF(F465="Bet",K465,(I465-1)*K465),"")</f>
        <v/>
      </c>
    </row>
    <row r="466">
      <c r="A466" s="37" t="n">
        <v>46295</v>
      </c>
      <c r="B466" s="38" t="inlineStr">
        <is>
          <t>Rosehill</t>
        </is>
      </c>
      <c r="C466" s="15" t="n">
        <v>5</v>
      </c>
      <c r="D466" s="15" t="n">
        <v>8</v>
      </c>
      <c r="E466" s="14" t="inlineStr">
        <is>
          <t>Savagram</t>
        </is>
      </c>
      <c r="F466" s="43" t="inlineStr">
        <is>
          <t>Lay</t>
        </is>
      </c>
      <c r="G466" s="47" t="inlineStr">
        <is>
          <t>Lay</t>
        </is>
      </c>
      <c r="H466" s="41" t="n">
        <v>7.2</v>
      </c>
      <c r="I466" s="41" t="n">
        <v>5</v>
      </c>
      <c r="J466" s="16" t="n">
        <v>-0.0602</v>
      </c>
      <c r="K466" s="42" t="n">
        <v>1</v>
      </c>
      <c r="L466" s="15" t="n"/>
      <c r="M466" s="54" t="inlineStr">
        <is>
          <t>Void</t>
        </is>
      </c>
      <c r="N466" s="17">
        <f>IF(M466="Win",IF(F466="Bet",(I466-1)*K466,K466),IF(M466="Loss",IF(F466="Bet",-K466,-(I466-1)*K466),IF(M466="Void",0,"")))</f>
        <v/>
      </c>
      <c r="O466" s="18">
        <f>IF(OR(M466="Win",M466="Loss"),IF(F466="Bet",K466,(I466-1)*K466),"")</f>
        <v/>
      </c>
    </row>
    <row r="467">
      <c r="A467" s="44" t="n">
        <v>46295</v>
      </c>
      <c r="B467" s="45" t="inlineStr">
        <is>
          <t>Balaklava</t>
        </is>
      </c>
      <c r="C467" s="21" t="n">
        <v>4</v>
      </c>
      <c r="D467" s="21" t="n">
        <v>3</v>
      </c>
      <c r="E467" s="20" t="inlineStr">
        <is>
          <t>Never Pegasus</t>
        </is>
      </c>
      <c r="F467" s="46" t="inlineStr">
        <is>
          <t>Lay</t>
        </is>
      </c>
      <c r="G467" s="47" t="inlineStr">
        <is>
          <t>Lay</t>
        </is>
      </c>
      <c r="H467" s="48" t="n">
        <v>6.1</v>
      </c>
      <c r="I467" s="48" t="n">
        <v>3.94</v>
      </c>
      <c r="J467" s="22" t="n">
        <v>-0.07489999999999999</v>
      </c>
      <c r="K467" s="49" t="n">
        <v>1</v>
      </c>
      <c r="L467" s="21" t="n">
        <v>4</v>
      </c>
      <c r="M467" s="50" t="inlineStr">
        <is>
          <t>Win</t>
        </is>
      </c>
      <c r="N467" s="23">
        <f>IF(M467="Win",IF(F467="Bet",(I467-1)*K467,K467),IF(M467="Loss",IF(F467="Bet",-K467,-(I467-1)*K467),IF(M467="Void",0,"")))</f>
        <v/>
      </c>
      <c r="O467" s="24">
        <f>IF(OR(M467="Win",M467="Loss"),IF(F467="Bet",K467,(I467-1)*K467),"")</f>
        <v/>
      </c>
    </row>
    <row r="468">
      <c r="A468" s="37" t="n">
        <v>46295</v>
      </c>
      <c r="B468" s="38" t="inlineStr">
        <is>
          <t>Ballarat</t>
        </is>
      </c>
      <c r="C468" s="15" t="n">
        <v>4</v>
      </c>
      <c r="D468" s="15" t="n">
        <v>9</v>
      </c>
      <c r="E468" s="14" t="inlineStr">
        <is>
          <t>Perfect Night</t>
        </is>
      </c>
      <c r="F468" s="43" t="inlineStr">
        <is>
          <t>Lay</t>
        </is>
      </c>
      <c r="G468" s="47" t="inlineStr">
        <is>
          <t>Lay</t>
        </is>
      </c>
      <c r="H468" s="41" t="n">
        <v>5</v>
      </c>
      <c r="I468" s="41" t="n">
        <v>2.44</v>
      </c>
      <c r="J468" s="16" t="n">
        <v>-0.0779</v>
      </c>
      <c r="K468" s="42" t="n">
        <v>1</v>
      </c>
      <c r="L468" s="15" t="n">
        <v>4</v>
      </c>
      <c r="M468" s="51" t="inlineStr">
        <is>
          <t>Win</t>
        </is>
      </c>
      <c r="N468" s="17">
        <f>IF(M468="Win",IF(F468="Bet",(I468-1)*K468,K468),IF(M468="Loss",IF(F468="Bet",-K468,-(I468-1)*K468),IF(M468="Void",0,"")))</f>
        <v/>
      </c>
      <c r="O468" s="18">
        <f>IF(OR(M468="Win",M468="Loss"),IF(F468="Bet",K468,(I468-1)*K468),"")</f>
        <v/>
      </c>
    </row>
    <row r="469">
      <c r="A469" s="44" t="n">
        <v>46295</v>
      </c>
      <c r="B469" s="45" t="inlineStr">
        <is>
          <t>Geraldton</t>
        </is>
      </c>
      <c r="C469" s="21" t="n">
        <v>2</v>
      </c>
      <c r="D469" s="21" t="n">
        <v>8</v>
      </c>
      <c r="E469" s="20" t="inlineStr">
        <is>
          <t>Beaumont Miss</t>
        </is>
      </c>
      <c r="F469" s="46" t="inlineStr">
        <is>
          <t>Lay</t>
        </is>
      </c>
      <c r="G469" s="47" t="inlineStr">
        <is>
          <t>Lay</t>
        </is>
      </c>
      <c r="H469" s="48" t="n">
        <v>2.3</v>
      </c>
      <c r="I469" s="48" t="n">
        <v>1.98</v>
      </c>
      <c r="J469" s="22" t="n">
        <v>-0.0678</v>
      </c>
      <c r="K469" s="49" t="n">
        <v>1</v>
      </c>
      <c r="L469" s="21" t="n">
        <v>1</v>
      </c>
      <c r="M469" s="46" t="inlineStr">
        <is>
          <t>Loss</t>
        </is>
      </c>
      <c r="N469" s="23">
        <f>IF(M469="Win",IF(F469="Bet",(I469-1)*K469,K469),IF(M469="Loss",IF(F469="Bet",-K469,-(I469-1)*K469),IF(M469="Void",0,"")))</f>
        <v/>
      </c>
      <c r="O469" s="24">
        <f>IF(OR(M469="Win",M469="Loss"),IF(F469="Bet",K469,(I469-1)*K469),"")</f>
        <v/>
      </c>
    </row>
    <row r="470">
      <c r="A470" s="37" t="n">
        <v>46295</v>
      </c>
      <c r="B470" s="38" t="inlineStr">
        <is>
          <t>Doomben</t>
        </is>
      </c>
      <c r="C470" s="15" t="n">
        <v>1</v>
      </c>
      <c r="D470" s="15" t="n">
        <v>5</v>
      </c>
      <c r="E470" s="14" t="inlineStr">
        <is>
          <t>Crazy Eights</t>
        </is>
      </c>
      <c r="F470" s="43" t="inlineStr">
        <is>
          <t>Lay</t>
        </is>
      </c>
      <c r="G470" s="47" t="inlineStr">
        <is>
          <t>Lay</t>
        </is>
      </c>
      <c r="H470" s="41" t="n">
        <v>4.8</v>
      </c>
      <c r="I470" s="41" t="n">
        <v>3.65</v>
      </c>
      <c r="J470" s="16" t="n">
        <v>-0.06419999999999999</v>
      </c>
      <c r="K470" s="42" t="n">
        <v>1</v>
      </c>
      <c r="L470" s="15" t="n">
        <v>7</v>
      </c>
      <c r="M470" s="51" t="inlineStr">
        <is>
          <t>Win</t>
        </is>
      </c>
      <c r="N470" s="17">
        <f>IF(M470="Win",IF(F470="Bet",(I470-1)*K470,K470),IF(M470="Loss",IF(F470="Bet",-K470,-(I470-1)*K470),IF(M470="Void",0,"")))</f>
        <v/>
      </c>
      <c r="O470" s="18">
        <f>IF(OR(M470="Win",M470="Loss"),IF(F470="Bet",K470,(I470-1)*K470),"")</f>
        <v/>
      </c>
    </row>
    <row r="471">
      <c r="A471" s="44" t="n">
        <v>46295</v>
      </c>
      <c r="B471" s="45" t="inlineStr">
        <is>
          <t>Doomben</t>
        </is>
      </c>
      <c r="C471" s="21" t="n">
        <v>3</v>
      </c>
      <c r="D471" s="21" t="n">
        <v>5</v>
      </c>
      <c r="E471" s="20" t="inlineStr">
        <is>
          <t>Twisted Queen</t>
        </is>
      </c>
      <c r="F471" s="46" t="inlineStr">
        <is>
          <t>Lay</t>
        </is>
      </c>
      <c r="G471" s="47" t="inlineStr">
        <is>
          <t>Lay</t>
        </is>
      </c>
      <c r="H471" s="48" t="n">
        <v>4.8</v>
      </c>
      <c r="I471" s="48" t="n">
        <v>2.8</v>
      </c>
      <c r="J471" s="22" t="n">
        <v>-0.0741</v>
      </c>
      <c r="K471" s="49" t="n">
        <v>1</v>
      </c>
      <c r="L471" s="21" t="n">
        <v>2</v>
      </c>
      <c r="M471" s="50" t="inlineStr">
        <is>
          <t>Win</t>
        </is>
      </c>
      <c r="N471" s="23">
        <f>IF(M471="Win",IF(F471="Bet",(I471-1)*K471,K471),IF(M471="Loss",IF(F471="Bet",-K471,-(I471-1)*K471),IF(M471="Void",0,"")))</f>
        <v/>
      </c>
      <c r="O471" s="24">
        <f>IF(OR(M471="Win",M471="Loss"),IF(F471="Bet",K471,(I471-1)*K471),"")</f>
        <v/>
      </c>
    </row>
    <row r="472">
      <c r="A472" s="37" t="n">
        <v>46295</v>
      </c>
      <c r="B472" s="38" t="inlineStr">
        <is>
          <t>Doomben</t>
        </is>
      </c>
      <c r="C472" s="15" t="n">
        <v>2</v>
      </c>
      <c r="D472" s="15" t="n">
        <v>5</v>
      </c>
      <c r="E472" s="14" t="inlineStr">
        <is>
          <t>Power Of Success</t>
        </is>
      </c>
      <c r="F472" s="43" t="inlineStr">
        <is>
          <t>Lay</t>
        </is>
      </c>
      <c r="G472" s="47" t="inlineStr">
        <is>
          <t>Lay</t>
        </is>
      </c>
      <c r="H472" s="41" t="n">
        <v>8</v>
      </c>
      <c r="I472" s="41" t="n">
        <v>5.2</v>
      </c>
      <c r="J472" s="16" t="n">
        <v>-0.06419999999999999</v>
      </c>
      <c r="K472" s="42" t="n">
        <v>1</v>
      </c>
      <c r="L472" s="15" t="n">
        <v>4</v>
      </c>
      <c r="M472" s="51" t="inlineStr">
        <is>
          <t>Win</t>
        </is>
      </c>
      <c r="N472" s="17">
        <f>IF(M472="Win",IF(F472="Bet",(I472-1)*K472,K472),IF(M472="Loss",IF(F472="Bet",-K472,-(I472-1)*K472),IF(M472="Void",0,"")))</f>
        <v/>
      </c>
      <c r="O472" s="18">
        <f>IF(OR(M472="Win",M472="Loss"),IF(F472="Bet",K472,(I472-1)*K472),"")</f>
        <v/>
      </c>
    </row>
    <row r="473">
      <c r="A473" s="44" t="n">
        <v>46295</v>
      </c>
      <c r="B473" s="45" t="inlineStr">
        <is>
          <t>Ballarat</t>
        </is>
      </c>
      <c r="C473" s="21" t="n">
        <v>7</v>
      </c>
      <c r="D473" s="21" t="n">
        <v>8</v>
      </c>
      <c r="E473" s="20" t="inlineStr">
        <is>
          <t>Carriedo</t>
        </is>
      </c>
      <c r="F473" s="46" t="inlineStr">
        <is>
          <t>Lay</t>
        </is>
      </c>
      <c r="G473" s="47" t="inlineStr">
        <is>
          <t>Lay</t>
        </is>
      </c>
      <c r="H473" s="48" t="n">
        <v>4.3</v>
      </c>
      <c r="I473" s="48" t="n">
        <v>3.25</v>
      </c>
      <c r="J473" s="22" t="n">
        <v>-0.0674</v>
      </c>
      <c r="K473" s="49" t="n">
        <v>1</v>
      </c>
      <c r="L473" s="21" t="n">
        <v>3</v>
      </c>
      <c r="M473" s="50" t="inlineStr">
        <is>
          <t>Win</t>
        </is>
      </c>
      <c r="N473" s="23">
        <f>IF(M473="Win",IF(F473="Bet",(I473-1)*K473,K473),IF(M473="Loss",IF(F473="Bet",-K473,-(I473-1)*K473),IF(M473="Void",0,"")))</f>
        <v/>
      </c>
      <c r="O473" s="24">
        <f>IF(OR(M473="Win",M473="Loss"),IF(F473="Bet",K473,(I473-1)*K473),"")</f>
        <v/>
      </c>
    </row>
    <row r="474">
      <c r="A474" s="37" t="n">
        <v>46295</v>
      </c>
      <c r="B474" s="38" t="inlineStr">
        <is>
          <t>Balaklava</t>
        </is>
      </c>
      <c r="C474" s="15" t="n">
        <v>5</v>
      </c>
      <c r="D474" s="15" t="n">
        <v>4</v>
      </c>
      <c r="E474" s="14" t="inlineStr">
        <is>
          <t>Chillcuz</t>
        </is>
      </c>
      <c r="F474" s="43" t="inlineStr">
        <is>
          <t>Lay</t>
        </is>
      </c>
      <c r="G474" s="47" t="inlineStr">
        <is>
          <t>Lay</t>
        </is>
      </c>
      <c r="H474" s="41" t="n">
        <v>3.8</v>
      </c>
      <c r="I474" s="41" t="n">
        <v>3</v>
      </c>
      <c r="J474" s="16" t="n">
        <v>-0.068</v>
      </c>
      <c r="K474" s="42" t="n">
        <v>1</v>
      </c>
      <c r="L474" s="15" t="n">
        <v>3</v>
      </c>
      <c r="M474" s="51" t="inlineStr">
        <is>
          <t>Win</t>
        </is>
      </c>
      <c r="N474" s="17">
        <f>IF(M474="Win",IF(F474="Bet",(I474-1)*K474,K474),IF(M474="Loss",IF(F474="Bet",-K474,-(I474-1)*K474),IF(M474="Void",0,"")))</f>
        <v/>
      </c>
      <c r="O474" s="18">
        <f>IF(OR(M474="Win",M474="Loss"),IF(F474="Bet",K474,(I474-1)*K474),"")</f>
        <v/>
      </c>
    </row>
    <row r="475">
      <c r="A475" s="44" t="n">
        <v>46295</v>
      </c>
      <c r="B475" s="45" t="inlineStr">
        <is>
          <t>Geraldton</t>
        </is>
      </c>
      <c r="C475" s="21" t="n">
        <v>5</v>
      </c>
      <c r="D475" s="21" t="n">
        <v>5</v>
      </c>
      <c r="E475" s="20" t="inlineStr">
        <is>
          <t>Diver Dan</t>
        </is>
      </c>
      <c r="F475" s="46" t="inlineStr">
        <is>
          <t>Lay</t>
        </is>
      </c>
      <c r="G475" s="47" t="inlineStr">
        <is>
          <t>Lay</t>
        </is>
      </c>
      <c r="H475" s="48" t="n">
        <v>5.9</v>
      </c>
      <c r="I475" s="48" t="n">
        <v>4</v>
      </c>
      <c r="J475" s="22" t="n">
        <v>-0.0791</v>
      </c>
      <c r="K475" s="49" t="n">
        <v>1</v>
      </c>
      <c r="L475" s="21" t="n">
        <v>4</v>
      </c>
      <c r="M475" s="50" t="inlineStr">
        <is>
          <t>Win</t>
        </is>
      </c>
      <c r="N475" s="23">
        <f>IF(M475="Win",IF(F475="Bet",(I475-1)*K475,K475),IF(M475="Loss",IF(F475="Bet",-K475,-(I475-1)*K475),IF(M475="Void",0,"")))</f>
        <v/>
      </c>
      <c r="O475" s="24">
        <f>IF(OR(M475="Win",M475="Loss"),IF(F475="Bet",K475,(I475-1)*K475),"")</f>
        <v/>
      </c>
    </row>
    <row r="476">
      <c r="A476" s="37" t="n">
        <v>46295</v>
      </c>
      <c r="B476" s="38" t="inlineStr">
        <is>
          <t>Balaklava</t>
        </is>
      </c>
      <c r="C476" s="15" t="n">
        <v>2</v>
      </c>
      <c r="D476" s="15" t="n">
        <v>5</v>
      </c>
      <c r="E476" s="14" t="inlineStr">
        <is>
          <t>Willebob</t>
        </is>
      </c>
      <c r="F476" s="43" t="inlineStr">
        <is>
          <t>Lay</t>
        </is>
      </c>
      <c r="G476" s="47" t="inlineStr">
        <is>
          <t>Lay</t>
        </is>
      </c>
      <c r="H476" s="41" t="n">
        <v>3.5</v>
      </c>
      <c r="I476" s="41" t="n">
        <v>2.82</v>
      </c>
      <c r="J476" s="16" t="n">
        <v>-0.0689</v>
      </c>
      <c r="K476" s="42" t="n">
        <v>1</v>
      </c>
      <c r="L476" s="15" t="n">
        <v>4</v>
      </c>
      <c r="M476" s="51" t="inlineStr">
        <is>
          <t>Win</t>
        </is>
      </c>
      <c r="N476" s="17">
        <f>IF(M476="Win",IF(F476="Bet",(I476-1)*K476,K476),IF(M476="Loss",IF(F476="Bet",-K476,-(I476-1)*K476),IF(M476="Void",0,"")))</f>
        <v/>
      </c>
      <c r="O476" s="18">
        <f>IF(OR(M476="Win",M476="Loss"),IF(F476="Bet",K476,(I476-1)*K476),"")</f>
        <v/>
      </c>
    </row>
    <row r="477">
      <c r="A477" s="44" t="n">
        <v>46295</v>
      </c>
      <c r="B477" s="45" t="inlineStr">
        <is>
          <t>Geraldton</t>
        </is>
      </c>
      <c r="C477" s="21" t="n">
        <v>3</v>
      </c>
      <c r="D477" s="21" t="n">
        <v>2</v>
      </c>
      <c r="E477" s="20" t="inlineStr">
        <is>
          <t>Hyperreal</t>
        </is>
      </c>
      <c r="F477" s="46" t="inlineStr">
        <is>
          <t>Lay</t>
        </is>
      </c>
      <c r="G477" s="47" t="inlineStr">
        <is>
          <t>Lay</t>
        </is>
      </c>
      <c r="H477" s="48" t="n">
        <v>2.85</v>
      </c>
      <c r="I477" s="48" t="n">
        <v>2.4</v>
      </c>
      <c r="J477" s="22" t="n">
        <v>-0.0643</v>
      </c>
      <c r="K477" s="49" t="n">
        <v>1</v>
      </c>
      <c r="L477" s="21" t="n">
        <v>1</v>
      </c>
      <c r="M477" s="46" t="inlineStr">
        <is>
          <t>Loss</t>
        </is>
      </c>
      <c r="N477" s="23">
        <f>IF(M477="Win",IF(F477="Bet",(I477-1)*K477,K477),IF(M477="Loss",IF(F477="Bet",-K477,-(I477-1)*K477),IF(M477="Void",0,"")))</f>
        <v/>
      </c>
      <c r="O477" s="24">
        <f>IF(OR(M477="Win",M477="Loss"),IF(F477="Bet",K477,(I477-1)*K477),"")</f>
        <v/>
      </c>
    </row>
    <row r="478">
      <c r="A478" s="37" t="n">
        <v>46295</v>
      </c>
      <c r="B478" s="38" t="inlineStr">
        <is>
          <t>Ballarat</t>
        </is>
      </c>
      <c r="C478" s="15" t="n">
        <v>8</v>
      </c>
      <c r="D478" s="15" t="n">
        <v>4</v>
      </c>
      <c r="E478" s="14" t="inlineStr">
        <is>
          <t>Yolo</t>
        </is>
      </c>
      <c r="F478" s="43" t="inlineStr">
        <is>
          <t>Lay</t>
        </is>
      </c>
      <c r="G478" s="47" t="inlineStr">
        <is>
          <t>Lay</t>
        </is>
      </c>
      <c r="H478" s="41" t="n">
        <v>5.5</v>
      </c>
      <c r="I478" s="41" t="n">
        <v>3.97</v>
      </c>
      <c r="J478" s="16" t="n">
        <v>-0.0668</v>
      </c>
      <c r="K478" s="42" t="n">
        <v>1</v>
      </c>
      <c r="L478" s="15" t="n">
        <v>1</v>
      </c>
      <c r="M478" s="43" t="inlineStr">
        <is>
          <t>Loss</t>
        </is>
      </c>
      <c r="N478" s="17">
        <f>IF(M478="Win",IF(F478="Bet",(I478-1)*K478,K478),IF(M478="Loss",IF(F478="Bet",-K478,-(I478-1)*K478),IF(M478="Void",0,"")))</f>
        <v/>
      </c>
      <c r="O478" s="18">
        <f>IF(OR(M478="Win",M478="Loss"),IF(F478="Bet",K478,(I478-1)*K478),"")</f>
        <v/>
      </c>
    </row>
    <row r="479">
      <c r="A479" s="44" t="n">
        <v>46295</v>
      </c>
      <c r="B479" s="45" t="inlineStr">
        <is>
          <t>Geraldton</t>
        </is>
      </c>
      <c r="C479" s="21" t="n">
        <v>6</v>
      </c>
      <c r="D479" s="21" t="n">
        <v>1</v>
      </c>
      <c r="E479" s="20" t="inlineStr">
        <is>
          <t>Prince Ragnar</t>
        </is>
      </c>
      <c r="F479" s="46" t="inlineStr">
        <is>
          <t>Lay</t>
        </is>
      </c>
      <c r="G479" s="47" t="inlineStr">
        <is>
          <t>Lay</t>
        </is>
      </c>
      <c r="H479" s="48" t="n">
        <v>5.4</v>
      </c>
      <c r="I479" s="48" t="n">
        <v>3.45</v>
      </c>
      <c r="J479" s="22" t="n">
        <v>-0.07489999999999999</v>
      </c>
      <c r="K479" s="49" t="n">
        <v>1</v>
      </c>
      <c r="L479" s="21" t="n">
        <v>5</v>
      </c>
      <c r="M479" s="50" t="inlineStr">
        <is>
          <t>Win</t>
        </is>
      </c>
      <c r="N479" s="23">
        <f>IF(M479="Win",IF(F479="Bet",(I479-1)*K479,K479),IF(M479="Loss",IF(F479="Bet",-K479,-(I479-1)*K479),IF(M479="Void",0,"")))</f>
        <v/>
      </c>
      <c r="O479" s="24">
        <f>IF(OR(M479="Win",M479="Loss"),IF(F479="Bet",K479,(I479-1)*K479),"")</f>
        <v/>
      </c>
    </row>
    <row r="480">
      <c r="A480" s="37" t="n">
        <v>46295</v>
      </c>
      <c r="B480" s="38" t="inlineStr">
        <is>
          <t>Geraldton</t>
        </is>
      </c>
      <c r="C480" s="15" t="n">
        <v>7</v>
      </c>
      <c r="D480" s="15" t="n">
        <v>2</v>
      </c>
      <c r="E480" s="14" t="inlineStr">
        <is>
          <t>In Situ</t>
        </is>
      </c>
      <c r="F480" s="43" t="inlineStr">
        <is>
          <t>Lay</t>
        </is>
      </c>
      <c r="G480" s="47" t="inlineStr">
        <is>
          <t>Lay</t>
        </is>
      </c>
      <c r="H480" s="41" t="n">
        <v>4.2</v>
      </c>
      <c r="I480" s="41" t="n">
        <v>3.1</v>
      </c>
      <c r="J480" s="16" t="n">
        <v>-0.0658</v>
      </c>
      <c r="K480" s="42" t="n">
        <v>1</v>
      </c>
      <c r="L480" s="15" t="n">
        <v>1</v>
      </c>
      <c r="M480" s="43" t="inlineStr">
        <is>
          <t>Loss</t>
        </is>
      </c>
      <c r="N480" s="17">
        <f>IF(M480="Win",IF(F480="Bet",(I480-1)*K480,K480),IF(M480="Loss",IF(F480="Bet",-K480,-(I480-1)*K480),IF(M480="Void",0,"")))</f>
        <v/>
      </c>
      <c r="O480" s="18">
        <f>IF(OR(M480="Win",M480="Loss"),IF(F480="Bet",K480,(I480-1)*K480),"")</f>
        <v/>
      </c>
    </row>
    <row r="481">
      <c r="A481" s="44" t="n">
        <v>46296</v>
      </c>
      <c r="B481" s="45" t="inlineStr">
        <is>
          <t>Kalgoorlie</t>
        </is>
      </c>
      <c r="C481" s="21" t="n">
        <v>3</v>
      </c>
      <c r="D481" s="21" t="n">
        <v>2</v>
      </c>
      <c r="E481" s="20" t="inlineStr">
        <is>
          <t>Vomo Island</t>
        </is>
      </c>
      <c r="F481" s="46" t="inlineStr">
        <is>
          <t>Lay</t>
        </is>
      </c>
      <c r="G481" s="47" t="inlineStr">
        <is>
          <t>Lay</t>
        </is>
      </c>
      <c r="H481" s="48" t="n">
        <v>4.1</v>
      </c>
      <c r="I481" s="48" t="n">
        <v>1.83</v>
      </c>
      <c r="J481" s="22" t="n">
        <v>-0.07049999999999999</v>
      </c>
      <c r="K481" s="49" t="n">
        <v>1</v>
      </c>
      <c r="L481" s="21" t="n">
        <v>4</v>
      </c>
      <c r="M481" s="50" t="inlineStr">
        <is>
          <t>Win</t>
        </is>
      </c>
      <c r="N481" s="23">
        <f>IF(M481="Win",IF(F481="Bet",(I481-1)*K481,K481),IF(M481="Loss",IF(F481="Bet",-K481,-(I481-1)*K481),IF(M481="Void",0,"")))</f>
        <v/>
      </c>
      <c r="O481" s="24">
        <f>IF(OR(M481="Win",M481="Loss"),IF(F481="Bet",K481,(I481-1)*K481),"")</f>
        <v/>
      </c>
    </row>
    <row r="482">
      <c r="A482" s="37" t="n">
        <v>46296</v>
      </c>
      <c r="B482" s="38" t="inlineStr">
        <is>
          <t>Illawarra Grange</t>
        </is>
      </c>
      <c r="C482" s="15" t="n">
        <v>5</v>
      </c>
      <c r="D482" s="15" t="n">
        <v>6</v>
      </c>
      <c r="E482" s="14" t="inlineStr">
        <is>
          <t>Donatello</t>
        </is>
      </c>
      <c r="F482" s="43" t="inlineStr">
        <is>
          <t>Lay</t>
        </is>
      </c>
      <c r="G482" s="47" t="inlineStr">
        <is>
          <t>Lay</t>
        </is>
      </c>
      <c r="H482" s="41" t="n">
        <v>2.6</v>
      </c>
      <c r="I482" s="41" t="n">
        <v>2.12</v>
      </c>
      <c r="J482" s="16" t="n">
        <v>-0.0837</v>
      </c>
      <c r="K482" s="42" t="n">
        <v>1</v>
      </c>
      <c r="L482" s="15" t="n">
        <v>1</v>
      </c>
      <c r="M482" s="43" t="inlineStr">
        <is>
          <t>Loss</t>
        </is>
      </c>
      <c r="N482" s="17">
        <f>IF(M482="Win",IF(F482="Bet",(I482-1)*K482,K482),IF(M482="Loss",IF(F482="Bet",-K482,-(I482-1)*K482),IF(M482="Void",0,"")))</f>
        <v/>
      </c>
      <c r="O482" s="18">
        <f>IF(OR(M482="Win",M482="Loss"),IF(F482="Bet",K482,(I482-1)*K482),"")</f>
        <v/>
      </c>
    </row>
    <row r="483">
      <c r="A483" s="44" t="n">
        <v>46296</v>
      </c>
      <c r="B483" s="45" t="inlineStr">
        <is>
          <t>Illawarra Grange</t>
        </is>
      </c>
      <c r="C483" s="21" t="n">
        <v>4</v>
      </c>
      <c r="D483" s="21" t="n">
        <v>3</v>
      </c>
      <c r="E483" s="20" t="inlineStr">
        <is>
          <t>Vatican</t>
        </is>
      </c>
      <c r="F483" s="46" t="inlineStr">
        <is>
          <t>Lay</t>
        </is>
      </c>
      <c r="G483" s="47" t="inlineStr">
        <is>
          <t>Lay</t>
        </is>
      </c>
      <c r="H483" s="48" t="n">
        <v>2.95</v>
      </c>
      <c r="I483" s="48" t="n">
        <v>1.65</v>
      </c>
      <c r="J483" s="22" t="n">
        <v>-0.1055</v>
      </c>
      <c r="K483" s="49" t="n">
        <v>1</v>
      </c>
      <c r="L483" s="21" t="n">
        <v>2</v>
      </c>
      <c r="M483" s="50" t="inlineStr">
        <is>
          <t>Win</t>
        </is>
      </c>
      <c r="N483" s="23">
        <f>IF(M483="Win",IF(F483="Bet",(I483-1)*K483,K483),IF(M483="Loss",IF(F483="Bet",-K483,-(I483-1)*K483),IF(M483="Void",0,"")))</f>
        <v/>
      </c>
      <c r="O483" s="24">
        <f>IF(OR(M483="Win",M483="Loss"),IF(F483="Bet",K483,(I483-1)*K483),"")</f>
        <v/>
      </c>
    </row>
    <row r="484">
      <c r="A484" s="37" t="n">
        <v>46296</v>
      </c>
      <c r="B484" s="38" t="inlineStr">
        <is>
          <t>Tamworth</t>
        </is>
      </c>
      <c r="C484" s="15" t="n">
        <v>2</v>
      </c>
      <c r="D484" s="15" t="n">
        <v>7</v>
      </c>
      <c r="E484" s="14" t="inlineStr">
        <is>
          <t>Gay Tarantella</t>
        </is>
      </c>
      <c r="F484" s="43" t="inlineStr">
        <is>
          <t>Lay</t>
        </is>
      </c>
      <c r="G484" s="47" t="inlineStr">
        <is>
          <t>Lay</t>
        </is>
      </c>
      <c r="H484" s="41" t="n">
        <v>6.8</v>
      </c>
      <c r="I484" s="41" t="n">
        <v>2.1</v>
      </c>
      <c r="J484" s="16" t="n">
        <v>-0.0621</v>
      </c>
      <c r="K484" s="42" t="n">
        <v>1</v>
      </c>
      <c r="L484" s="15" t="n">
        <v>1</v>
      </c>
      <c r="M484" s="43" t="inlineStr">
        <is>
          <t>Loss</t>
        </is>
      </c>
      <c r="N484" s="17">
        <f>IF(M484="Win",IF(F484="Bet",(I484-1)*K484,K484),IF(M484="Loss",IF(F484="Bet",-K484,-(I484-1)*K484),IF(M484="Void",0,"")))</f>
        <v/>
      </c>
      <c r="O484" s="18">
        <f>IF(OR(M484="Win",M484="Loss"),IF(F484="Bet",K484,(I484-1)*K484),"")</f>
        <v/>
      </c>
    </row>
    <row r="485">
      <c r="A485" s="44" t="n">
        <v>46296</v>
      </c>
      <c r="B485" s="45" t="inlineStr">
        <is>
          <t>Kalgoorlie</t>
        </is>
      </c>
      <c r="C485" s="21" t="n">
        <v>5</v>
      </c>
      <c r="D485" s="21" t="n">
        <v>10</v>
      </c>
      <c r="E485" s="20" t="inlineStr">
        <is>
          <t>Gav Has Spoken</t>
        </is>
      </c>
      <c r="F485" s="46" t="inlineStr">
        <is>
          <t>Lay</t>
        </is>
      </c>
      <c r="G485" s="47" t="inlineStr">
        <is>
          <t>Lay</t>
        </is>
      </c>
      <c r="H485" s="48" t="n">
        <v>5.9</v>
      </c>
      <c r="I485" s="48" t="n">
        <v>3.55</v>
      </c>
      <c r="J485" s="22" t="n">
        <v>-0.0683</v>
      </c>
      <c r="K485" s="49" t="n">
        <v>1</v>
      </c>
      <c r="L485" s="21" t="n">
        <v>3</v>
      </c>
      <c r="M485" s="50" t="inlineStr">
        <is>
          <t>Win</t>
        </is>
      </c>
      <c r="N485" s="23">
        <f>IF(M485="Win",IF(F485="Bet",(I485-1)*K485,K485),IF(M485="Loss",IF(F485="Bet",-K485,-(I485-1)*K485),IF(M485="Void",0,"")))</f>
        <v/>
      </c>
      <c r="O485" s="24">
        <f>IF(OR(M485="Win",M485="Loss"),IF(F485="Bet",K485,(I485-1)*K485),"")</f>
        <v/>
      </c>
    </row>
    <row r="486">
      <c r="A486" s="37" t="n">
        <v>46296</v>
      </c>
      <c r="B486" s="38" t="inlineStr">
        <is>
          <t>Warrnambool</t>
        </is>
      </c>
      <c r="C486" s="15" t="n">
        <v>7</v>
      </c>
      <c r="D486" s="15" t="n">
        <v>14</v>
      </c>
      <c r="E486" s="14" t="inlineStr">
        <is>
          <t>Just My Lot</t>
        </is>
      </c>
      <c r="F486" s="43" t="inlineStr">
        <is>
          <t>Lay</t>
        </is>
      </c>
      <c r="G486" s="47" t="inlineStr">
        <is>
          <t>Lay</t>
        </is>
      </c>
      <c r="H486" s="41" t="n">
        <v>7.5</v>
      </c>
      <c r="I486" s="41" t="n">
        <v>4.21</v>
      </c>
      <c r="J486" s="16" t="n">
        <v>-0.0672</v>
      </c>
      <c r="K486" s="42" t="n">
        <v>1</v>
      </c>
      <c r="L486" s="15" t="n">
        <v>2</v>
      </c>
      <c r="M486" s="51" t="inlineStr">
        <is>
          <t>Win</t>
        </is>
      </c>
      <c r="N486" s="17">
        <f>IF(M486="Win",IF(F486="Bet",(I486-1)*K486,K486),IF(M486="Loss",IF(F486="Bet",-K486,-(I486-1)*K486),IF(M486="Void",0,"")))</f>
        <v/>
      </c>
      <c r="O486" s="18">
        <f>IF(OR(M486="Win",M486="Loss"),IF(F486="Bet",K486,(I486-1)*K486),"")</f>
        <v/>
      </c>
    </row>
    <row r="487">
      <c r="A487" s="44" t="n">
        <v>46296</v>
      </c>
      <c r="B487" s="45" t="inlineStr">
        <is>
          <t>Warrnambool</t>
        </is>
      </c>
      <c r="C487" s="21" t="n">
        <v>6</v>
      </c>
      <c r="D487" s="21" t="n">
        <v>4</v>
      </c>
      <c r="E487" s="20" t="inlineStr">
        <is>
          <t>Romantic Miss</t>
        </is>
      </c>
      <c r="F487" s="46" t="inlineStr">
        <is>
          <t>Lay</t>
        </is>
      </c>
      <c r="G487" s="47" t="inlineStr">
        <is>
          <t>Lay</t>
        </is>
      </c>
      <c r="H487" s="48" t="n">
        <v>4.5</v>
      </c>
      <c r="I487" s="48" t="n">
        <v>3.1</v>
      </c>
      <c r="J487" s="22" t="n">
        <v>-0.09719999999999999</v>
      </c>
      <c r="K487" s="49" t="n">
        <v>1</v>
      </c>
      <c r="L487" s="21" t="n">
        <v>1</v>
      </c>
      <c r="M487" s="46" t="inlineStr">
        <is>
          <t>Loss</t>
        </is>
      </c>
      <c r="N487" s="23">
        <f>IF(M487="Win",IF(F487="Bet",(I487-1)*K487,K487),IF(M487="Loss",IF(F487="Bet",-K487,-(I487-1)*K487),IF(M487="Void",0,"")))</f>
        <v/>
      </c>
      <c r="O487" s="24">
        <f>IF(OR(M487="Win",M487="Loss"),IF(F487="Bet",K487,(I487-1)*K487),"")</f>
        <v/>
      </c>
    </row>
    <row r="488">
      <c r="A488" s="37" t="n">
        <v>46296</v>
      </c>
      <c r="B488" s="38" t="inlineStr">
        <is>
          <t>Gatton</t>
        </is>
      </c>
      <c r="C488" s="15" t="n">
        <v>5</v>
      </c>
      <c r="D488" s="15" t="n">
        <v>1</v>
      </c>
      <c r="E488" s="14" t="inlineStr">
        <is>
          <t>Mr Hilton</t>
        </is>
      </c>
      <c r="F488" s="43" t="inlineStr">
        <is>
          <t>Lay</t>
        </is>
      </c>
      <c r="G488" s="47" t="inlineStr">
        <is>
          <t>Lay</t>
        </is>
      </c>
      <c r="H488" s="41" t="n">
        <v>2.6</v>
      </c>
      <c r="I488" s="41" t="n">
        <v>1.87</v>
      </c>
      <c r="J488" s="16" t="n">
        <v>-0.0974</v>
      </c>
      <c r="K488" s="42" t="n">
        <v>1</v>
      </c>
      <c r="L488" s="15" t="n">
        <v>3</v>
      </c>
      <c r="M488" s="51" t="inlineStr">
        <is>
          <t>Win</t>
        </is>
      </c>
      <c r="N488" s="17">
        <f>IF(M488="Win",IF(F488="Bet",(I488-1)*K488,K488),IF(M488="Loss",IF(F488="Bet",-K488,-(I488-1)*K488),IF(M488="Void",0,"")))</f>
        <v/>
      </c>
      <c r="O488" s="18">
        <f>IF(OR(M488="Win",M488="Loss"),IF(F488="Bet",K488,(I488-1)*K488),"")</f>
        <v/>
      </c>
    </row>
    <row r="489">
      <c r="A489" s="44" t="n">
        <v>46296</v>
      </c>
      <c r="B489" s="45" t="inlineStr">
        <is>
          <t>Tamworth</t>
        </is>
      </c>
      <c r="C489" s="21" t="n">
        <v>3</v>
      </c>
      <c r="D489" s="21" t="n">
        <v>3</v>
      </c>
      <c r="E489" s="20" t="inlineStr">
        <is>
          <t>Ominous</t>
        </is>
      </c>
      <c r="F489" s="46" t="inlineStr">
        <is>
          <t>Lay</t>
        </is>
      </c>
      <c r="G489" s="47" t="inlineStr">
        <is>
          <t>Lay</t>
        </is>
      </c>
      <c r="H489" s="48" t="n">
        <v>3.7</v>
      </c>
      <c r="I489" s="48" t="n">
        <v>2.34</v>
      </c>
      <c r="J489" s="22" t="n">
        <v>-0.06279999999999999</v>
      </c>
      <c r="K489" s="49" t="n">
        <v>1</v>
      </c>
      <c r="L489" s="21" t="n">
        <v>2</v>
      </c>
      <c r="M489" s="50" t="inlineStr">
        <is>
          <t>Win</t>
        </is>
      </c>
      <c r="N489" s="23">
        <f>IF(M489="Win",IF(F489="Bet",(I489-1)*K489,K489),IF(M489="Loss",IF(F489="Bet",-K489,-(I489-1)*K489),IF(M489="Void",0,"")))</f>
        <v/>
      </c>
      <c r="O489" s="24">
        <f>IF(OR(M489="Win",M489="Loss"),IF(F489="Bet",K489,(I489-1)*K489),"")</f>
        <v/>
      </c>
    </row>
    <row r="490">
      <c r="A490" s="37" t="n">
        <v>46296</v>
      </c>
      <c r="B490" s="38" t="inlineStr">
        <is>
          <t>Kalgoorlie</t>
        </is>
      </c>
      <c r="C490" s="15" t="n">
        <v>4</v>
      </c>
      <c r="D490" s="15" t="n">
        <v>2</v>
      </c>
      <c r="E490" s="14" t="inlineStr">
        <is>
          <t>Blood Brother</t>
        </is>
      </c>
      <c r="F490" s="43" t="inlineStr">
        <is>
          <t>Lay</t>
        </is>
      </c>
      <c r="G490" s="47" t="inlineStr">
        <is>
          <t>Lay</t>
        </is>
      </c>
      <c r="H490" s="41" t="n">
        <v>5.6</v>
      </c>
      <c r="I490" s="41" t="n">
        <v>3.27</v>
      </c>
      <c r="J490" s="16" t="n">
        <v>-0.0604</v>
      </c>
      <c r="K490" s="42" t="n">
        <v>1</v>
      </c>
      <c r="L490" s="15" t="n">
        <v>2</v>
      </c>
      <c r="M490" s="51" t="inlineStr">
        <is>
          <t>Win</t>
        </is>
      </c>
      <c r="N490" s="17">
        <f>IF(M490="Win",IF(F490="Bet",(I490-1)*K490,K490),IF(M490="Loss",IF(F490="Bet",-K490,-(I490-1)*K490),IF(M490="Void",0,"")))</f>
        <v/>
      </c>
      <c r="O490" s="18">
        <f>IF(OR(M490="Win",M490="Loss"),IF(F490="Bet",K490,(I490-1)*K490),"")</f>
        <v/>
      </c>
    </row>
    <row r="491">
      <c r="A491" s="44" t="n">
        <v>46296</v>
      </c>
      <c r="B491" s="45" t="inlineStr">
        <is>
          <t>Illawarra Grange</t>
        </is>
      </c>
      <c r="C491" s="21" t="n">
        <v>2</v>
      </c>
      <c r="D491" s="21" t="n">
        <v>6</v>
      </c>
      <c r="E491" s="20" t="inlineStr">
        <is>
          <t>Unhinged</t>
        </is>
      </c>
      <c r="F491" s="46" t="inlineStr">
        <is>
          <t>Lay</t>
        </is>
      </c>
      <c r="G491" s="47" t="inlineStr">
        <is>
          <t>Lay</t>
        </is>
      </c>
      <c r="H491" s="48" t="n">
        <v>2.7</v>
      </c>
      <c r="I491" s="48" t="n">
        <v>1.95</v>
      </c>
      <c r="J491" s="22" t="n">
        <v>-0.0625</v>
      </c>
      <c r="K491" s="49" t="n">
        <v>1</v>
      </c>
      <c r="L491" s="21" t="n">
        <v>1</v>
      </c>
      <c r="M491" s="46" t="inlineStr">
        <is>
          <t>Loss</t>
        </is>
      </c>
      <c r="N491" s="23">
        <f>IF(M491="Win",IF(F491="Bet",(I491-1)*K491,K491),IF(M491="Loss",IF(F491="Bet",-K491,-(I491-1)*K491),IF(M491="Void",0,"")))</f>
        <v/>
      </c>
      <c r="O491" s="24">
        <f>IF(OR(M491="Win",M491="Loss"),IF(F491="Bet",K491,(I491-1)*K491),"")</f>
        <v/>
      </c>
    </row>
    <row r="492">
      <c r="A492" s="37" t="n">
        <v>46296</v>
      </c>
      <c r="B492" s="38" t="inlineStr">
        <is>
          <t>Illawarra Grange</t>
        </is>
      </c>
      <c r="C492" s="15" t="n">
        <v>6</v>
      </c>
      <c r="D492" s="15" t="n">
        <v>2</v>
      </c>
      <c r="E492" s="14" t="inlineStr">
        <is>
          <t>Sonic Bender</t>
        </is>
      </c>
      <c r="F492" s="43" t="inlineStr">
        <is>
          <t>Lay</t>
        </is>
      </c>
      <c r="G492" s="47" t="inlineStr">
        <is>
          <t>Lay</t>
        </is>
      </c>
      <c r="H492" s="41" t="n">
        <v>4.4</v>
      </c>
      <c r="I492" s="41" t="n">
        <v>2.92</v>
      </c>
      <c r="J492" s="16" t="n">
        <v>-0.06569999999999999</v>
      </c>
      <c r="K492" s="42" t="n">
        <v>1</v>
      </c>
      <c r="L492" s="15" t="n">
        <v>4</v>
      </c>
      <c r="M492" s="51" t="inlineStr">
        <is>
          <t>Win</t>
        </is>
      </c>
      <c r="N492" s="17">
        <f>IF(M492="Win",IF(F492="Bet",(I492-1)*K492,K492),IF(M492="Loss",IF(F492="Bet",-K492,-(I492-1)*K492),IF(M492="Void",0,"")))</f>
        <v/>
      </c>
      <c r="O492" s="18">
        <f>IF(OR(M492="Win",M492="Loss"),IF(F492="Bet",K492,(I492-1)*K492),"")</f>
        <v/>
      </c>
    </row>
    <row r="493">
      <c r="A493" s="44" t="n">
        <v>46296</v>
      </c>
      <c r="B493" s="45" t="inlineStr">
        <is>
          <t>Illawarra Grange</t>
        </is>
      </c>
      <c r="C493" s="21" t="n">
        <v>1</v>
      </c>
      <c r="D493" s="21" t="n">
        <v>2</v>
      </c>
      <c r="E493" s="20" t="inlineStr">
        <is>
          <t>Creator Of World</t>
        </is>
      </c>
      <c r="F493" s="46" t="inlineStr">
        <is>
          <t>Lay</t>
        </is>
      </c>
      <c r="G493" s="47" t="inlineStr">
        <is>
          <t>Lay</t>
        </is>
      </c>
      <c r="H493" s="48" t="n">
        <v>4.4</v>
      </c>
      <c r="I493" s="48" t="n">
        <v>3.45</v>
      </c>
      <c r="J493" s="22" t="n">
        <v>-0.0645</v>
      </c>
      <c r="K493" s="49" t="n">
        <v>1</v>
      </c>
      <c r="L493" s="21" t="n">
        <v>1</v>
      </c>
      <c r="M493" s="46" t="inlineStr">
        <is>
          <t>Loss</t>
        </is>
      </c>
      <c r="N493" s="23">
        <f>IF(M493="Win",IF(F493="Bet",(I493-1)*K493,K493),IF(M493="Loss",IF(F493="Bet",-K493,-(I493-1)*K493),IF(M493="Void",0,"")))</f>
        <v/>
      </c>
      <c r="O493" s="24">
        <f>IF(OR(M493="Win",M493="Loss"),IF(F493="Bet",K493,(I493-1)*K493),"")</f>
        <v/>
      </c>
    </row>
    <row r="494">
      <c r="A494" s="37" t="n">
        <v>46296</v>
      </c>
      <c r="B494" s="38" t="inlineStr">
        <is>
          <t>Gatton</t>
        </is>
      </c>
      <c r="C494" s="15" t="n">
        <v>3</v>
      </c>
      <c r="D494" s="15" t="n">
        <v>2</v>
      </c>
      <c r="E494" s="14" t="inlineStr">
        <is>
          <t>Tara's Reward</t>
        </is>
      </c>
      <c r="F494" s="43" t="inlineStr">
        <is>
          <t>Lay</t>
        </is>
      </c>
      <c r="G494" s="47" t="inlineStr">
        <is>
          <t>Lay</t>
        </is>
      </c>
      <c r="H494" s="41" t="n">
        <v>2.75</v>
      </c>
      <c r="I494" s="41" t="n">
        <v>1.94</v>
      </c>
      <c r="J494" s="16" t="n">
        <v>-0.0633</v>
      </c>
      <c r="K494" s="42" t="n">
        <v>1</v>
      </c>
      <c r="L494" s="15" t="n">
        <v>1</v>
      </c>
      <c r="M494" s="43" t="inlineStr">
        <is>
          <t>Loss</t>
        </is>
      </c>
      <c r="N494" s="17">
        <f>IF(M494="Win",IF(F494="Bet",(I494-1)*K494,K494),IF(M494="Loss",IF(F494="Bet",-K494,-(I494-1)*K494),IF(M494="Void",0,"")))</f>
        <v/>
      </c>
      <c r="O494" s="18">
        <f>IF(OR(M494="Win",M494="Loss"),IF(F494="Bet",K494,(I494-1)*K494),"")</f>
        <v/>
      </c>
    </row>
    <row r="495">
      <c r="A495" s="44" t="n">
        <v>46296</v>
      </c>
      <c r="B495" s="45" t="inlineStr">
        <is>
          <t>Gatton</t>
        </is>
      </c>
      <c r="C495" s="21" t="n">
        <v>4</v>
      </c>
      <c r="D495" s="21" t="n">
        <v>7</v>
      </c>
      <c r="E495" s="20" t="inlineStr">
        <is>
          <t>Lord Protector</t>
        </is>
      </c>
      <c r="F495" s="46" t="inlineStr">
        <is>
          <t>Lay</t>
        </is>
      </c>
      <c r="G495" s="47" t="inlineStr">
        <is>
          <t>Lay</t>
        </is>
      </c>
      <c r="H495" s="48" t="n">
        <v>4.4</v>
      </c>
      <c r="I495" s="48" t="n">
        <v>2.68</v>
      </c>
      <c r="J495" s="22" t="n">
        <v>-0.0926</v>
      </c>
      <c r="K495" s="49" t="n">
        <v>1</v>
      </c>
      <c r="L495" s="21" t="n">
        <v>5</v>
      </c>
      <c r="M495" s="50" t="inlineStr">
        <is>
          <t>Win</t>
        </is>
      </c>
      <c r="N495" s="23">
        <f>IF(M495="Win",IF(F495="Bet",(I495-1)*K495,K495),IF(M495="Loss",IF(F495="Bet",-K495,-(I495-1)*K495),IF(M495="Void",0,"")))</f>
        <v/>
      </c>
      <c r="O495" s="24">
        <f>IF(OR(M495="Win",M495="Loss"),IF(F495="Bet",K495,(I495-1)*K495),"")</f>
        <v/>
      </c>
    </row>
    <row r="496">
      <c r="A496" s="37" t="n">
        <v>46296</v>
      </c>
      <c r="B496" s="38" t="inlineStr">
        <is>
          <t>Kalgoorlie</t>
        </is>
      </c>
      <c r="C496" s="15" t="n">
        <v>1</v>
      </c>
      <c r="D496" s="15" t="n">
        <v>10</v>
      </c>
      <c r="E496" s="14" t="inlineStr">
        <is>
          <t>Filling With Water</t>
        </is>
      </c>
      <c r="F496" s="43" t="inlineStr">
        <is>
          <t>Lay</t>
        </is>
      </c>
      <c r="G496" s="47" t="inlineStr">
        <is>
          <t>Lay</t>
        </is>
      </c>
      <c r="H496" s="41" t="n">
        <v>11.2</v>
      </c>
      <c r="I496" s="41" t="n">
        <v>6.4</v>
      </c>
      <c r="J496" s="16" t="n">
        <v>-0.0623</v>
      </c>
      <c r="K496" s="42" t="n">
        <v>1</v>
      </c>
      <c r="L496" s="15" t="n">
        <v>8</v>
      </c>
      <c r="M496" s="51" t="inlineStr">
        <is>
          <t>Win</t>
        </is>
      </c>
      <c r="N496" s="17">
        <f>IF(M496="Win",IF(F496="Bet",(I496-1)*K496,K496),IF(M496="Loss",IF(F496="Bet",-K496,-(I496-1)*K496),IF(M496="Void",0,"")))</f>
        <v/>
      </c>
      <c r="O496" s="18">
        <f>IF(OR(M496="Win",M496="Loss"),IF(F496="Bet",K496,(I496-1)*K496),"")</f>
        <v/>
      </c>
    </row>
    <row r="497">
      <c r="A497" s="44" t="n">
        <v>46296</v>
      </c>
      <c r="B497" s="45" t="inlineStr">
        <is>
          <t>Tamworth</t>
        </is>
      </c>
      <c r="C497" s="21" t="n">
        <v>4</v>
      </c>
      <c r="D497" s="21" t="n">
        <v>3</v>
      </c>
      <c r="E497" s="20" t="inlineStr">
        <is>
          <t>Pensativa</t>
        </is>
      </c>
      <c r="F497" s="46" t="inlineStr">
        <is>
          <t>Lay</t>
        </is>
      </c>
      <c r="G497" s="47" t="inlineStr">
        <is>
          <t>Lay</t>
        </is>
      </c>
      <c r="H497" s="48" t="n">
        <v>2.3</v>
      </c>
      <c r="I497" s="48" t="n">
        <v>1.88</v>
      </c>
      <c r="J497" s="22" t="n">
        <v>-0.0842</v>
      </c>
      <c r="K497" s="49" t="n">
        <v>1</v>
      </c>
      <c r="L497" s="21" t="n">
        <v>2</v>
      </c>
      <c r="M497" s="50" t="inlineStr">
        <is>
          <t>Win</t>
        </is>
      </c>
      <c r="N497" s="23">
        <f>IF(M497="Win",IF(F497="Bet",(I497-1)*K497,K497),IF(M497="Loss",IF(F497="Bet",-K497,-(I497-1)*K497),IF(M497="Void",0,"")))</f>
        <v/>
      </c>
      <c r="O497" s="24">
        <f>IF(OR(M497="Win",M497="Loss"),IF(F497="Bet",K497,(I497-1)*K497),"")</f>
        <v/>
      </c>
    </row>
    <row r="498">
      <c r="A498" s="37" t="n">
        <v>46296</v>
      </c>
      <c r="B498" s="38" t="inlineStr">
        <is>
          <t>Kalgoorlie</t>
        </is>
      </c>
      <c r="C498" s="15" t="n">
        <v>2</v>
      </c>
      <c r="D498" s="15" t="n">
        <v>8</v>
      </c>
      <c r="E498" s="14" t="inlineStr">
        <is>
          <t>Run Rupert Run</t>
        </is>
      </c>
      <c r="F498" s="43" t="inlineStr">
        <is>
          <t>Lay</t>
        </is>
      </c>
      <c r="G498" s="47" t="inlineStr">
        <is>
          <t>Lay</t>
        </is>
      </c>
      <c r="H498" s="41" t="n">
        <v>4.3</v>
      </c>
      <c r="I498" s="41" t="n">
        <v>2.94</v>
      </c>
      <c r="J498" s="16" t="n">
        <v>-0.0765</v>
      </c>
      <c r="K498" s="42" t="n">
        <v>1</v>
      </c>
      <c r="L498" s="15" t="n">
        <v>2</v>
      </c>
      <c r="M498" s="51" t="inlineStr">
        <is>
          <t>Win</t>
        </is>
      </c>
      <c r="N498" s="17">
        <f>IF(M498="Win",IF(F498="Bet",(I498-1)*K498,K498),IF(M498="Loss",IF(F498="Bet",-K498,-(I498-1)*K498),IF(M498="Void",0,"")))</f>
        <v/>
      </c>
      <c r="O498" s="18">
        <f>IF(OR(M498="Win",M498="Loss"),IF(F498="Bet",K498,(I498-1)*K498),"")</f>
        <v/>
      </c>
    </row>
    <row r="499">
      <c r="A499" s="44" t="n">
        <v>46296</v>
      </c>
      <c r="B499" s="45" t="inlineStr">
        <is>
          <t>Illawarra Grange</t>
        </is>
      </c>
      <c r="C499" s="21" t="n">
        <v>7</v>
      </c>
      <c r="D499" s="21" t="n">
        <v>2</v>
      </c>
      <c r="E499" s="20" t="inlineStr">
        <is>
          <t>Maidoff</t>
        </is>
      </c>
      <c r="F499" s="46" t="inlineStr">
        <is>
          <t>Lay</t>
        </is>
      </c>
      <c r="G499" s="47" t="inlineStr">
        <is>
          <t>Lay</t>
        </is>
      </c>
      <c r="H499" s="48" t="n">
        <v>2.8</v>
      </c>
      <c r="I499" s="48" t="n">
        <v>2</v>
      </c>
      <c r="J499" s="22" t="n">
        <v>-0.0769</v>
      </c>
      <c r="K499" s="49" t="n">
        <v>1</v>
      </c>
      <c r="L499" s="21" t="n">
        <v>1</v>
      </c>
      <c r="M499" s="46" t="inlineStr">
        <is>
          <t>Loss</t>
        </is>
      </c>
      <c r="N499" s="23">
        <f>IF(M499="Win",IF(F499="Bet",(I499-1)*K499,K499),IF(M499="Loss",IF(F499="Bet",-K499,-(I499-1)*K499),IF(M499="Void",0,"")))</f>
        <v/>
      </c>
      <c r="O499" s="24">
        <f>IF(OR(M499="Win",M499="Loss"),IF(F499="Bet",K499,(I499-1)*K499),"")</f>
        <v/>
      </c>
    </row>
    <row r="500">
      <c r="A500" s="37" t="n">
        <v>46296</v>
      </c>
      <c r="B500" s="38" t="inlineStr">
        <is>
          <t>Gatton</t>
        </is>
      </c>
      <c r="C500" s="15" t="n">
        <v>6</v>
      </c>
      <c r="D500" s="15" t="n">
        <v>2</v>
      </c>
      <c r="E500" s="14" t="inlineStr">
        <is>
          <t>Qickwit</t>
        </is>
      </c>
      <c r="F500" s="43" t="inlineStr">
        <is>
          <t>Lay</t>
        </is>
      </c>
      <c r="G500" s="47" t="inlineStr">
        <is>
          <t>Lay</t>
        </is>
      </c>
      <c r="H500" s="41" t="n">
        <v>4.1</v>
      </c>
      <c r="I500" s="41" t="n">
        <v>2.74</v>
      </c>
      <c r="J500" s="16" t="n">
        <v>-0.0653</v>
      </c>
      <c r="K500" s="42" t="n">
        <v>1</v>
      </c>
      <c r="L500" s="15" t="n">
        <v>2</v>
      </c>
      <c r="M500" s="51" t="inlineStr">
        <is>
          <t>Win</t>
        </is>
      </c>
      <c r="N500" s="17">
        <f>IF(M500="Win",IF(F500="Bet",(I500-1)*K500,K500),IF(M500="Loss",IF(F500="Bet",-K500,-(I500-1)*K500),IF(M500="Void",0,"")))</f>
        <v/>
      </c>
      <c r="O500" s="18">
        <f>IF(OR(M500="Win",M500="Loss"),IF(F500="Bet",K500,(I500-1)*K500),"")</f>
        <v/>
      </c>
    </row>
    <row r="501">
      <c r="A501" s="44" t="n">
        <v>46297</v>
      </c>
      <c r="B501" s="45" t="inlineStr">
        <is>
          <t>Sunshine Coast</t>
        </is>
      </c>
      <c r="C501" s="21" t="n">
        <v>2</v>
      </c>
      <c r="D501" s="21" t="n">
        <v>1</v>
      </c>
      <c r="E501" s="20" t="inlineStr">
        <is>
          <t>Taravia</t>
        </is>
      </c>
      <c r="F501" s="46" t="inlineStr">
        <is>
          <t>Lay</t>
        </is>
      </c>
      <c r="G501" s="47" t="inlineStr">
        <is>
          <t>Lay</t>
        </is>
      </c>
      <c r="H501" s="48" t="n">
        <v>2.25</v>
      </c>
      <c r="I501" s="48" t="n">
        <v>1.74</v>
      </c>
      <c r="J501" s="22" t="n">
        <v>-0.0696</v>
      </c>
      <c r="K501" s="49" t="n">
        <v>1</v>
      </c>
      <c r="L501" s="21" t="n"/>
      <c r="M501" s="55" t="inlineStr">
        <is>
          <t>Void</t>
        </is>
      </c>
      <c r="N501" s="23">
        <f>IF(M501="Win",IF(F501="Bet",(I501-1)*K501,K501),IF(M501="Loss",IF(F501="Bet",-K501,-(I501-1)*K501),IF(M501="Void",0,"")))</f>
        <v/>
      </c>
      <c r="O501" s="24">
        <f>IF(OR(M501="Win",M501="Loss"),IF(F501="Bet",K501,(I501-1)*K501),"")</f>
        <v/>
      </c>
    </row>
    <row r="502">
      <c r="A502" s="37" t="n">
        <v>46297</v>
      </c>
      <c r="B502" s="38" t="inlineStr">
        <is>
          <t>Dubbo</t>
        </is>
      </c>
      <c r="C502" s="15" t="n">
        <v>3</v>
      </c>
      <c r="D502" s="15" t="n">
        <v>6</v>
      </c>
      <c r="E502" s="14" t="inlineStr">
        <is>
          <t>Nimble Star</t>
        </is>
      </c>
      <c r="F502" s="43" t="inlineStr">
        <is>
          <t>Lay</t>
        </is>
      </c>
      <c r="G502" s="47" t="inlineStr">
        <is>
          <t>Lay</t>
        </is>
      </c>
      <c r="H502" s="41" t="n">
        <v>2.1</v>
      </c>
      <c r="I502" s="41" t="n">
        <v>1.8</v>
      </c>
      <c r="J502" s="16" t="n">
        <v>-0.0757</v>
      </c>
      <c r="K502" s="42" t="n">
        <v>1</v>
      </c>
      <c r="L502" s="15" t="n"/>
      <c r="M502" s="54" t="inlineStr">
        <is>
          <t>Pending</t>
        </is>
      </c>
      <c r="N502" s="17">
        <f>IF(M502="Win",IF(F502="Bet",(I502-1)*K502,K502),IF(M502="Loss",IF(F502="Bet",-K502,-(I502-1)*K502),IF(M502="Void",0,"")))</f>
        <v/>
      </c>
      <c r="O502" s="18">
        <f>IF(OR(M502="Win",M502="Loss"),IF(F502="Bet",K502,(I502-1)*K502),"")</f>
        <v/>
      </c>
    </row>
    <row r="503">
      <c r="A503" s="44" t="n">
        <v>46297</v>
      </c>
      <c r="B503" s="45" t="inlineStr">
        <is>
          <t>Moruya</t>
        </is>
      </c>
      <c r="C503" s="21" t="n">
        <v>2</v>
      </c>
      <c r="D503" s="21" t="n">
        <v>5</v>
      </c>
      <c r="E503" s="20" t="inlineStr">
        <is>
          <t>Star Of Lily</t>
        </is>
      </c>
      <c r="F503" s="46" t="inlineStr">
        <is>
          <t>Lay</t>
        </is>
      </c>
      <c r="G503" s="47" t="inlineStr">
        <is>
          <t>Lay</t>
        </is>
      </c>
      <c r="H503" s="48" t="n">
        <v>2.4</v>
      </c>
      <c r="I503" s="48" t="n">
        <v>1.8</v>
      </c>
      <c r="J503" s="22" t="n">
        <v>-0.063</v>
      </c>
      <c r="K503" s="49" t="n">
        <v>1</v>
      </c>
      <c r="L503" s="21" t="n"/>
      <c r="M503" s="55" t="inlineStr">
        <is>
          <t>Pending</t>
        </is>
      </c>
      <c r="N503" s="23">
        <f>IF(M503="Win",IF(F503="Bet",(I503-1)*K503,K503),IF(M503="Loss",IF(F503="Bet",-K503,-(I503-1)*K503),IF(M503="Void",0,"")))</f>
        <v/>
      </c>
      <c r="O503" s="24">
        <f>IF(OR(M503="Win",M503="Loss"),IF(F503="Bet",K503,(I503-1)*K503),"")</f>
        <v/>
      </c>
    </row>
    <row r="504">
      <c r="A504" s="37" t="n">
        <v>46297</v>
      </c>
      <c r="B504" s="38" t="inlineStr">
        <is>
          <t>Launceston</t>
        </is>
      </c>
      <c r="C504" s="15" t="n">
        <v>8</v>
      </c>
      <c r="D504" s="15" t="n">
        <v>2</v>
      </c>
      <c r="E504" s="14" t="inlineStr">
        <is>
          <t>Eaglefurther</t>
        </is>
      </c>
      <c r="F504" s="43" t="inlineStr">
        <is>
          <t>Lay</t>
        </is>
      </c>
      <c r="G504" s="47" t="inlineStr">
        <is>
          <t>Lay</t>
        </is>
      </c>
      <c r="H504" s="41" t="n">
        <v>4.5</v>
      </c>
      <c r="I504" s="41" t="n">
        <v>3.5</v>
      </c>
      <c r="J504" s="16" t="n">
        <v>-0.0625</v>
      </c>
      <c r="K504" s="42" t="n">
        <v>1</v>
      </c>
      <c r="L504" s="15" t="n"/>
      <c r="M504" s="54" t="inlineStr">
        <is>
          <t>Pending</t>
        </is>
      </c>
      <c r="N504" s="17">
        <f>IF(M504="Win",IF(F504="Bet",(I504-1)*K504,K504),IF(M504="Loss",IF(F504="Bet",-K504,-(I504-1)*K504),IF(M504="Void",0,"")))</f>
        <v/>
      </c>
      <c r="O504" s="18">
        <f>IF(OR(M504="Win",M504="Loss"),IF(F504="Bet",K504,(I504-1)*K504),"")</f>
        <v/>
      </c>
    </row>
    <row r="505">
      <c r="A505" s="44" t="n">
        <v>46297</v>
      </c>
      <c r="B505" s="45" t="inlineStr">
        <is>
          <t>Launceston</t>
        </is>
      </c>
      <c r="C505" s="21" t="n">
        <v>7</v>
      </c>
      <c r="D505" s="21" t="n">
        <v>1</v>
      </c>
      <c r="E505" s="20" t="inlineStr">
        <is>
          <t>Bailed</t>
        </is>
      </c>
      <c r="F505" s="46" t="inlineStr">
        <is>
          <t>Lay</t>
        </is>
      </c>
      <c r="G505" s="47" t="inlineStr">
        <is>
          <t>Lay</t>
        </is>
      </c>
      <c r="H505" s="48" t="n">
        <v>3.4</v>
      </c>
      <c r="I505" s="48" t="n">
        <v>2.5</v>
      </c>
      <c r="J505" s="22" t="n">
        <v>-0.06270000000000001</v>
      </c>
      <c r="K505" s="49" t="n">
        <v>1</v>
      </c>
      <c r="L505" s="21" t="n"/>
      <c r="M505" s="55" t="inlineStr">
        <is>
          <t>Pending</t>
        </is>
      </c>
      <c r="N505" s="23">
        <f>IF(M505="Win",IF(F505="Bet",(I505-1)*K505,K505),IF(M505="Loss",IF(F505="Bet",-K505,-(I505-1)*K505),IF(M505="Void",0,"")))</f>
        <v/>
      </c>
      <c r="O505" s="24">
        <f>IF(OR(M505="Win",M505="Loss"),IF(F505="Bet",K505,(I505-1)*K505),"")</f>
        <v/>
      </c>
    </row>
    <row r="506">
      <c r="A506" s="37" t="n">
        <v>46297</v>
      </c>
      <c r="B506" s="38" t="inlineStr">
        <is>
          <t>Sunshine Coast</t>
        </is>
      </c>
      <c r="C506" s="15" t="n">
        <v>5</v>
      </c>
      <c r="D506" s="15" t="n">
        <v>8</v>
      </c>
      <c r="E506" s="14" t="inlineStr">
        <is>
          <t>Gambler</t>
        </is>
      </c>
      <c r="F506" s="43" t="inlineStr">
        <is>
          <t>Lay</t>
        </is>
      </c>
      <c r="G506" s="47" t="inlineStr">
        <is>
          <t>Lay</t>
        </is>
      </c>
      <c r="H506" s="41" t="n">
        <v>3.1</v>
      </c>
      <c r="I506" s="41" t="n">
        <v>2.34</v>
      </c>
      <c r="J506" s="16" t="n">
        <v>-0.0843</v>
      </c>
      <c r="K506" s="42" t="n">
        <v>1</v>
      </c>
      <c r="L506" s="15" t="n"/>
      <c r="M506" s="54" t="inlineStr">
        <is>
          <t>Pending</t>
        </is>
      </c>
      <c r="N506" s="17">
        <f>IF(M506="Win",IF(F506="Bet",(I506-1)*K506,K506),IF(M506="Loss",IF(F506="Bet",-K506,-(I506-1)*K506),IF(M506="Void",0,"")))</f>
        <v/>
      </c>
      <c r="O506" s="18">
        <f>IF(OR(M506="Win",M506="Loss"),IF(F506="Bet",K506,(I506-1)*K506),"")</f>
        <v/>
      </c>
    </row>
    <row r="507">
      <c r="A507" s="44" t="n">
        <v>46297</v>
      </c>
      <c r="B507" s="45" t="inlineStr">
        <is>
          <t>Sunshine Coast</t>
        </is>
      </c>
      <c r="C507" s="21" t="n">
        <v>1</v>
      </c>
      <c r="D507" s="21" t="n">
        <v>2</v>
      </c>
      <c r="E507" s="20" t="inlineStr">
        <is>
          <t>Indamouse</t>
        </is>
      </c>
      <c r="F507" s="46" t="inlineStr">
        <is>
          <t>Lay</t>
        </is>
      </c>
      <c r="G507" s="47" t="inlineStr">
        <is>
          <t>Lay</t>
        </is>
      </c>
      <c r="H507" s="48" t="n">
        <v>2.4</v>
      </c>
      <c r="I507" s="48" t="n">
        <v>1.95</v>
      </c>
      <c r="J507" s="22" t="n">
        <v>-0.0697</v>
      </c>
      <c r="K507" s="49" t="n">
        <v>1</v>
      </c>
      <c r="L507" s="21" t="n"/>
      <c r="M507" s="55" t="inlineStr">
        <is>
          <t>Pending</t>
        </is>
      </c>
      <c r="N507" s="23">
        <f>IF(M507="Win",IF(F507="Bet",(I507-1)*K507,K507),IF(M507="Loss",IF(F507="Bet",-K507,-(I507-1)*K507),IF(M507="Void",0,"")))</f>
        <v/>
      </c>
      <c r="O507" s="24">
        <f>IF(OR(M507="Win",M507="Loss"),IF(F507="Bet",K507,(I507-1)*K507),"")</f>
        <v/>
      </c>
    </row>
    <row r="508">
      <c r="A508" s="37" t="n">
        <v>46297</v>
      </c>
      <c r="B508" s="38" t="inlineStr">
        <is>
          <t>Dubbo</t>
        </is>
      </c>
      <c r="C508" s="15" t="n">
        <v>1</v>
      </c>
      <c r="D508" s="15" t="n">
        <v>3</v>
      </c>
      <c r="E508" s="14" t="inlineStr">
        <is>
          <t>Panelli</t>
        </is>
      </c>
      <c r="F508" s="43" t="inlineStr">
        <is>
          <t>Lay</t>
        </is>
      </c>
      <c r="G508" s="47" t="inlineStr">
        <is>
          <t>Lay</t>
        </is>
      </c>
      <c r="H508" s="41" t="n">
        <v>4</v>
      </c>
      <c r="I508" s="41" t="n">
        <v>3</v>
      </c>
      <c r="J508" s="16" t="n">
        <v>-0.0605</v>
      </c>
      <c r="K508" s="42" t="n">
        <v>1</v>
      </c>
      <c r="L508" s="15" t="n"/>
      <c r="M508" s="54" t="inlineStr">
        <is>
          <t>Pending</t>
        </is>
      </c>
      <c r="N508" s="17">
        <f>IF(M508="Win",IF(F508="Bet",(I508-1)*K508,K508),IF(M508="Loss",IF(F508="Bet",-K508,-(I508-1)*K508),IF(M508="Void",0,"")))</f>
        <v/>
      </c>
      <c r="O508" s="18">
        <f>IF(OR(M508="Win",M508="Loss"),IF(F508="Bet",K508,(I508-1)*K508),"")</f>
        <v/>
      </c>
    </row>
    <row r="509">
      <c r="A509" s="44" t="n">
        <v>46297</v>
      </c>
      <c r="B509" s="45" t="inlineStr">
        <is>
          <t>Moruya</t>
        </is>
      </c>
      <c r="C509" s="21" t="n">
        <v>6</v>
      </c>
      <c r="D509" s="21" t="n">
        <v>11</v>
      </c>
      <c r="E509" s="20" t="inlineStr">
        <is>
          <t>Let's Go Again</t>
        </is>
      </c>
      <c r="F509" s="46" t="inlineStr">
        <is>
          <t>Lay</t>
        </is>
      </c>
      <c r="G509" s="47" t="inlineStr">
        <is>
          <t>Lay</t>
        </is>
      </c>
      <c r="H509" s="48" t="n">
        <v>4.9</v>
      </c>
      <c r="I509" s="48" t="n">
        <v>3.2</v>
      </c>
      <c r="J509" s="22" t="n">
        <v>-0.1099</v>
      </c>
      <c r="K509" s="49" t="n">
        <v>1</v>
      </c>
      <c r="L509" s="21" t="n"/>
      <c r="M509" s="55" t="inlineStr">
        <is>
          <t>Pending</t>
        </is>
      </c>
      <c r="N509" s="23">
        <f>IF(M509="Win",IF(F509="Bet",(I509-1)*K509,K509),IF(M509="Loss",IF(F509="Bet",-K509,-(I509-1)*K509),IF(M509="Void",0,"")))</f>
        <v/>
      </c>
      <c r="O509" s="24">
        <f>IF(OR(M509="Win",M509="Loss"),IF(F509="Bet",K509,(I509-1)*K509),"")</f>
        <v/>
      </c>
    </row>
    <row r="510">
      <c r="A510" s="37" t="n">
        <v>46297</v>
      </c>
      <c r="B510" s="38" t="inlineStr">
        <is>
          <t>Launceston</t>
        </is>
      </c>
      <c r="C510" s="15" t="n">
        <v>6</v>
      </c>
      <c r="D510" s="15" t="n">
        <v>3</v>
      </c>
      <c r="E510" s="14" t="inlineStr">
        <is>
          <t>Prince Of Khatun</t>
        </is>
      </c>
      <c r="F510" s="43" t="inlineStr">
        <is>
          <t>Lay</t>
        </is>
      </c>
      <c r="G510" s="47" t="inlineStr">
        <is>
          <t>Lay</t>
        </is>
      </c>
      <c r="H510" s="41" t="n">
        <v>3</v>
      </c>
      <c r="I510" s="41" t="n">
        <v>2.36</v>
      </c>
      <c r="J510" s="16" t="n">
        <v>-0.08740000000000001</v>
      </c>
      <c r="K510" s="42" t="n">
        <v>1</v>
      </c>
      <c r="L510" s="15" t="n"/>
      <c r="M510" s="54" t="inlineStr">
        <is>
          <t>Pending</t>
        </is>
      </c>
      <c r="N510" s="17">
        <f>IF(M510="Win",IF(F510="Bet",(I510-1)*K510,K510),IF(M510="Loss",IF(F510="Bet",-K510,-(I510-1)*K510),IF(M510="Void",0,"")))</f>
        <v/>
      </c>
      <c r="O510" s="18">
        <f>IF(OR(M510="Win",M510="Loss"),IF(F510="Bet",K510,(I510-1)*K510),"")</f>
        <v/>
      </c>
    </row>
    <row r="511">
      <c r="A511" s="44" t="n">
        <v>46297</v>
      </c>
      <c r="B511" s="45" t="inlineStr">
        <is>
          <t>Cranbourne</t>
        </is>
      </c>
      <c r="C511" s="21" t="n">
        <v>2</v>
      </c>
      <c r="D511" s="21" t="n">
        <v>4</v>
      </c>
      <c r="E511" s="20" t="inlineStr">
        <is>
          <t>Valaroso</t>
        </is>
      </c>
      <c r="F511" s="46" t="inlineStr">
        <is>
          <t>Lay</t>
        </is>
      </c>
      <c r="G511" s="47" t="inlineStr">
        <is>
          <t>Lay</t>
        </is>
      </c>
      <c r="H511" s="48" t="n">
        <v>3.7</v>
      </c>
      <c r="I511" s="48" t="n">
        <v>2.96</v>
      </c>
      <c r="J511" s="22" t="n">
        <v>-0.0668</v>
      </c>
      <c r="K511" s="49" t="n">
        <v>1</v>
      </c>
      <c r="L511" s="21" t="n"/>
      <c r="M511" s="55" t="inlineStr">
        <is>
          <t>Void</t>
        </is>
      </c>
      <c r="N511" s="23">
        <f>IF(M511="Win",IF(F511="Bet",(I511-1)*K511,K511),IF(M511="Loss",IF(F511="Bet",-K511,-(I511-1)*K511),IF(M511="Void",0,"")))</f>
        <v/>
      </c>
      <c r="O511" s="24">
        <f>IF(OR(M511="Win",M511="Loss"),IF(F511="Bet",K511,(I511-1)*K511),"")</f>
        <v/>
      </c>
    </row>
    <row r="512">
      <c r="A512" s="37" t="n">
        <v>46297</v>
      </c>
      <c r="B512" s="38" t="inlineStr">
        <is>
          <t>Moruya</t>
        </is>
      </c>
      <c r="C512" s="15" t="n">
        <v>8</v>
      </c>
      <c r="D512" s="15" t="n">
        <v>3</v>
      </c>
      <c r="E512" s="14" t="inlineStr">
        <is>
          <t>Kool Kade</t>
        </is>
      </c>
      <c r="F512" s="43" t="inlineStr">
        <is>
          <t>Lay</t>
        </is>
      </c>
      <c r="G512" s="47" t="inlineStr">
        <is>
          <t>Lay</t>
        </is>
      </c>
      <c r="H512" s="41" t="n">
        <v>3.9</v>
      </c>
      <c r="I512" s="41" t="n">
        <v>2.64</v>
      </c>
      <c r="J512" s="16" t="n">
        <v>-0.0858</v>
      </c>
      <c r="K512" s="42" t="n">
        <v>1</v>
      </c>
      <c r="L512" s="15" t="n"/>
      <c r="M512" s="54" t="inlineStr">
        <is>
          <t>Pending</t>
        </is>
      </c>
      <c r="N512" s="17">
        <f>IF(M512="Win",IF(F512="Bet",(I512-1)*K512,K512),IF(M512="Loss",IF(F512="Bet",-K512,-(I512-1)*K512),IF(M512="Void",0,"")))</f>
        <v/>
      </c>
      <c r="O512" s="18">
        <f>IF(OR(M512="Win",M512="Loss"),IF(F512="Bet",K512,(I512-1)*K512),"")</f>
        <v/>
      </c>
    </row>
    <row r="513">
      <c r="A513" s="44" t="n">
        <v>46297</v>
      </c>
      <c r="B513" s="45" t="inlineStr">
        <is>
          <t>Cranbourne</t>
        </is>
      </c>
      <c r="C513" s="21" t="n">
        <v>6</v>
      </c>
      <c r="D513" s="21" t="n">
        <v>8</v>
      </c>
      <c r="E513" s="20" t="inlineStr">
        <is>
          <t>Killenaule</t>
        </is>
      </c>
      <c r="F513" s="46" t="inlineStr">
        <is>
          <t>Lay</t>
        </is>
      </c>
      <c r="G513" s="47" t="inlineStr">
        <is>
          <t>Lay</t>
        </is>
      </c>
      <c r="H513" s="48" t="n">
        <v>4.5</v>
      </c>
      <c r="I513" s="48" t="n">
        <v>3.5</v>
      </c>
      <c r="J513" s="22" t="n">
        <v>-0.0615</v>
      </c>
      <c r="K513" s="49" t="n">
        <v>1</v>
      </c>
      <c r="L513" s="21" t="n"/>
      <c r="M513" s="55" t="inlineStr">
        <is>
          <t>Void</t>
        </is>
      </c>
      <c r="N513" s="23">
        <f>IF(M513="Win",IF(F513="Bet",(I513-1)*K513,K513),IF(M513="Loss",IF(F513="Bet",-K513,-(I513-1)*K513),IF(M513="Void",0,"")))</f>
        <v/>
      </c>
      <c r="O513" s="24">
        <f>IF(OR(M513="Win",M513="Loss"),IF(F513="Bet",K513,(I513-1)*K513),"")</f>
        <v/>
      </c>
    </row>
    <row r="514">
      <c r="A514" s="37" t="n">
        <v>46297</v>
      </c>
      <c r="B514" s="38" t="inlineStr">
        <is>
          <t>Moruya</t>
        </is>
      </c>
      <c r="C514" s="15" t="n">
        <v>1</v>
      </c>
      <c r="D514" s="15" t="n">
        <v>1</v>
      </c>
      <c r="E514" s="14" t="inlineStr">
        <is>
          <t>Hellfighter</t>
        </is>
      </c>
      <c r="F514" s="43" t="inlineStr">
        <is>
          <t>Lay</t>
        </is>
      </c>
      <c r="G514" s="47" t="inlineStr">
        <is>
          <t>Lay</t>
        </is>
      </c>
      <c r="H514" s="41" t="n">
        <v>2.05</v>
      </c>
      <c r="I514" s="41" t="n">
        <v>1.84</v>
      </c>
      <c r="J514" s="16" t="n">
        <v>-0.0607</v>
      </c>
      <c r="K514" s="42" t="n">
        <v>1</v>
      </c>
      <c r="L514" s="15" t="n"/>
      <c r="M514" s="54" t="inlineStr">
        <is>
          <t>Pending</t>
        </is>
      </c>
      <c r="N514" s="17">
        <f>IF(M514="Win",IF(F514="Bet",(I514-1)*K514,K514),IF(M514="Loss",IF(F514="Bet",-K514,-(I514-1)*K514),IF(M514="Void",0,"")))</f>
        <v/>
      </c>
      <c r="O514" s="18">
        <f>IF(OR(M514="Win",M514="Loss"),IF(F514="Bet",K514,(I514-1)*K514),"")</f>
        <v/>
      </c>
    </row>
    <row r="515">
      <c r="A515" s="44" t="n">
        <v>46297</v>
      </c>
      <c r="B515" s="45" t="inlineStr">
        <is>
          <t>Sunshine Coast</t>
        </is>
      </c>
      <c r="C515" s="21" t="n">
        <v>3</v>
      </c>
      <c r="D515" s="21" t="n">
        <v>2</v>
      </c>
      <c r="E515" s="20" t="inlineStr">
        <is>
          <t>Castaway</t>
        </is>
      </c>
      <c r="F515" s="46" t="inlineStr">
        <is>
          <t>Lay</t>
        </is>
      </c>
      <c r="G515" s="47" t="inlineStr">
        <is>
          <t>Lay</t>
        </is>
      </c>
      <c r="H515" s="48" t="n">
        <v>7.9</v>
      </c>
      <c r="I515" s="48" t="n">
        <v>5.2</v>
      </c>
      <c r="J515" s="22" t="n">
        <v>-0.0623</v>
      </c>
      <c r="K515" s="49" t="n">
        <v>1</v>
      </c>
      <c r="L515" s="21" t="n"/>
      <c r="M515" s="55" t="inlineStr">
        <is>
          <t>Pending</t>
        </is>
      </c>
      <c r="N515" s="23">
        <f>IF(M515="Win",IF(F515="Bet",(I515-1)*K515,K515),IF(M515="Loss",IF(F515="Bet",-K515,-(I515-1)*K515),IF(M515="Void",0,"")))</f>
        <v/>
      </c>
      <c r="O515" s="24">
        <f>IF(OR(M515="Win",M515="Loss"),IF(F515="Bet",K515,(I515-1)*K515),"")</f>
        <v/>
      </c>
    </row>
    <row r="516">
      <c r="A516" s="37" t="n">
        <v>46297</v>
      </c>
      <c r="B516" s="38" t="inlineStr">
        <is>
          <t>Dubbo</t>
        </is>
      </c>
      <c r="C516" s="15" t="n">
        <v>7</v>
      </c>
      <c r="D516" s="15" t="n">
        <v>11</v>
      </c>
      <c r="E516" s="14" t="inlineStr">
        <is>
          <t>Supreme Style</t>
        </is>
      </c>
      <c r="F516" s="43" t="inlineStr">
        <is>
          <t>Lay</t>
        </is>
      </c>
      <c r="G516" s="47" t="inlineStr">
        <is>
          <t>Lay</t>
        </is>
      </c>
      <c r="H516" s="41" t="n">
        <v>4.1</v>
      </c>
      <c r="I516" s="41" t="n">
        <v>3.15</v>
      </c>
      <c r="J516" s="16" t="n">
        <v>-0.07099999999999999</v>
      </c>
      <c r="K516" s="42" t="n">
        <v>1</v>
      </c>
      <c r="L516" s="15" t="n"/>
      <c r="M516" s="54" t="inlineStr">
        <is>
          <t>Pending</t>
        </is>
      </c>
      <c r="N516" s="17">
        <f>IF(M516="Win",IF(F516="Bet",(I516-1)*K516,K516),IF(M516="Loss",IF(F516="Bet",-K516,-(I516-1)*K516),IF(M516="Void",0,"")))</f>
        <v/>
      </c>
      <c r="O516" s="18">
        <f>IF(OR(M516="Win",M516="Loss"),IF(F516="Bet",K516,(I516-1)*K516),"")</f>
        <v/>
      </c>
    </row>
    <row r="517">
      <c r="A517" s="44" t="n">
        <v>46297</v>
      </c>
      <c r="B517" s="45" t="inlineStr">
        <is>
          <t>Rockhampton</t>
        </is>
      </c>
      <c r="C517" s="21" t="n">
        <v>7</v>
      </c>
      <c r="D517" s="21" t="n">
        <v>11</v>
      </c>
      <c r="E517" s="20" t="inlineStr">
        <is>
          <t>Remember The Boys</t>
        </is>
      </c>
      <c r="F517" s="46" t="inlineStr">
        <is>
          <t>Lay</t>
        </is>
      </c>
      <c r="G517" s="47" t="inlineStr">
        <is>
          <t>Lay</t>
        </is>
      </c>
      <c r="H517" s="48" t="n">
        <v>4.6</v>
      </c>
      <c r="I517" s="48" t="n">
        <v>2.88</v>
      </c>
      <c r="J517" s="22" t="n">
        <v>-0.0624</v>
      </c>
      <c r="K517" s="49" t="n">
        <v>1</v>
      </c>
      <c r="L517" s="21" t="n"/>
      <c r="M517" s="55" t="inlineStr">
        <is>
          <t>Pending</t>
        </is>
      </c>
      <c r="N517" s="23">
        <f>IF(M517="Win",IF(F517="Bet",(I517-1)*K517,K517),IF(M517="Loss",IF(F517="Bet",-K517,-(I517-1)*K517),IF(M517="Void",0,"")))</f>
        <v/>
      </c>
      <c r="O517" s="24">
        <f>IF(OR(M517="Win",M517="Loss"),IF(F517="Bet",K517,(I517-1)*K517),"")</f>
        <v/>
      </c>
    </row>
    <row r="519" ht="24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57" t="inlineStr">
        <is>
          <t>Total</t>
        </is>
      </c>
      <c r="N519" s="58">
        <f>SUM(N6:N517)</f>
        <v/>
      </c>
      <c r="O519" s="59">
        <f>SUM(O6:O517)</f>
        <v/>
      </c>
    </row>
  </sheetData>
  <autoFilter ref="A5:O517"/>
  <conditionalFormatting sqref="N6:N517">
    <cfRule type="cellIs" priority="1" operator="greaterThan" dxfId="1">
      <formula>0.0001</formula>
    </cfRule>
    <cfRule type="cellIs" priority="2" operator="lessThan" dxfId="2">
      <formula>-0.0001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2026-10-01T23:39:31Z</dcterms:created>
  <dcterms:modified xsi:type="dcterms:W3CDTF">2026-10-01T23:39:32Z</dcterms:modified>
</cp:coreProperties>
</file>